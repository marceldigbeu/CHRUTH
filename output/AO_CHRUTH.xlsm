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worksheets/sheet14.xml" ContentType="application/vnd.openxmlformats-officedocument.spreadsheetml.worksheet+xml"/>
  <Override PartName="/xl/tables/table13.xml" ContentType="application/vnd.openxmlformats-officedocument.spreadsheetml.table+xml"/>
  <Override PartName="/xl/worksheets/sheet15.xml" ContentType="application/vnd.openxmlformats-officedocument.spreadsheetml.worksheet+xml"/>
  <Override PartName="/xl/tables/table14.xml" ContentType="application/vnd.openxmlformats-officedocument.spreadsheetml.table+xml"/>
  <Override PartName="/xl/worksheets/sheet16.xml" ContentType="application/vnd.openxmlformats-officedocument.spreadsheetml.worksheet+xml"/>
  <Override PartName="/xl/tables/table15.xml" ContentType="application/vnd.openxmlformats-officedocument.spreadsheetml.table+xml"/>
  <Override PartName="/xl/worksheets/sheet1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8520" yWindow="0" windowWidth="6390" windowHeight="9000" tabRatio="600" firstSheet="2" activeTab="2" autoFilterDateGrouping="1"/>
  </bookViews>
  <sheets>
    <sheet xmlns:r="http://schemas.openxmlformats.org/officeDocument/2006/relationships" name="Pilotage" sheetId="1" state="visible" r:id="rId1"/>
    <sheet xmlns:r="http://schemas.openxmlformats.org/officeDocument/2006/relationships" name="Top20_Ouverts" sheetId="2" state="visible" r:id="rId2"/>
    <sheet xmlns:r="http://schemas.openxmlformats.org/officeDocument/2006/relationships" name="AO_Nettoyage_IDF" sheetId="3" state="visible" r:id="rId3"/>
    <sheet xmlns:r="http://schemas.openxmlformats.org/officeDocument/2006/relationships" name="AO_Tous" sheetId="4" state="visible" r:id="rId4"/>
    <sheet xmlns:r="http://schemas.openxmlformats.org/officeDocument/2006/relationships" name="AO_Ile_de_France" sheetId="5" state="visible" r:id="rId5"/>
    <sheet xmlns:r="http://schemas.openxmlformats.org/officeDocument/2006/relationships" name="AO_Region" sheetId="6" state="visible" r:id="rId6"/>
    <sheet xmlns:r="http://schemas.openxmlformats.org/officeDocument/2006/relationships" name="AO_CHAUDS" sheetId="7" state="visible" r:id="rId7"/>
    <sheet xmlns:r="http://schemas.openxmlformats.org/officeDocument/2006/relationships" name="AO_A_VERIFIER" sheetId="8" state="visible" r:id="rId8"/>
    <sheet xmlns:r="http://schemas.openxmlformats.org/officeDocument/2006/relationships" name="DCE_A_RECUPERER" sheetId="9" state="visible" r:id="rId9"/>
    <sheet xmlns:r="http://schemas.openxmlformats.org/officeDocument/2006/relationships" name="CRM_Suivi" sheetId="10" state="visible" r:id="rId10"/>
    <sheet xmlns:r="http://schemas.openxmlformats.org/officeDocument/2006/relationships" name="Agent_IA" sheetId="11" state="visible" r:id="rId11"/>
    <sheet xmlns:r="http://schemas.openxmlformats.org/officeDocument/2006/relationships" name="Scoring" sheetId="12" state="visible" r:id="rId12"/>
    <sheet xmlns:r="http://schemas.openxmlformats.org/officeDocument/2006/relationships" name="Acheteurs" sheetId="13" state="visible" r:id="rId13"/>
    <sheet xmlns:r="http://schemas.openxmlformats.org/officeDocument/2006/relationships" name="Villes_Departements" sheetId="14" state="visible" r:id="rId14"/>
    <sheet xmlns:r="http://schemas.openxmlformats.org/officeDocument/2006/relationships" name="VBA_Bouton" sheetId="15" state="visible" r:id="rId15"/>
    <sheet xmlns:r="http://schemas.openxmlformats.org/officeDocument/2006/relationships" name="Logs_Update" sheetId="16" state="visible" r:id="rId16"/>
    <sheet xmlns:r="http://schemas.openxmlformats.org/officeDocument/2006/relationships" name="Parametres" sheetId="17" state="visible" r:id="rId17"/>
  </sheets>
  <definedNames/>
  <calcPr calcId="191029" fullCalcOnLoad="1"/>
</workbook>
</file>

<file path=xl/styles.xml><?xml version="1.0" encoding="utf-8"?>
<styleSheet xmlns="http://schemas.openxmlformats.org/spreadsheetml/2006/main">
  <numFmts count="3">
    <numFmt numFmtId="164" formatCode="#,##0&quot; €&quot;"/>
    <numFmt numFmtId="165" formatCode="yyyy-mm-dd"/>
    <numFmt numFmtId="166" formatCode="dd/mm/yyyy"/>
  </numFmts>
  <fonts count="8">
    <font>
      <name val="Aptos Narrow"/>
      <family val="2"/>
      <color theme="1"/>
      <sz val="11"/>
      <scheme val="minor"/>
    </font>
    <font>
      <b val="1"/>
      <color rgb="00FFFFFF"/>
      <sz val="16"/>
    </font>
    <font>
      <b val="1"/>
      <color rgb="00FFFFFF"/>
      <sz val="9"/>
    </font>
    <font>
      <b val="1"/>
      <color rgb="001F3864"/>
      <sz val="14"/>
    </font>
    <font>
      <b val="1"/>
      <color rgb="001F3864"/>
      <sz val="12"/>
    </font>
    <font>
      <b val="1"/>
      <color rgb="00FFFFFF"/>
      <sz val="10"/>
    </font>
    <font>
      <name val="Calibri"/>
      <family val="2"/>
      <color theme="10"/>
      <sz val="12"/>
      <scheme val="minor"/>
    </font>
    <font>
      <b val="1"/>
      <color rgb="00FFFFFF"/>
    </font>
  </fonts>
  <fills count="11">
    <fill>
      <patternFill/>
    </fill>
    <fill>
      <patternFill patternType="gray125"/>
    </fill>
    <fill>
      <patternFill patternType="solid">
        <fgColor rgb="FFC6EFCE"/>
        <bgColor indexed="64"/>
      </patternFill>
    </fill>
    <fill>
      <patternFill patternType="solid">
        <fgColor rgb="FFFFCCCC"/>
        <bgColor indexed="64"/>
      </patternFill>
    </fill>
    <fill>
      <patternFill patternType="solid">
        <fgColor rgb="001F3864"/>
        <bgColor rgb="001F3864"/>
      </patternFill>
    </fill>
    <fill>
      <patternFill patternType="solid">
        <fgColor rgb="002E5496"/>
        <bgColor rgb="002E5496"/>
      </patternFill>
    </fill>
    <fill>
      <patternFill patternType="solid">
        <fgColor rgb="00D9E1F2"/>
        <bgColor rgb="00D9E1F2"/>
      </patternFill>
    </fill>
    <fill>
      <patternFill patternType="solid">
        <fgColor rgb="00FFC7CE"/>
      </patternFill>
    </fill>
    <fill>
      <patternFill patternType="solid">
        <fgColor rgb="00C6EFCE"/>
      </patternFill>
    </fill>
    <fill>
      <patternFill patternType="solid">
        <fgColor rgb="00C6EFCE"/>
        <bgColor rgb="00C6EFCE"/>
      </patternFill>
    </fill>
    <fill>
      <patternFill patternType="solid">
        <fgColor rgb="00D9EAD3"/>
        <bgColor rgb="00D9EAD3"/>
      </patternFill>
    </fill>
  </fills>
  <borders count="2">
    <border>
      <left/>
      <right/>
      <top/>
      <bottom/>
      <diagonal/>
    </border>
    <border>
      <left style="thin">
        <color rgb="00BFBFBF"/>
      </left>
      <right style="thin">
        <color rgb="00BFBFBF"/>
      </right>
      <top style="thin">
        <color rgb="00BFBFBF"/>
      </top>
      <bottom style="thin">
        <color rgb="00BFBFBF"/>
      </bottom>
    </border>
  </borders>
  <cellStyleXfs count="2">
    <xf numFmtId="0" fontId="0" fillId="0" borderId="0"/>
    <xf numFmtId="0" fontId="6" fillId="0" borderId="0"/>
  </cellStyleXfs>
  <cellXfs count="19">
    <xf numFmtId="0" fontId="0" fillId="0" borderId="0" pivotButton="0" quotePrefix="0" xfId="0"/>
    <xf numFmtId="0" fontId="0" fillId="2" borderId="0" pivotButton="0" quotePrefix="0" xfId="0"/>
    <xf numFmtId="0" fontId="0" fillId="3" borderId="0" pivotButton="0" quotePrefix="0" xfId="0"/>
    <xf numFmtId="0" fontId="1" fillId="4" borderId="0" applyAlignment="1" pivotButton="0" quotePrefix="0" xfId="0">
      <alignment horizontal="left" vertical="center" indent="1"/>
    </xf>
    <xf numFmtId="0" fontId="2" fillId="5" borderId="0" applyAlignment="1" pivotButton="0" quotePrefix="0" xfId="0">
      <alignment horizontal="center" vertical="center"/>
    </xf>
    <xf numFmtId="0" fontId="3" fillId="6" borderId="1" applyAlignment="1" pivotButton="0" quotePrefix="0" xfId="0">
      <alignment horizontal="center" vertical="center"/>
    </xf>
    <xf numFmtId="0" fontId="4" fillId="0" borderId="0" pivotButton="0" quotePrefix="0" xfId="0"/>
    <xf numFmtId="0" fontId="5" fillId="4" borderId="0" applyAlignment="1" pivotButton="0" quotePrefix="0" xfId="0">
      <alignment horizontal="center" vertical="center" wrapText="1"/>
    </xf>
    <xf numFmtId="0" fontId="0" fillId="0" borderId="1" pivotButton="0" quotePrefix="0" xfId="0"/>
    <xf numFmtId="164" fontId="0" fillId="0" borderId="1" pivotButton="0" quotePrefix="0" xfId="0"/>
    <xf numFmtId="166" fontId="0" fillId="0" borderId="1" pivotButton="0" quotePrefix="0" xfId="0"/>
    <xf numFmtId="0" fontId="6" fillId="0" borderId="0" pivotButton="0" quotePrefix="0" xfId="1"/>
    <xf numFmtId="0" fontId="7" fillId="4" borderId="0" applyAlignment="1" pivotButton="0" quotePrefix="0" xfId="0">
      <alignment horizontal="center" vertical="center" wrapText="1"/>
    </xf>
    <xf numFmtId="0" fontId="0" fillId="9" borderId="0" pivotButton="0" quotePrefix="0" xfId="0"/>
    <xf numFmtId="164" fontId="0" fillId="0" borderId="0" pivotButton="0" quotePrefix="0" xfId="0"/>
    <xf numFmtId="166" fontId="0" fillId="0" borderId="0" pivotButton="0" quotePrefix="0" xfId="0"/>
    <xf numFmtId="0" fontId="0" fillId="10" borderId="0" pivotButton="0" quotePrefix="0" xfId="0"/>
    <xf numFmtId="0" fontId="0" fillId="7" borderId="0" pivotButton="0" quotePrefix="0" xfId="0"/>
    <xf numFmtId="0" fontId="0" fillId="8" borderId="0" pivotButton="0" quotePrefix="0" xfId="0"/>
  </cellXfs>
  <cellStyles count="2">
    <cellStyle name="Normal" xfId="0" builtinId="0"/>
    <cellStyle name="Hyperlink" xfId="1" builtinId="8" hidden="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tyles" Target="styles.xml" Id="rId18"/><Relationship Type="http://schemas.openxmlformats.org/officeDocument/2006/relationships/theme" Target="theme/theme1.xml" Id="rId19"/><Relationship Type="http://schemas.microsoft.com/office/2006/relationships/vbaProject" Target="vbaProject.bin" Id="rId2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tables/table1.xml><?xml version="1.0" encoding="utf-8"?>
<table xmlns="http://schemas.openxmlformats.org/spreadsheetml/2006/main" id="1" name="tbl_Top20_Ouverts" displayName="tbl_Top20_Ouverts" ref="A1:K21" headerRowCount="1">
  <autoFilter ref="A1:K21"/>
  <tableColumns count="11">
    <tableColumn id="1" name="rang"/>
    <tableColumn id="2" name="id_ao"/>
    <tableColumn id="3" name="score_chruth"/>
    <tableColumn id="4" name="priorite"/>
    <tableColumn id="5" name="objet"/>
    <tableColumn id="6" name="acheteur"/>
    <tableColumn id="7" name="ville"/>
    <tableColumn id="8" name="departement"/>
    <tableColumn id="9" name="budget_estime_eur"/>
    <tableColumn id="10" name="date_limite"/>
    <tableColumn id="11" name="url_avis"/>
  </tableColumns>
  <tableStyleInfo name="TableStyleMedium2" showRowStripes="1" showColumnStripes="0"/>
</table>
</file>

<file path=xl/tables/table2.xml><?xml version="1.0" encoding="utf-8"?>
<table xmlns="http://schemas.openxmlformats.org/spreadsheetml/2006/main" id="2" name="tbl_AO_Nettoyage_IDF" displayName="tbl_AO_Nettoyage_IDF" ref="A1:N83" headerRowCount="1">
  <autoFilter ref="A1:N83"/>
  <tableColumns count="14">
    <tableColumn id="1" name="Objet de l'AO"/>
    <tableColumn id="2" name="Acheteur"/>
    <tableColumn id="3" name="Secteur"/>
    <tableColumn id="4" name="Catégorie"/>
    <tableColumn id="5" name="Ville"/>
    <tableColumn id="6" name="Département"/>
    <tableColumn id="7" name="Date de publication"/>
    <tableColumn id="8" name="Date limite de réponse"/>
    <tableColumn id="9" name="Budget estimé (€)"/>
    <tableColumn id="10" name="Lien DCE"/>
    <tableColumn id="11" name="Lien avis BOAMP"/>
    <tableColumn id="12" name="Priorité"/>
    <tableColumn id="13" name="Score"/>
    <tableColumn id="14" name="id_ao"/>
  </tableColumns>
  <tableStyleInfo name="TableStyleMedium2" showRowStripes="1" showColumnStripes="0"/>
</table>
</file>

<file path=xl/tables/table3.xml><?xml version="1.0" encoding="utf-8"?>
<table xmlns="http://schemas.openxmlformats.org/spreadsheetml/2006/main" id="3" name="tbl_AO_Tous" displayName="tbl_AO_Tous" ref="A1:BM83" headerRowCount="1">
  <autoFilter ref="A1:BM8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4.xml><?xml version="1.0" encoding="utf-8"?>
<table xmlns="http://schemas.openxmlformats.org/spreadsheetml/2006/main" id="4" name="tbl_AO_Ile_de_France" displayName="tbl_AO_Ile_de_France" ref="A1:BM83" headerRowCount="1">
  <autoFilter ref="A1:BM8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5.xml><?xml version="1.0" encoding="utf-8"?>
<table xmlns="http://schemas.openxmlformats.org/spreadsheetml/2006/main" id="5" name="tbl_AO_Region" displayName="tbl_AO_Region" ref="A1:BM83" headerRowCount="1">
  <autoFilter ref="A1:BM8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6.xml><?xml version="1.0" encoding="utf-8"?>
<table xmlns="http://schemas.openxmlformats.org/spreadsheetml/2006/main" id="6" name="tbl_AO_CHAUDS" displayName="tbl_AO_CHAUDS" ref="A1:BM22" headerRowCount="1">
  <autoFilter ref="A1:BM22"/>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7.xml><?xml version="1.0" encoding="utf-8"?>
<table xmlns="http://schemas.openxmlformats.org/spreadsheetml/2006/main" id="7" name="tbl_AO_A_VERIFIER" displayName="tbl_AO_A_VERIFIER" ref="A1:BM34" headerRowCount="1">
  <autoFilter ref="A1:BM34"/>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8.xml><?xml version="1.0" encoding="utf-8"?>
<table xmlns="http://schemas.openxmlformats.org/spreadsheetml/2006/main" id="8" name="tbl_DCE_A_RECUPERER" displayName="tbl_DCE_A_RECUPERER" ref="A1:G37" headerRowCount="1">
  <autoFilter ref="A1:G37"/>
  <tableColumns count="7">
    <tableColumn id="1" name="id_ao"/>
    <tableColumn id="2" name="objet"/>
    <tableColumn id="3" name="acheteur"/>
    <tableColumn id="4" name="url_dce"/>
    <tableColumn id="5" name="url_profil_acheteur"/>
    <tableColumn id="6" name="dce_statut"/>
    <tableColumn id="7" name="fichier_attendu"/>
  </tableColumns>
  <tableStyleInfo name="TableStyleMedium2" showRowStripes="1" showColumnStripes="0"/>
</table>
</file>

<file path=xl/tables/table9.xml><?xml version="1.0" encoding="utf-8"?>
<table xmlns="http://schemas.openxmlformats.org/spreadsheetml/2006/main" id="9" name="tbl_CRM_Suivi" displayName="tbl_CRM_Suivi" ref="A1:BM46" headerRowCount="1">
  <autoFilter ref="A1:BM46"/>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10.xml><?xml version="1.0" encoding="utf-8"?>
<table xmlns="http://schemas.openxmlformats.org/spreadsheetml/2006/main" id="10" name="tbl_Agent_IA" displayName="tbl_Agent_IA" ref="A1:D5" headerRowCount="1">
  <autoFilter ref="A1:D5"/>
  <tableColumns count="4">
    <tableColumn id="1" name="cas"/>
    <tableColumn id="2" name="quand_utiliser"/>
    <tableColumn id="3" name="action_agent"/>
    <tableColumn id="4" name="sortie_attendue"/>
  </tableColumns>
  <tableStyleInfo name="TableStyleMedium2" showRowStripes="1" showColumnStripes="0"/>
</table>
</file>

<file path=xl/tables/table11.xml><?xml version="1.0" encoding="utf-8"?>
<table xmlns="http://schemas.openxmlformats.org/spreadsheetml/2006/main" id="11" name="tbl_Scoring" displayName="tbl_Scoring" ref="A1:C17" headerRowCount="1">
  <autoFilter ref="A1:C17"/>
  <tableColumns count="3">
    <tableColumn id="1" name="critere"/>
    <tableColumn id="2" name="regle"/>
    <tableColumn id="3" name="points"/>
  </tableColumns>
  <tableStyleInfo name="TableStyleMedium2" showRowStripes="1" showColumnStripes="0"/>
</table>
</file>

<file path=xl/tables/table12.xml><?xml version="1.0" encoding="utf-8"?>
<table xmlns="http://schemas.openxmlformats.org/spreadsheetml/2006/main" id="12" name="tbl_Acheteurs" displayName="tbl_Acheteurs" ref="A1:G79" headerRowCount="1">
  <autoFilter ref="A1:G79"/>
  <tableColumns count="7">
    <tableColumn id="1" name="acheteur"/>
    <tableColumn id="2" name="siret_acheteur"/>
    <tableColumn id="3" name="nb_ao"/>
    <tableColumn id="4" name="score_max"/>
    <tableColumn id="5" name="priorites"/>
    <tableColumn id="6" name="villes"/>
    <tableColumn id="7" name="dernier_ao"/>
  </tableColumns>
  <tableStyleInfo name="TableStyleMedium2" showRowStripes="1" showColumnStripes="0"/>
</table>
</file>

<file path=xl/tables/table13.xml><?xml version="1.0" encoding="utf-8"?>
<table xmlns="http://schemas.openxmlformats.org/spreadsheetml/2006/main" id="13" name="tbl_Villes_Departements" displayName="tbl_Villes_Departements" ref="A1:G23" headerRowCount="1">
  <autoFilter ref="A1:G23"/>
  <tableColumns count="7">
    <tableColumn id="1" name="departement"/>
    <tableColumn id="2" name="ville"/>
    <tableColumn id="3" name="nb_ao"/>
    <tableColumn id="4" name="score_moyen"/>
    <tableColumn id="5" name="nb_chaud"/>
    <tableColumn id="6" name="nb_a_verifier"/>
    <tableColumn id="7" name="acheteurs"/>
  </tableColumns>
  <tableStyleInfo name="TableStyleMedium2" showRowStripes="1" showColumnStripes="0"/>
</table>
</file>

<file path=xl/tables/table14.xml><?xml version="1.0" encoding="utf-8"?>
<table xmlns="http://schemas.openxmlformats.org/spreadsheetml/2006/main" id="14" name="tbl_VBA_Bouton" displayName="tbl_VBA_Bouton" ref="A1:B221" headerRowCount="1">
  <autoFilter ref="A1:B221"/>
  <tableColumns count="2">
    <tableColumn id="1" name="section"/>
    <tableColumn id="2" name="contenu"/>
  </tableColumns>
  <tableStyleInfo name="TableStyleMedium2" showRowStripes="1" showColumnStripes="0"/>
</table>
</file>

<file path=xl/tables/table15.xml><?xml version="1.0" encoding="utf-8"?>
<table xmlns="http://schemas.openxmlformats.org/spreadsheetml/2006/main" id="15" name="tbl_Logs_Update" displayName="tbl_Logs_Update" ref="A1:G4" headerRowCount="1">
  <autoFilter ref="A1:G4"/>
  <tableColumns count="7">
    <tableColumn id="1" name="id"/>
    <tableColumn id="2" name="run_at"/>
    <tableColumn id="3" name="source"/>
    <tableColumn id="4" name="fetched"/>
    <tableColumn id="5" name="kept"/>
    <tableColumn id="6" name="inserted_or_updated"/>
    <tableColumn id="7" name="details"/>
  </tableColumns>
  <tableStyleInfo name="TableStyleMedium2"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82168" TargetMode="External" Id="rId3"/><Relationship Type="http://schemas.openxmlformats.org/officeDocument/2006/relationships/hyperlink" Target="https://www.boamp.fr/pages/avis/?q=idweb:26-82885" TargetMode="External" Id="rId4"/><Relationship Type="http://schemas.openxmlformats.org/officeDocument/2006/relationships/hyperlink" Target="https://www.boamp.fr/pages/avis/?q=idweb:26-74013" TargetMode="External" Id="rId5"/><Relationship Type="http://schemas.openxmlformats.org/officeDocument/2006/relationships/hyperlink" Target="https://www.boamp.fr/pages/avis/?q=idweb:26-72283" TargetMode="External" Id="rId6"/><Relationship Type="http://schemas.openxmlformats.org/officeDocument/2006/relationships/hyperlink" Target="https://www.boamp.fr/pages/avis/?q=idweb:26-80939" TargetMode="External" Id="rId7"/><Relationship Type="http://schemas.openxmlformats.org/officeDocument/2006/relationships/hyperlink" Target="https://www.boamp.fr/pages/avis/?q=idweb:26-80740" TargetMode="External" Id="rId8"/><Relationship Type="http://schemas.openxmlformats.org/officeDocument/2006/relationships/hyperlink" Target="https://www.boamp.fr/pages/avis/?q=idweb:26-78436" TargetMode="External" Id="rId9"/><Relationship Type="http://schemas.openxmlformats.org/officeDocument/2006/relationships/hyperlink" Target="https://www.boamp.fr/pages/avis/?q=idweb:26-70858" TargetMode="External" Id="rId10"/><Relationship Type="http://schemas.openxmlformats.org/officeDocument/2006/relationships/hyperlink" Target="https://www.boamp.fr/pages/avis/?q=idweb:26-70565" TargetMode="External" Id="rId11"/><Relationship Type="http://schemas.openxmlformats.org/officeDocument/2006/relationships/hyperlink" Target="https://www.boamp.fr/pages/avis/?q=idweb:26-83338" TargetMode="External" Id="rId12"/><Relationship Type="http://schemas.openxmlformats.org/officeDocument/2006/relationships/hyperlink" Target="https://www.boamp.fr/pages/avis/?q=idweb:26-84191" TargetMode="External" Id="rId13"/><Relationship Type="http://schemas.openxmlformats.org/officeDocument/2006/relationships/hyperlink" Target="https://www.boamp.fr/pages/avis/?q=idweb:26-78821" TargetMode="External" Id="rId14"/><Relationship Type="http://schemas.openxmlformats.org/officeDocument/2006/relationships/hyperlink" Target="https://www.boamp.fr/pages/avis/?q=idweb:26-80807" TargetMode="External" Id="rId15"/><Relationship Type="http://schemas.openxmlformats.org/officeDocument/2006/relationships/hyperlink" Target="https://www.boamp.fr/pages/avis/?q=idweb:26-71198" TargetMode="External" Id="rId16"/><Relationship Type="http://schemas.openxmlformats.org/officeDocument/2006/relationships/hyperlink" Target="https://www.boamp.fr/pages/avis/?q=idweb:26-71675" TargetMode="External" Id="rId17"/><Relationship Type="http://schemas.openxmlformats.org/officeDocument/2006/relationships/hyperlink" Target="https://www.boamp.fr/pages/avis/?q=idweb:26-72708" TargetMode="External" Id="rId18"/><Relationship Type="http://schemas.openxmlformats.org/officeDocument/2006/relationships/hyperlink" Target="https://www.boamp.fr/pages/avis/?q=idweb:26-82481" TargetMode="External" Id="rId19"/><Relationship Type="http://schemas.openxmlformats.org/officeDocument/2006/relationships/hyperlink" Target="https://www.boamp.fr/pages/avis/?q=idweb:26-83560" TargetMode="External" Id="rId20"/><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82168" TargetMode="External" Id="rId3"/><Relationship Type="http://schemas.openxmlformats.org/officeDocument/2006/relationships/hyperlink" Target="https://www.boamp.fr/pages/avis/?q=idweb:26-82885" TargetMode="External" Id="rId4"/><Relationship Type="http://schemas.openxmlformats.org/officeDocument/2006/relationships/hyperlink" Target="https://www.boamp.fr/pages/avis/?q=idweb:26-74013" TargetMode="External" Id="rId5"/><Relationship Type="http://schemas.openxmlformats.org/officeDocument/2006/relationships/hyperlink" Target="https://www.boamp.fr/pages/avis/?q=idweb:26-72283" TargetMode="External" Id="rId6"/><Relationship Type="http://schemas.openxmlformats.org/officeDocument/2006/relationships/hyperlink" Target="https://www.boamp.fr/pages/avis/?q=idweb:26-80939" TargetMode="External" Id="rId7"/><Relationship Type="http://schemas.openxmlformats.org/officeDocument/2006/relationships/hyperlink" Target="https://www.boamp.fr/pages/avis/?q=idweb:26-80740" TargetMode="External" Id="rId8"/><Relationship Type="http://schemas.openxmlformats.org/officeDocument/2006/relationships/hyperlink" Target="https://www.boamp.fr/pages/avis/?q=idweb:26-78436" TargetMode="External" Id="rId9"/><Relationship Type="http://schemas.openxmlformats.org/officeDocument/2006/relationships/hyperlink" Target="https://www.boamp.fr/pages/avis/?q=idweb:26-70858" TargetMode="External" Id="rId10"/><Relationship Type="http://schemas.openxmlformats.org/officeDocument/2006/relationships/hyperlink" Target="https://www.boamp.fr/pages/avis/?q=idweb:26-70565" TargetMode="External" Id="rId11"/><Relationship Type="http://schemas.openxmlformats.org/officeDocument/2006/relationships/hyperlink" Target="https://www.boamp.fr/pages/avis/?q=idweb:26-83338" TargetMode="External" Id="rId12"/><Relationship Type="http://schemas.openxmlformats.org/officeDocument/2006/relationships/hyperlink" Target="https://www.boamp.fr/pages/avis/?q=idweb:26-84191" TargetMode="External" Id="rId13"/><Relationship Type="http://schemas.openxmlformats.org/officeDocument/2006/relationships/hyperlink" Target="https://www.boamp.fr/pages/avis/?q=idweb:26-78821" TargetMode="External" Id="rId14"/><Relationship Type="http://schemas.openxmlformats.org/officeDocument/2006/relationships/hyperlink" Target="https://www.boamp.fr/pages/avis/?q=idweb:26-80807" TargetMode="External" Id="rId15"/><Relationship Type="http://schemas.openxmlformats.org/officeDocument/2006/relationships/hyperlink" Target="https://www.boamp.fr/pages/avis/?q=idweb:26-71198" TargetMode="External" Id="rId16"/><Relationship Type="http://schemas.openxmlformats.org/officeDocument/2006/relationships/hyperlink" Target="https://www.boamp.fr/pages/avis/?q=idweb:26-71675" TargetMode="External" Id="rId17"/><Relationship Type="http://schemas.openxmlformats.org/officeDocument/2006/relationships/hyperlink" Target="https://www.boamp.fr/pages/avis/?q=idweb:26-72708" TargetMode="External" Id="rId18"/><Relationship Type="http://schemas.openxmlformats.org/officeDocument/2006/relationships/hyperlink" Target="https://www.boamp.fr/pages/avis/?q=idweb:26-82481" TargetMode="External" Id="rId19"/><Relationship Type="http://schemas.openxmlformats.org/officeDocument/2006/relationships/hyperlink" Target="https://www.boamp.fr/pages/avis/?q=idweb:26-83560" TargetMode="External" Id="rId20"/><Relationship Type="http://schemas.openxmlformats.org/officeDocument/2006/relationships/table" Target="/xl/tables/table1.xml" Id="rId21"/></Relationships>
</file>

<file path=xl/worksheets/_rels/sheet3.xml.rels><Relationships xmlns="http://schemas.openxmlformats.org/package/2006/relationships"><Relationship Type="http://schemas.openxmlformats.org/officeDocument/2006/relationships/table" Target="/xl/tables/table2.xml" Id="rId1"/><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73275" TargetMode="External" Id="rId3"/><Relationship Type="http://schemas.openxmlformats.org/officeDocument/2006/relationships/hyperlink" Target="https://www.boamp.fr/pages/avis/?q=idweb:26-82168" TargetMode="External" Id="rId4"/><Relationship Type="http://schemas.openxmlformats.org/officeDocument/2006/relationships/hyperlink" Target="https://www.boamp.fr/pages/avis/?q=idweb:26-82885" TargetMode="External" Id="rId5"/><Relationship Type="http://schemas.openxmlformats.org/officeDocument/2006/relationships/hyperlink" Target="https://www.boamp.fr/pages/avis/?q=idweb:26-74949" TargetMode="External" Id="rId6"/><Relationship Type="http://schemas.openxmlformats.org/officeDocument/2006/relationships/hyperlink" Target="https://www.boamp.fr/pages/avis/?q=idweb:26-74013" TargetMode="External" Id="rId7"/><Relationship Type="http://schemas.openxmlformats.org/officeDocument/2006/relationships/hyperlink" Target="https://www.boamp.fr/pages/avis/?q=idweb:26-72283" TargetMode="External" Id="rId8"/><Relationship Type="http://schemas.openxmlformats.org/officeDocument/2006/relationships/hyperlink" Target="https://www.boamp.fr/pages/avis/?q=idweb:26-80939" TargetMode="External" Id="rId9"/><Relationship Type="http://schemas.openxmlformats.org/officeDocument/2006/relationships/hyperlink" Target="https://www.boamp.fr/pages/avis/?q=idweb:26-80740" TargetMode="External" Id="rId10"/><Relationship Type="http://schemas.openxmlformats.org/officeDocument/2006/relationships/hyperlink" Target="https://www.boamp.fr/pages/avis/?q=idweb:26-78436" TargetMode="External" Id="rId11"/><Relationship Type="http://schemas.openxmlformats.org/officeDocument/2006/relationships/hyperlink" Target="https://www.boamp.fr/pages/avis/?q=idweb:26-70858" TargetMode="External" Id="rId12"/><Relationship Type="http://schemas.openxmlformats.org/officeDocument/2006/relationships/hyperlink" Target="https://www.boamp.fr/pages/avis/?q=idweb:26-70565" TargetMode="External" Id="rId13"/><Relationship Type="http://schemas.openxmlformats.org/officeDocument/2006/relationships/hyperlink" Target="https://www.boamp.fr/pages/avis/?q=idweb:26-83338" TargetMode="External" Id="rId14"/><Relationship Type="http://schemas.openxmlformats.org/officeDocument/2006/relationships/hyperlink" Target="https://www.boamp.fr/pages/avis/?q=idweb:26-84191" TargetMode="External" Id="rId15"/><Relationship Type="http://schemas.openxmlformats.org/officeDocument/2006/relationships/hyperlink" Target="https://www.boamp.fr/pages/avis/?q=idweb:26-78821" TargetMode="External" Id="rId16"/><Relationship Type="http://schemas.openxmlformats.org/officeDocument/2006/relationships/hyperlink" Target="https://www.boamp.fr/pages/avis/?q=idweb:26-80807" TargetMode="External" Id="rId17"/><Relationship Type="http://schemas.openxmlformats.org/officeDocument/2006/relationships/hyperlink" Target="https://www.boamp.fr/pages/avis/?q=idweb:26-82481" TargetMode="External" Id="rId18"/><Relationship Type="http://schemas.openxmlformats.org/officeDocument/2006/relationships/hyperlink" Target="https://www.boamp.fr/pages/avis/?q=idweb:26-72708" TargetMode="External" Id="rId19"/><Relationship Type="http://schemas.openxmlformats.org/officeDocument/2006/relationships/hyperlink" Target="https://www.boamp.fr/pages/avis/?q=idweb:26-71675" TargetMode="External" Id="rId20"/><Relationship Type="http://schemas.openxmlformats.org/officeDocument/2006/relationships/hyperlink" Target="https://www.boamp.fr/pages/avis/?q=idweb:26-71198" TargetMode="External" Id="rId21"/><Relationship Type="http://schemas.openxmlformats.org/officeDocument/2006/relationships/hyperlink" Target="https://www.boamp.fr/pages/avis/?q=idweb:26-83560" TargetMode="External" Id="rId22"/><Relationship Type="http://schemas.openxmlformats.org/officeDocument/2006/relationships/hyperlink" Target="https://www.boamp.fr/pages/avis/?q=idweb:26-80351" TargetMode="External" Id="rId23"/><Relationship Type="http://schemas.openxmlformats.org/officeDocument/2006/relationships/hyperlink" Target="https://www.boamp.fr/pages/avis/?q=idweb:26-81760" TargetMode="External" Id="rId24"/><Relationship Type="http://schemas.openxmlformats.org/officeDocument/2006/relationships/hyperlink" Target="https://www.boamp.fr/pages/avis/?q=idweb:26-83553" TargetMode="External" Id="rId25"/><Relationship Type="http://schemas.openxmlformats.org/officeDocument/2006/relationships/hyperlink" Target="https://www.boamp.fr/pages/avis/?q=idweb:26-72948" TargetMode="External" Id="rId26"/><Relationship Type="http://schemas.openxmlformats.org/officeDocument/2006/relationships/hyperlink" Target="https://www.boamp.fr/pages/avis/?q=idweb:26-71986" TargetMode="External" Id="rId27"/><Relationship Type="http://schemas.openxmlformats.org/officeDocument/2006/relationships/hyperlink" Target="https://www.boamp.fr/pages/avis/?q=idweb:26-71545" TargetMode="External" Id="rId28"/><Relationship Type="http://schemas.openxmlformats.org/officeDocument/2006/relationships/hyperlink" Target="https://www.boamp.fr/pages/avis/?q=idweb:26-79275" TargetMode="External" Id="rId29"/><Relationship Type="http://schemas.openxmlformats.org/officeDocument/2006/relationships/hyperlink" Target="https://www.boamp.fr/pages/avis/?q=idweb:26-83118" TargetMode="External" Id="rId30"/><Relationship Type="http://schemas.openxmlformats.org/officeDocument/2006/relationships/hyperlink" Target="https://www.boamp.fr/pages/avis/?q=idweb:26-73898" TargetMode="External" Id="rId31"/><Relationship Type="http://schemas.openxmlformats.org/officeDocument/2006/relationships/hyperlink" Target="https://www.boamp.fr/pages/avis/?q=idweb:26-72955" TargetMode="External" Id="rId32"/><Relationship Type="http://schemas.openxmlformats.org/officeDocument/2006/relationships/hyperlink" Target="https://www.boamp.fr/pages/avis/?q=idweb:26-72105" TargetMode="External" Id="rId33"/><Relationship Type="http://schemas.openxmlformats.org/officeDocument/2006/relationships/hyperlink" Target="https://www.boamp.fr/pages/avis/?q=idweb:26-70522" TargetMode="External" Id="rId34"/><Relationship Type="http://schemas.openxmlformats.org/officeDocument/2006/relationships/hyperlink" Target="https://www.boamp.fr/pages/avis/?q=idweb:26-70503" TargetMode="External" Id="rId35"/><Relationship Type="http://schemas.openxmlformats.org/officeDocument/2006/relationships/hyperlink" Target="https://www.boamp.fr/pages/avis/?q=idweb:26-82245" TargetMode="External" Id="rId36"/><Relationship Type="http://schemas.openxmlformats.org/officeDocument/2006/relationships/hyperlink" Target="https://www.boamp.fr/pages/avis/?q=idweb:26-81766" TargetMode="External" Id="rId37"/><Relationship Type="http://schemas.openxmlformats.org/officeDocument/2006/relationships/hyperlink" Target="https://www.boamp.fr/pages/avis/?q=idweb:26-77541" TargetMode="External" Id="rId38"/><Relationship Type="http://schemas.openxmlformats.org/officeDocument/2006/relationships/hyperlink" Target="https://www.boamp.fr/pages/avis/?q=idweb:26-77581" TargetMode="External" Id="rId39"/><Relationship Type="http://schemas.openxmlformats.org/officeDocument/2006/relationships/hyperlink" Target="https://www.boamp.fr/pages/avis/?q=idweb:26-72690" TargetMode="External" Id="rId40"/><Relationship Type="http://schemas.openxmlformats.org/officeDocument/2006/relationships/hyperlink" Target="https://www.boamp.fr/pages/avis/?q=idweb:26-70805" TargetMode="External" Id="rId41"/><Relationship Type="http://schemas.openxmlformats.org/officeDocument/2006/relationships/hyperlink" Target="https://www.boamp.fr/pages/avis/?q=idweb:26-77150" TargetMode="External" Id="rId42"/><Relationship Type="http://schemas.openxmlformats.org/officeDocument/2006/relationships/hyperlink" Target="https://www.boamp.fr/pages/avis/?q=idweb:26-83490" TargetMode="External" Id="rId43"/><Relationship Type="http://schemas.openxmlformats.org/officeDocument/2006/relationships/hyperlink" Target="https://www.boamp.fr/pages/avis/?q=idweb:26-83694" TargetMode="External" Id="rId44"/><Relationship Type="http://schemas.openxmlformats.org/officeDocument/2006/relationships/hyperlink" Target="https://www.boamp.fr/pages/avis/?q=idweb:26-70259" TargetMode="External" Id="rId45"/><Relationship Type="http://schemas.openxmlformats.org/officeDocument/2006/relationships/hyperlink" Target="https://www.boamp.fr/pages/avis/?q=idweb:26-81405" TargetMode="External" Id="rId46"/><Relationship Type="http://schemas.openxmlformats.org/officeDocument/2006/relationships/hyperlink" Target="https://www.boamp.fr/pages/avis/?q=idweb:26-81108" TargetMode="External" Id="rId47"/><Relationship Type="http://schemas.openxmlformats.org/officeDocument/2006/relationships/hyperlink" Target="https://www.boamp.fr/pages/avis/?q=idweb:26-77304" TargetMode="External" Id="rId48"/><Relationship Type="http://schemas.openxmlformats.org/officeDocument/2006/relationships/hyperlink" Target="https://www.boamp.fr/pages/avis/?q=idweb:26-74504" TargetMode="External" Id="rId49"/><Relationship Type="http://schemas.openxmlformats.org/officeDocument/2006/relationships/hyperlink" Target="https://www.boamp.fr/pages/avis/?q=idweb:26-73442" TargetMode="External" Id="rId50"/><Relationship Type="http://schemas.openxmlformats.org/officeDocument/2006/relationships/hyperlink" Target="https://www.boamp.fr/pages/avis/?q=idweb:26-78377" TargetMode="External" Id="rId51"/><Relationship Type="http://schemas.openxmlformats.org/officeDocument/2006/relationships/hyperlink" Target="https://www.boamp.fr/pages/avis/?q=idweb:26-82637" TargetMode="External" Id="rId52"/><Relationship Type="http://schemas.openxmlformats.org/officeDocument/2006/relationships/hyperlink" Target="https://www.boamp.fr/pages/avis/?q=idweb:26-83350" TargetMode="External" Id="rId53"/><Relationship Type="http://schemas.openxmlformats.org/officeDocument/2006/relationships/hyperlink" Target="https://www.boamp.fr/pages/avis/?q=idweb:26-82779" TargetMode="External" Id="rId54"/><Relationship Type="http://schemas.openxmlformats.org/officeDocument/2006/relationships/hyperlink" Target="https://www.boamp.fr/pages/avis/?q=idweb:26-73389" TargetMode="External" Id="rId55"/><Relationship Type="http://schemas.openxmlformats.org/officeDocument/2006/relationships/hyperlink" Target="https://www.boamp.fr/pages/avis/?q=idweb:26-74661" TargetMode="External" Id="rId56"/><Relationship Type="http://schemas.openxmlformats.org/officeDocument/2006/relationships/hyperlink" Target="https://www.boamp.fr/pages/avis/?q=idweb:26-78332" TargetMode="External" Id="rId57"/><Relationship Type="http://schemas.openxmlformats.org/officeDocument/2006/relationships/hyperlink" Target="https://www.boamp.fr/pages/avis/?q=idweb:26-81749" TargetMode="External" Id="rId58"/><Relationship Type="http://schemas.openxmlformats.org/officeDocument/2006/relationships/hyperlink" Target="https://www.boamp.fr/pages/avis/?q=idweb:26-76493" TargetMode="External" Id="rId59"/><Relationship Type="http://schemas.openxmlformats.org/officeDocument/2006/relationships/hyperlink" Target="https://www.boamp.fr/pages/avis/?q=idweb:26-74239" TargetMode="External" Id="rId60"/><Relationship Type="http://schemas.openxmlformats.org/officeDocument/2006/relationships/hyperlink" Target="https://www.boamp.fr/pages/avis/?q=idweb:26-73266" TargetMode="External" Id="rId61"/><Relationship Type="http://schemas.openxmlformats.org/officeDocument/2006/relationships/hyperlink" Target="https://www.boamp.fr/pages/avis/?q=idweb:26-70752" TargetMode="External" Id="rId62"/><Relationship Type="http://schemas.openxmlformats.org/officeDocument/2006/relationships/hyperlink" Target="https://www.boamp.fr/pages/avis/?q=idweb:26-80530" TargetMode="External" Id="rId63"/><Relationship Type="http://schemas.openxmlformats.org/officeDocument/2006/relationships/hyperlink" Target="https://www.boamp.fr/pages/avis/?q=idweb:26-79741" TargetMode="External" Id="rId64"/><Relationship Type="http://schemas.openxmlformats.org/officeDocument/2006/relationships/hyperlink" Target="https://www.boamp.fr/pages/avis/?q=idweb:26-79241" TargetMode="External" Id="rId65"/><Relationship Type="http://schemas.openxmlformats.org/officeDocument/2006/relationships/hyperlink" Target="https://www.boamp.fr/pages/avis/?q=idweb:26-70841" TargetMode="External" Id="rId66"/><Relationship Type="http://schemas.openxmlformats.org/officeDocument/2006/relationships/hyperlink" Target="https://www.boamp.fr/pages/avis/?q=idweb:26-70040" TargetMode="External" Id="rId67"/><Relationship Type="http://schemas.openxmlformats.org/officeDocument/2006/relationships/hyperlink" Target="https://www.boamp.fr/pages/avis/?q=idweb:26-74389" TargetMode="External" Id="rId68"/><Relationship Type="http://schemas.openxmlformats.org/officeDocument/2006/relationships/hyperlink" Target="https://www.boamp.fr/pages/avis/?q=idweb:26-73883" TargetMode="External" Id="rId69"/><Relationship Type="http://schemas.openxmlformats.org/officeDocument/2006/relationships/hyperlink" Target="https://www.boamp.fr/pages/avis/?q=idweb:26-70598" TargetMode="External" Id="rId70"/><Relationship Type="http://schemas.openxmlformats.org/officeDocument/2006/relationships/hyperlink" Target="https://www.boamp.fr/pages/avis/?q=idweb:26-79560" TargetMode="External" Id="rId71"/><Relationship Type="http://schemas.openxmlformats.org/officeDocument/2006/relationships/hyperlink" Target="https://www.boamp.fr/pages/avis/?q=idweb:26-76712" TargetMode="External" Id="rId72"/><Relationship Type="http://schemas.openxmlformats.org/officeDocument/2006/relationships/hyperlink" Target="https://www.boamp.fr/pages/avis/?q=idweb:26-72867" TargetMode="External" Id="rId73"/><Relationship Type="http://schemas.openxmlformats.org/officeDocument/2006/relationships/hyperlink" Target="https://www.boamp.fr/pages/avis/?q=idweb:26-77508" TargetMode="External" Id="rId74"/><Relationship Type="http://schemas.openxmlformats.org/officeDocument/2006/relationships/hyperlink" Target="https://www.boamp.fr/pages/avis/?q=idweb:26-79004" TargetMode="External" Id="rId75"/><Relationship Type="http://schemas.openxmlformats.org/officeDocument/2006/relationships/hyperlink" Target="https://www.boamp.fr/pages/avis/?q=idweb:26-81752" TargetMode="External" Id="rId76"/><Relationship Type="http://schemas.openxmlformats.org/officeDocument/2006/relationships/hyperlink" Target="https://www.boamp.fr/pages/avis/?q=idweb:26-80563" TargetMode="External" Id="rId77"/><Relationship Type="http://schemas.openxmlformats.org/officeDocument/2006/relationships/hyperlink" Target="https://www.boamp.fr/pages/avis/?q=idweb:26-80651" TargetMode="External" Id="rId78"/><Relationship Type="http://schemas.openxmlformats.org/officeDocument/2006/relationships/hyperlink" Target="https://www.boamp.fr/pages/avis/?q=idweb:26-73122" TargetMode="External" Id="rId79"/><Relationship Type="http://schemas.openxmlformats.org/officeDocument/2006/relationships/hyperlink" Target="https://www.boamp.fr/pages/avis/?q=idweb:26-70414" TargetMode="External" Id="rId80"/><Relationship Type="http://schemas.openxmlformats.org/officeDocument/2006/relationships/hyperlink" Target="https://www.boamp.fr/pages/avis/?q=idweb:26-70509" TargetMode="External" Id="rId81"/><Relationship Type="http://schemas.openxmlformats.org/officeDocument/2006/relationships/hyperlink" Target="https://www.boamp.fr/pages/avis/?q=idweb:26-70374" TargetMode="External" Id="rId82"/><Relationship Type="http://schemas.openxmlformats.org/officeDocument/2006/relationships/table" Target="/xl/tables/table3.xml" Id="rId83"/></Relationships>
</file>

<file path=xl/worksheets/_rels/sheet5.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73275" TargetMode="External" Id="rId3"/><Relationship Type="http://schemas.openxmlformats.org/officeDocument/2006/relationships/hyperlink" Target="https://www.boamp.fr/pages/avis/?q=idweb:26-82168" TargetMode="External" Id="rId4"/><Relationship Type="http://schemas.openxmlformats.org/officeDocument/2006/relationships/hyperlink" Target="https://www.boamp.fr/pages/avis/?q=idweb:26-82885" TargetMode="External" Id="rId5"/><Relationship Type="http://schemas.openxmlformats.org/officeDocument/2006/relationships/hyperlink" Target="https://www.boamp.fr/pages/avis/?q=idweb:26-74949" TargetMode="External" Id="rId6"/><Relationship Type="http://schemas.openxmlformats.org/officeDocument/2006/relationships/hyperlink" Target="https://www.boamp.fr/pages/avis/?q=idweb:26-74013" TargetMode="External" Id="rId7"/><Relationship Type="http://schemas.openxmlformats.org/officeDocument/2006/relationships/hyperlink" Target="https://www.boamp.fr/pages/avis/?q=idweb:26-72283" TargetMode="External" Id="rId8"/><Relationship Type="http://schemas.openxmlformats.org/officeDocument/2006/relationships/hyperlink" Target="https://www.boamp.fr/pages/avis/?q=idweb:26-80939" TargetMode="External" Id="rId9"/><Relationship Type="http://schemas.openxmlformats.org/officeDocument/2006/relationships/hyperlink" Target="https://www.boamp.fr/pages/avis/?q=idweb:26-80740" TargetMode="External" Id="rId10"/><Relationship Type="http://schemas.openxmlformats.org/officeDocument/2006/relationships/hyperlink" Target="https://www.boamp.fr/pages/avis/?q=idweb:26-78436" TargetMode="External" Id="rId11"/><Relationship Type="http://schemas.openxmlformats.org/officeDocument/2006/relationships/hyperlink" Target="https://www.boamp.fr/pages/avis/?q=idweb:26-70858" TargetMode="External" Id="rId12"/><Relationship Type="http://schemas.openxmlformats.org/officeDocument/2006/relationships/hyperlink" Target="https://www.boamp.fr/pages/avis/?q=idweb:26-70565" TargetMode="External" Id="rId13"/><Relationship Type="http://schemas.openxmlformats.org/officeDocument/2006/relationships/hyperlink" Target="https://www.boamp.fr/pages/avis/?q=idweb:26-83338" TargetMode="External" Id="rId14"/><Relationship Type="http://schemas.openxmlformats.org/officeDocument/2006/relationships/hyperlink" Target="https://www.boamp.fr/pages/avis/?q=idweb:26-84191" TargetMode="External" Id="rId15"/><Relationship Type="http://schemas.openxmlformats.org/officeDocument/2006/relationships/hyperlink" Target="https://www.boamp.fr/pages/avis/?q=idweb:26-78821" TargetMode="External" Id="rId16"/><Relationship Type="http://schemas.openxmlformats.org/officeDocument/2006/relationships/hyperlink" Target="https://www.boamp.fr/pages/avis/?q=idweb:26-80807" TargetMode="External" Id="rId17"/><Relationship Type="http://schemas.openxmlformats.org/officeDocument/2006/relationships/hyperlink" Target="https://www.boamp.fr/pages/avis/?q=idweb:26-82481" TargetMode="External" Id="rId18"/><Relationship Type="http://schemas.openxmlformats.org/officeDocument/2006/relationships/hyperlink" Target="https://www.boamp.fr/pages/avis/?q=idweb:26-72708" TargetMode="External" Id="rId19"/><Relationship Type="http://schemas.openxmlformats.org/officeDocument/2006/relationships/hyperlink" Target="https://www.boamp.fr/pages/avis/?q=idweb:26-71675" TargetMode="External" Id="rId20"/><Relationship Type="http://schemas.openxmlformats.org/officeDocument/2006/relationships/hyperlink" Target="https://www.boamp.fr/pages/avis/?q=idweb:26-71198" TargetMode="External" Id="rId21"/><Relationship Type="http://schemas.openxmlformats.org/officeDocument/2006/relationships/hyperlink" Target="https://www.boamp.fr/pages/avis/?q=idweb:26-83560" TargetMode="External" Id="rId22"/><Relationship Type="http://schemas.openxmlformats.org/officeDocument/2006/relationships/hyperlink" Target="https://www.boamp.fr/pages/avis/?q=idweb:26-80351" TargetMode="External" Id="rId23"/><Relationship Type="http://schemas.openxmlformats.org/officeDocument/2006/relationships/hyperlink" Target="https://www.boamp.fr/pages/avis/?q=idweb:26-81760" TargetMode="External" Id="rId24"/><Relationship Type="http://schemas.openxmlformats.org/officeDocument/2006/relationships/hyperlink" Target="https://www.boamp.fr/pages/avis/?q=idweb:26-83553" TargetMode="External" Id="rId25"/><Relationship Type="http://schemas.openxmlformats.org/officeDocument/2006/relationships/hyperlink" Target="https://www.boamp.fr/pages/avis/?q=idweb:26-72948" TargetMode="External" Id="rId26"/><Relationship Type="http://schemas.openxmlformats.org/officeDocument/2006/relationships/hyperlink" Target="https://www.boamp.fr/pages/avis/?q=idweb:26-71986" TargetMode="External" Id="rId27"/><Relationship Type="http://schemas.openxmlformats.org/officeDocument/2006/relationships/hyperlink" Target="https://www.boamp.fr/pages/avis/?q=idweb:26-71545" TargetMode="External" Id="rId28"/><Relationship Type="http://schemas.openxmlformats.org/officeDocument/2006/relationships/hyperlink" Target="https://www.boamp.fr/pages/avis/?q=idweb:26-79275" TargetMode="External" Id="rId29"/><Relationship Type="http://schemas.openxmlformats.org/officeDocument/2006/relationships/hyperlink" Target="https://www.boamp.fr/pages/avis/?q=idweb:26-83118" TargetMode="External" Id="rId30"/><Relationship Type="http://schemas.openxmlformats.org/officeDocument/2006/relationships/hyperlink" Target="https://www.boamp.fr/pages/avis/?q=idweb:26-73898" TargetMode="External" Id="rId31"/><Relationship Type="http://schemas.openxmlformats.org/officeDocument/2006/relationships/hyperlink" Target="https://www.boamp.fr/pages/avis/?q=idweb:26-72955" TargetMode="External" Id="rId32"/><Relationship Type="http://schemas.openxmlformats.org/officeDocument/2006/relationships/hyperlink" Target="https://www.boamp.fr/pages/avis/?q=idweb:26-72105" TargetMode="External" Id="rId33"/><Relationship Type="http://schemas.openxmlformats.org/officeDocument/2006/relationships/hyperlink" Target="https://www.boamp.fr/pages/avis/?q=idweb:26-70522" TargetMode="External" Id="rId34"/><Relationship Type="http://schemas.openxmlformats.org/officeDocument/2006/relationships/hyperlink" Target="https://www.boamp.fr/pages/avis/?q=idweb:26-70503" TargetMode="External" Id="rId35"/><Relationship Type="http://schemas.openxmlformats.org/officeDocument/2006/relationships/hyperlink" Target="https://www.boamp.fr/pages/avis/?q=idweb:26-82245" TargetMode="External" Id="rId36"/><Relationship Type="http://schemas.openxmlformats.org/officeDocument/2006/relationships/hyperlink" Target="https://www.boamp.fr/pages/avis/?q=idweb:26-81766" TargetMode="External" Id="rId37"/><Relationship Type="http://schemas.openxmlformats.org/officeDocument/2006/relationships/hyperlink" Target="https://www.boamp.fr/pages/avis/?q=idweb:26-77541" TargetMode="External" Id="rId38"/><Relationship Type="http://schemas.openxmlformats.org/officeDocument/2006/relationships/hyperlink" Target="https://www.boamp.fr/pages/avis/?q=idweb:26-77581" TargetMode="External" Id="rId39"/><Relationship Type="http://schemas.openxmlformats.org/officeDocument/2006/relationships/hyperlink" Target="https://www.boamp.fr/pages/avis/?q=idweb:26-72690" TargetMode="External" Id="rId40"/><Relationship Type="http://schemas.openxmlformats.org/officeDocument/2006/relationships/hyperlink" Target="https://www.boamp.fr/pages/avis/?q=idweb:26-70805" TargetMode="External" Id="rId41"/><Relationship Type="http://schemas.openxmlformats.org/officeDocument/2006/relationships/hyperlink" Target="https://www.boamp.fr/pages/avis/?q=idweb:26-77150" TargetMode="External" Id="rId42"/><Relationship Type="http://schemas.openxmlformats.org/officeDocument/2006/relationships/hyperlink" Target="https://www.boamp.fr/pages/avis/?q=idweb:26-83490" TargetMode="External" Id="rId43"/><Relationship Type="http://schemas.openxmlformats.org/officeDocument/2006/relationships/hyperlink" Target="https://www.boamp.fr/pages/avis/?q=idweb:26-83694" TargetMode="External" Id="rId44"/><Relationship Type="http://schemas.openxmlformats.org/officeDocument/2006/relationships/hyperlink" Target="https://www.boamp.fr/pages/avis/?q=idweb:26-70259" TargetMode="External" Id="rId45"/><Relationship Type="http://schemas.openxmlformats.org/officeDocument/2006/relationships/hyperlink" Target="https://www.boamp.fr/pages/avis/?q=idweb:26-81405" TargetMode="External" Id="rId46"/><Relationship Type="http://schemas.openxmlformats.org/officeDocument/2006/relationships/hyperlink" Target="https://www.boamp.fr/pages/avis/?q=idweb:26-81108" TargetMode="External" Id="rId47"/><Relationship Type="http://schemas.openxmlformats.org/officeDocument/2006/relationships/hyperlink" Target="https://www.boamp.fr/pages/avis/?q=idweb:26-77304" TargetMode="External" Id="rId48"/><Relationship Type="http://schemas.openxmlformats.org/officeDocument/2006/relationships/hyperlink" Target="https://www.boamp.fr/pages/avis/?q=idweb:26-74504" TargetMode="External" Id="rId49"/><Relationship Type="http://schemas.openxmlformats.org/officeDocument/2006/relationships/hyperlink" Target="https://www.boamp.fr/pages/avis/?q=idweb:26-73442" TargetMode="External" Id="rId50"/><Relationship Type="http://schemas.openxmlformats.org/officeDocument/2006/relationships/hyperlink" Target="https://www.boamp.fr/pages/avis/?q=idweb:26-78377" TargetMode="External" Id="rId51"/><Relationship Type="http://schemas.openxmlformats.org/officeDocument/2006/relationships/hyperlink" Target="https://www.boamp.fr/pages/avis/?q=idweb:26-82637" TargetMode="External" Id="rId52"/><Relationship Type="http://schemas.openxmlformats.org/officeDocument/2006/relationships/hyperlink" Target="https://www.boamp.fr/pages/avis/?q=idweb:26-83350" TargetMode="External" Id="rId53"/><Relationship Type="http://schemas.openxmlformats.org/officeDocument/2006/relationships/hyperlink" Target="https://www.boamp.fr/pages/avis/?q=idweb:26-82779" TargetMode="External" Id="rId54"/><Relationship Type="http://schemas.openxmlformats.org/officeDocument/2006/relationships/hyperlink" Target="https://www.boamp.fr/pages/avis/?q=idweb:26-73389" TargetMode="External" Id="rId55"/><Relationship Type="http://schemas.openxmlformats.org/officeDocument/2006/relationships/hyperlink" Target="https://www.boamp.fr/pages/avis/?q=idweb:26-74661" TargetMode="External" Id="rId56"/><Relationship Type="http://schemas.openxmlformats.org/officeDocument/2006/relationships/hyperlink" Target="https://www.boamp.fr/pages/avis/?q=idweb:26-78332" TargetMode="External" Id="rId57"/><Relationship Type="http://schemas.openxmlformats.org/officeDocument/2006/relationships/hyperlink" Target="https://www.boamp.fr/pages/avis/?q=idweb:26-81749" TargetMode="External" Id="rId58"/><Relationship Type="http://schemas.openxmlformats.org/officeDocument/2006/relationships/hyperlink" Target="https://www.boamp.fr/pages/avis/?q=idweb:26-76493" TargetMode="External" Id="rId59"/><Relationship Type="http://schemas.openxmlformats.org/officeDocument/2006/relationships/hyperlink" Target="https://www.boamp.fr/pages/avis/?q=idweb:26-74239" TargetMode="External" Id="rId60"/><Relationship Type="http://schemas.openxmlformats.org/officeDocument/2006/relationships/hyperlink" Target="https://www.boamp.fr/pages/avis/?q=idweb:26-73266" TargetMode="External" Id="rId61"/><Relationship Type="http://schemas.openxmlformats.org/officeDocument/2006/relationships/hyperlink" Target="https://www.boamp.fr/pages/avis/?q=idweb:26-70752" TargetMode="External" Id="rId62"/><Relationship Type="http://schemas.openxmlformats.org/officeDocument/2006/relationships/hyperlink" Target="https://www.boamp.fr/pages/avis/?q=idweb:26-80530" TargetMode="External" Id="rId63"/><Relationship Type="http://schemas.openxmlformats.org/officeDocument/2006/relationships/hyperlink" Target="https://www.boamp.fr/pages/avis/?q=idweb:26-79741" TargetMode="External" Id="rId64"/><Relationship Type="http://schemas.openxmlformats.org/officeDocument/2006/relationships/hyperlink" Target="https://www.boamp.fr/pages/avis/?q=idweb:26-79241" TargetMode="External" Id="rId65"/><Relationship Type="http://schemas.openxmlformats.org/officeDocument/2006/relationships/hyperlink" Target="https://www.boamp.fr/pages/avis/?q=idweb:26-70841" TargetMode="External" Id="rId66"/><Relationship Type="http://schemas.openxmlformats.org/officeDocument/2006/relationships/hyperlink" Target="https://www.boamp.fr/pages/avis/?q=idweb:26-70040" TargetMode="External" Id="rId67"/><Relationship Type="http://schemas.openxmlformats.org/officeDocument/2006/relationships/hyperlink" Target="https://www.boamp.fr/pages/avis/?q=idweb:26-74389" TargetMode="External" Id="rId68"/><Relationship Type="http://schemas.openxmlformats.org/officeDocument/2006/relationships/hyperlink" Target="https://www.boamp.fr/pages/avis/?q=idweb:26-73883" TargetMode="External" Id="rId69"/><Relationship Type="http://schemas.openxmlformats.org/officeDocument/2006/relationships/hyperlink" Target="https://www.boamp.fr/pages/avis/?q=idweb:26-70598" TargetMode="External" Id="rId70"/><Relationship Type="http://schemas.openxmlformats.org/officeDocument/2006/relationships/hyperlink" Target="https://www.boamp.fr/pages/avis/?q=idweb:26-79560" TargetMode="External" Id="rId71"/><Relationship Type="http://schemas.openxmlformats.org/officeDocument/2006/relationships/hyperlink" Target="https://www.boamp.fr/pages/avis/?q=idweb:26-76712" TargetMode="External" Id="rId72"/><Relationship Type="http://schemas.openxmlformats.org/officeDocument/2006/relationships/hyperlink" Target="https://www.boamp.fr/pages/avis/?q=idweb:26-72867" TargetMode="External" Id="rId73"/><Relationship Type="http://schemas.openxmlformats.org/officeDocument/2006/relationships/hyperlink" Target="https://www.boamp.fr/pages/avis/?q=idweb:26-77508" TargetMode="External" Id="rId74"/><Relationship Type="http://schemas.openxmlformats.org/officeDocument/2006/relationships/hyperlink" Target="https://www.boamp.fr/pages/avis/?q=idweb:26-79004" TargetMode="External" Id="rId75"/><Relationship Type="http://schemas.openxmlformats.org/officeDocument/2006/relationships/hyperlink" Target="https://www.boamp.fr/pages/avis/?q=idweb:26-81752" TargetMode="External" Id="rId76"/><Relationship Type="http://schemas.openxmlformats.org/officeDocument/2006/relationships/hyperlink" Target="https://www.boamp.fr/pages/avis/?q=idweb:26-80563" TargetMode="External" Id="rId77"/><Relationship Type="http://schemas.openxmlformats.org/officeDocument/2006/relationships/hyperlink" Target="https://www.boamp.fr/pages/avis/?q=idweb:26-80651" TargetMode="External" Id="rId78"/><Relationship Type="http://schemas.openxmlformats.org/officeDocument/2006/relationships/hyperlink" Target="https://www.boamp.fr/pages/avis/?q=idweb:26-73122" TargetMode="External" Id="rId79"/><Relationship Type="http://schemas.openxmlformats.org/officeDocument/2006/relationships/hyperlink" Target="https://www.boamp.fr/pages/avis/?q=idweb:26-70414" TargetMode="External" Id="rId80"/><Relationship Type="http://schemas.openxmlformats.org/officeDocument/2006/relationships/hyperlink" Target="https://www.boamp.fr/pages/avis/?q=idweb:26-70509" TargetMode="External" Id="rId81"/><Relationship Type="http://schemas.openxmlformats.org/officeDocument/2006/relationships/hyperlink" Target="https://www.boamp.fr/pages/avis/?q=idweb:26-70374" TargetMode="External" Id="rId82"/><Relationship Type="http://schemas.openxmlformats.org/officeDocument/2006/relationships/table" Target="/xl/tables/table4.xml" Id="rId83"/></Relationships>
</file>

<file path=xl/worksheets/_rels/sheet6.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73275" TargetMode="External" Id="rId3"/><Relationship Type="http://schemas.openxmlformats.org/officeDocument/2006/relationships/hyperlink" Target="https://www.boamp.fr/pages/avis/?q=idweb:26-82168" TargetMode="External" Id="rId4"/><Relationship Type="http://schemas.openxmlformats.org/officeDocument/2006/relationships/hyperlink" Target="https://www.boamp.fr/pages/avis/?q=idweb:26-82885" TargetMode="External" Id="rId5"/><Relationship Type="http://schemas.openxmlformats.org/officeDocument/2006/relationships/hyperlink" Target="https://www.boamp.fr/pages/avis/?q=idweb:26-74949" TargetMode="External" Id="rId6"/><Relationship Type="http://schemas.openxmlformats.org/officeDocument/2006/relationships/hyperlink" Target="https://www.boamp.fr/pages/avis/?q=idweb:26-74013" TargetMode="External" Id="rId7"/><Relationship Type="http://schemas.openxmlformats.org/officeDocument/2006/relationships/hyperlink" Target="https://www.boamp.fr/pages/avis/?q=idweb:26-72283" TargetMode="External" Id="rId8"/><Relationship Type="http://schemas.openxmlformats.org/officeDocument/2006/relationships/hyperlink" Target="https://www.boamp.fr/pages/avis/?q=idweb:26-80939" TargetMode="External" Id="rId9"/><Relationship Type="http://schemas.openxmlformats.org/officeDocument/2006/relationships/hyperlink" Target="https://www.boamp.fr/pages/avis/?q=idweb:26-80740" TargetMode="External" Id="rId10"/><Relationship Type="http://schemas.openxmlformats.org/officeDocument/2006/relationships/hyperlink" Target="https://www.boamp.fr/pages/avis/?q=idweb:26-78436" TargetMode="External" Id="rId11"/><Relationship Type="http://schemas.openxmlformats.org/officeDocument/2006/relationships/hyperlink" Target="https://www.boamp.fr/pages/avis/?q=idweb:26-70858" TargetMode="External" Id="rId12"/><Relationship Type="http://schemas.openxmlformats.org/officeDocument/2006/relationships/hyperlink" Target="https://www.boamp.fr/pages/avis/?q=idweb:26-70565" TargetMode="External" Id="rId13"/><Relationship Type="http://schemas.openxmlformats.org/officeDocument/2006/relationships/hyperlink" Target="https://www.boamp.fr/pages/avis/?q=idweb:26-83338" TargetMode="External" Id="rId14"/><Relationship Type="http://schemas.openxmlformats.org/officeDocument/2006/relationships/hyperlink" Target="https://www.boamp.fr/pages/avis/?q=idweb:26-84191" TargetMode="External" Id="rId15"/><Relationship Type="http://schemas.openxmlformats.org/officeDocument/2006/relationships/hyperlink" Target="https://www.boamp.fr/pages/avis/?q=idweb:26-78821" TargetMode="External" Id="rId16"/><Relationship Type="http://schemas.openxmlformats.org/officeDocument/2006/relationships/hyperlink" Target="https://www.boamp.fr/pages/avis/?q=idweb:26-80807" TargetMode="External" Id="rId17"/><Relationship Type="http://schemas.openxmlformats.org/officeDocument/2006/relationships/hyperlink" Target="https://www.boamp.fr/pages/avis/?q=idweb:26-82481" TargetMode="External" Id="rId18"/><Relationship Type="http://schemas.openxmlformats.org/officeDocument/2006/relationships/hyperlink" Target="https://www.boamp.fr/pages/avis/?q=idweb:26-72708" TargetMode="External" Id="rId19"/><Relationship Type="http://schemas.openxmlformats.org/officeDocument/2006/relationships/hyperlink" Target="https://www.boamp.fr/pages/avis/?q=idweb:26-71675" TargetMode="External" Id="rId20"/><Relationship Type="http://schemas.openxmlformats.org/officeDocument/2006/relationships/hyperlink" Target="https://www.boamp.fr/pages/avis/?q=idweb:26-71198" TargetMode="External" Id="rId21"/><Relationship Type="http://schemas.openxmlformats.org/officeDocument/2006/relationships/hyperlink" Target="https://www.boamp.fr/pages/avis/?q=idweb:26-83560" TargetMode="External" Id="rId22"/><Relationship Type="http://schemas.openxmlformats.org/officeDocument/2006/relationships/hyperlink" Target="https://www.boamp.fr/pages/avis/?q=idweb:26-80351" TargetMode="External" Id="rId23"/><Relationship Type="http://schemas.openxmlformats.org/officeDocument/2006/relationships/hyperlink" Target="https://www.boamp.fr/pages/avis/?q=idweb:26-81760" TargetMode="External" Id="rId24"/><Relationship Type="http://schemas.openxmlformats.org/officeDocument/2006/relationships/hyperlink" Target="https://www.boamp.fr/pages/avis/?q=idweb:26-83553" TargetMode="External" Id="rId25"/><Relationship Type="http://schemas.openxmlformats.org/officeDocument/2006/relationships/hyperlink" Target="https://www.boamp.fr/pages/avis/?q=idweb:26-72948" TargetMode="External" Id="rId26"/><Relationship Type="http://schemas.openxmlformats.org/officeDocument/2006/relationships/hyperlink" Target="https://www.boamp.fr/pages/avis/?q=idweb:26-71986" TargetMode="External" Id="rId27"/><Relationship Type="http://schemas.openxmlformats.org/officeDocument/2006/relationships/hyperlink" Target="https://www.boamp.fr/pages/avis/?q=idweb:26-71545" TargetMode="External" Id="rId28"/><Relationship Type="http://schemas.openxmlformats.org/officeDocument/2006/relationships/hyperlink" Target="https://www.boamp.fr/pages/avis/?q=idweb:26-79275" TargetMode="External" Id="rId29"/><Relationship Type="http://schemas.openxmlformats.org/officeDocument/2006/relationships/hyperlink" Target="https://www.boamp.fr/pages/avis/?q=idweb:26-83118" TargetMode="External" Id="rId30"/><Relationship Type="http://schemas.openxmlformats.org/officeDocument/2006/relationships/hyperlink" Target="https://www.boamp.fr/pages/avis/?q=idweb:26-73898" TargetMode="External" Id="rId31"/><Relationship Type="http://schemas.openxmlformats.org/officeDocument/2006/relationships/hyperlink" Target="https://www.boamp.fr/pages/avis/?q=idweb:26-72955" TargetMode="External" Id="rId32"/><Relationship Type="http://schemas.openxmlformats.org/officeDocument/2006/relationships/hyperlink" Target="https://www.boamp.fr/pages/avis/?q=idweb:26-72105" TargetMode="External" Id="rId33"/><Relationship Type="http://schemas.openxmlformats.org/officeDocument/2006/relationships/hyperlink" Target="https://www.boamp.fr/pages/avis/?q=idweb:26-70522" TargetMode="External" Id="rId34"/><Relationship Type="http://schemas.openxmlformats.org/officeDocument/2006/relationships/hyperlink" Target="https://www.boamp.fr/pages/avis/?q=idweb:26-70503" TargetMode="External" Id="rId35"/><Relationship Type="http://schemas.openxmlformats.org/officeDocument/2006/relationships/hyperlink" Target="https://www.boamp.fr/pages/avis/?q=idweb:26-82245" TargetMode="External" Id="rId36"/><Relationship Type="http://schemas.openxmlformats.org/officeDocument/2006/relationships/hyperlink" Target="https://www.boamp.fr/pages/avis/?q=idweb:26-81766" TargetMode="External" Id="rId37"/><Relationship Type="http://schemas.openxmlformats.org/officeDocument/2006/relationships/hyperlink" Target="https://www.boamp.fr/pages/avis/?q=idweb:26-77541" TargetMode="External" Id="rId38"/><Relationship Type="http://schemas.openxmlformats.org/officeDocument/2006/relationships/hyperlink" Target="https://www.boamp.fr/pages/avis/?q=idweb:26-77581" TargetMode="External" Id="rId39"/><Relationship Type="http://schemas.openxmlformats.org/officeDocument/2006/relationships/hyperlink" Target="https://www.boamp.fr/pages/avis/?q=idweb:26-72690" TargetMode="External" Id="rId40"/><Relationship Type="http://schemas.openxmlformats.org/officeDocument/2006/relationships/hyperlink" Target="https://www.boamp.fr/pages/avis/?q=idweb:26-70805" TargetMode="External" Id="rId41"/><Relationship Type="http://schemas.openxmlformats.org/officeDocument/2006/relationships/hyperlink" Target="https://www.boamp.fr/pages/avis/?q=idweb:26-77150" TargetMode="External" Id="rId42"/><Relationship Type="http://schemas.openxmlformats.org/officeDocument/2006/relationships/hyperlink" Target="https://www.boamp.fr/pages/avis/?q=idweb:26-83490" TargetMode="External" Id="rId43"/><Relationship Type="http://schemas.openxmlformats.org/officeDocument/2006/relationships/hyperlink" Target="https://www.boamp.fr/pages/avis/?q=idweb:26-83694" TargetMode="External" Id="rId44"/><Relationship Type="http://schemas.openxmlformats.org/officeDocument/2006/relationships/hyperlink" Target="https://www.boamp.fr/pages/avis/?q=idweb:26-70259" TargetMode="External" Id="rId45"/><Relationship Type="http://schemas.openxmlformats.org/officeDocument/2006/relationships/hyperlink" Target="https://www.boamp.fr/pages/avis/?q=idweb:26-81405" TargetMode="External" Id="rId46"/><Relationship Type="http://schemas.openxmlformats.org/officeDocument/2006/relationships/hyperlink" Target="https://www.boamp.fr/pages/avis/?q=idweb:26-81108" TargetMode="External" Id="rId47"/><Relationship Type="http://schemas.openxmlformats.org/officeDocument/2006/relationships/hyperlink" Target="https://www.boamp.fr/pages/avis/?q=idweb:26-77304" TargetMode="External" Id="rId48"/><Relationship Type="http://schemas.openxmlformats.org/officeDocument/2006/relationships/hyperlink" Target="https://www.boamp.fr/pages/avis/?q=idweb:26-74504" TargetMode="External" Id="rId49"/><Relationship Type="http://schemas.openxmlformats.org/officeDocument/2006/relationships/hyperlink" Target="https://www.boamp.fr/pages/avis/?q=idweb:26-73442" TargetMode="External" Id="rId50"/><Relationship Type="http://schemas.openxmlformats.org/officeDocument/2006/relationships/hyperlink" Target="https://www.boamp.fr/pages/avis/?q=idweb:26-78377" TargetMode="External" Id="rId51"/><Relationship Type="http://schemas.openxmlformats.org/officeDocument/2006/relationships/hyperlink" Target="https://www.boamp.fr/pages/avis/?q=idweb:26-82637" TargetMode="External" Id="rId52"/><Relationship Type="http://schemas.openxmlformats.org/officeDocument/2006/relationships/hyperlink" Target="https://www.boamp.fr/pages/avis/?q=idweb:26-83350" TargetMode="External" Id="rId53"/><Relationship Type="http://schemas.openxmlformats.org/officeDocument/2006/relationships/hyperlink" Target="https://www.boamp.fr/pages/avis/?q=idweb:26-82779" TargetMode="External" Id="rId54"/><Relationship Type="http://schemas.openxmlformats.org/officeDocument/2006/relationships/hyperlink" Target="https://www.boamp.fr/pages/avis/?q=idweb:26-73389" TargetMode="External" Id="rId55"/><Relationship Type="http://schemas.openxmlformats.org/officeDocument/2006/relationships/hyperlink" Target="https://www.boamp.fr/pages/avis/?q=idweb:26-74661" TargetMode="External" Id="rId56"/><Relationship Type="http://schemas.openxmlformats.org/officeDocument/2006/relationships/hyperlink" Target="https://www.boamp.fr/pages/avis/?q=idweb:26-78332" TargetMode="External" Id="rId57"/><Relationship Type="http://schemas.openxmlformats.org/officeDocument/2006/relationships/hyperlink" Target="https://www.boamp.fr/pages/avis/?q=idweb:26-81749" TargetMode="External" Id="rId58"/><Relationship Type="http://schemas.openxmlformats.org/officeDocument/2006/relationships/hyperlink" Target="https://www.boamp.fr/pages/avis/?q=idweb:26-76493" TargetMode="External" Id="rId59"/><Relationship Type="http://schemas.openxmlformats.org/officeDocument/2006/relationships/hyperlink" Target="https://www.boamp.fr/pages/avis/?q=idweb:26-74239" TargetMode="External" Id="rId60"/><Relationship Type="http://schemas.openxmlformats.org/officeDocument/2006/relationships/hyperlink" Target="https://www.boamp.fr/pages/avis/?q=idweb:26-73266" TargetMode="External" Id="rId61"/><Relationship Type="http://schemas.openxmlformats.org/officeDocument/2006/relationships/hyperlink" Target="https://www.boamp.fr/pages/avis/?q=idweb:26-70752" TargetMode="External" Id="rId62"/><Relationship Type="http://schemas.openxmlformats.org/officeDocument/2006/relationships/hyperlink" Target="https://www.boamp.fr/pages/avis/?q=idweb:26-80530" TargetMode="External" Id="rId63"/><Relationship Type="http://schemas.openxmlformats.org/officeDocument/2006/relationships/hyperlink" Target="https://www.boamp.fr/pages/avis/?q=idweb:26-79741" TargetMode="External" Id="rId64"/><Relationship Type="http://schemas.openxmlformats.org/officeDocument/2006/relationships/hyperlink" Target="https://www.boamp.fr/pages/avis/?q=idweb:26-79241" TargetMode="External" Id="rId65"/><Relationship Type="http://schemas.openxmlformats.org/officeDocument/2006/relationships/hyperlink" Target="https://www.boamp.fr/pages/avis/?q=idweb:26-70841" TargetMode="External" Id="rId66"/><Relationship Type="http://schemas.openxmlformats.org/officeDocument/2006/relationships/hyperlink" Target="https://www.boamp.fr/pages/avis/?q=idweb:26-70040" TargetMode="External" Id="rId67"/><Relationship Type="http://schemas.openxmlformats.org/officeDocument/2006/relationships/hyperlink" Target="https://www.boamp.fr/pages/avis/?q=idweb:26-74389" TargetMode="External" Id="rId68"/><Relationship Type="http://schemas.openxmlformats.org/officeDocument/2006/relationships/hyperlink" Target="https://www.boamp.fr/pages/avis/?q=idweb:26-73883" TargetMode="External" Id="rId69"/><Relationship Type="http://schemas.openxmlformats.org/officeDocument/2006/relationships/hyperlink" Target="https://www.boamp.fr/pages/avis/?q=idweb:26-70598" TargetMode="External" Id="rId70"/><Relationship Type="http://schemas.openxmlformats.org/officeDocument/2006/relationships/hyperlink" Target="https://www.boamp.fr/pages/avis/?q=idweb:26-79560" TargetMode="External" Id="rId71"/><Relationship Type="http://schemas.openxmlformats.org/officeDocument/2006/relationships/hyperlink" Target="https://www.boamp.fr/pages/avis/?q=idweb:26-76712" TargetMode="External" Id="rId72"/><Relationship Type="http://schemas.openxmlformats.org/officeDocument/2006/relationships/hyperlink" Target="https://www.boamp.fr/pages/avis/?q=idweb:26-72867" TargetMode="External" Id="rId73"/><Relationship Type="http://schemas.openxmlformats.org/officeDocument/2006/relationships/hyperlink" Target="https://www.boamp.fr/pages/avis/?q=idweb:26-77508" TargetMode="External" Id="rId74"/><Relationship Type="http://schemas.openxmlformats.org/officeDocument/2006/relationships/hyperlink" Target="https://www.boamp.fr/pages/avis/?q=idweb:26-79004" TargetMode="External" Id="rId75"/><Relationship Type="http://schemas.openxmlformats.org/officeDocument/2006/relationships/hyperlink" Target="https://www.boamp.fr/pages/avis/?q=idweb:26-81752" TargetMode="External" Id="rId76"/><Relationship Type="http://schemas.openxmlformats.org/officeDocument/2006/relationships/hyperlink" Target="https://www.boamp.fr/pages/avis/?q=idweb:26-80563" TargetMode="External" Id="rId77"/><Relationship Type="http://schemas.openxmlformats.org/officeDocument/2006/relationships/hyperlink" Target="https://www.boamp.fr/pages/avis/?q=idweb:26-80651" TargetMode="External" Id="rId78"/><Relationship Type="http://schemas.openxmlformats.org/officeDocument/2006/relationships/hyperlink" Target="https://www.boamp.fr/pages/avis/?q=idweb:26-73122" TargetMode="External" Id="rId79"/><Relationship Type="http://schemas.openxmlformats.org/officeDocument/2006/relationships/hyperlink" Target="https://www.boamp.fr/pages/avis/?q=idweb:26-70414" TargetMode="External" Id="rId80"/><Relationship Type="http://schemas.openxmlformats.org/officeDocument/2006/relationships/hyperlink" Target="https://www.boamp.fr/pages/avis/?q=idweb:26-70509" TargetMode="External" Id="rId81"/><Relationship Type="http://schemas.openxmlformats.org/officeDocument/2006/relationships/hyperlink" Target="https://www.boamp.fr/pages/avis/?q=idweb:26-70374" TargetMode="External" Id="rId82"/><Relationship Type="http://schemas.openxmlformats.org/officeDocument/2006/relationships/table" Target="/xl/tables/table5.xml" Id="rId83"/></Relationships>
</file>

<file path=xl/worksheets/_rels/sheet7.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73275" TargetMode="External" Id="rId3"/><Relationship Type="http://schemas.openxmlformats.org/officeDocument/2006/relationships/hyperlink" Target="https://www.boamp.fr/pages/avis/?q=idweb:26-82168" TargetMode="External" Id="rId4"/><Relationship Type="http://schemas.openxmlformats.org/officeDocument/2006/relationships/hyperlink" Target="https://www.boamp.fr/pages/avis/?q=idweb:26-82885" TargetMode="External" Id="rId5"/><Relationship Type="http://schemas.openxmlformats.org/officeDocument/2006/relationships/hyperlink" Target="https://www.boamp.fr/pages/avis/?q=idweb:26-74949" TargetMode="External" Id="rId6"/><Relationship Type="http://schemas.openxmlformats.org/officeDocument/2006/relationships/hyperlink" Target="https://www.boamp.fr/pages/avis/?q=idweb:26-74013" TargetMode="External" Id="rId7"/><Relationship Type="http://schemas.openxmlformats.org/officeDocument/2006/relationships/hyperlink" Target="https://www.boamp.fr/pages/avis/?q=idweb:26-72283" TargetMode="External" Id="rId8"/><Relationship Type="http://schemas.openxmlformats.org/officeDocument/2006/relationships/hyperlink" Target="https://www.boamp.fr/pages/avis/?q=idweb:26-80939" TargetMode="External" Id="rId9"/><Relationship Type="http://schemas.openxmlformats.org/officeDocument/2006/relationships/hyperlink" Target="https://www.boamp.fr/pages/avis/?q=idweb:26-80740" TargetMode="External" Id="rId10"/><Relationship Type="http://schemas.openxmlformats.org/officeDocument/2006/relationships/hyperlink" Target="https://www.boamp.fr/pages/avis/?q=idweb:26-78436" TargetMode="External" Id="rId11"/><Relationship Type="http://schemas.openxmlformats.org/officeDocument/2006/relationships/hyperlink" Target="https://www.boamp.fr/pages/avis/?q=idweb:26-70858" TargetMode="External" Id="rId12"/><Relationship Type="http://schemas.openxmlformats.org/officeDocument/2006/relationships/hyperlink" Target="https://www.boamp.fr/pages/avis/?q=idweb:26-70565" TargetMode="External" Id="rId13"/><Relationship Type="http://schemas.openxmlformats.org/officeDocument/2006/relationships/hyperlink" Target="https://www.boamp.fr/pages/avis/?q=idweb:26-83338" TargetMode="External" Id="rId14"/><Relationship Type="http://schemas.openxmlformats.org/officeDocument/2006/relationships/hyperlink" Target="https://www.boamp.fr/pages/avis/?q=idweb:26-84191" TargetMode="External" Id="rId15"/><Relationship Type="http://schemas.openxmlformats.org/officeDocument/2006/relationships/hyperlink" Target="https://www.boamp.fr/pages/avis/?q=idweb:26-78821" TargetMode="External" Id="rId16"/><Relationship Type="http://schemas.openxmlformats.org/officeDocument/2006/relationships/hyperlink" Target="https://www.boamp.fr/pages/avis/?q=idweb:26-80807" TargetMode="External" Id="rId17"/><Relationship Type="http://schemas.openxmlformats.org/officeDocument/2006/relationships/hyperlink" Target="https://www.boamp.fr/pages/avis/?q=idweb:26-82481" TargetMode="External" Id="rId18"/><Relationship Type="http://schemas.openxmlformats.org/officeDocument/2006/relationships/hyperlink" Target="https://www.boamp.fr/pages/avis/?q=idweb:26-72708" TargetMode="External" Id="rId19"/><Relationship Type="http://schemas.openxmlformats.org/officeDocument/2006/relationships/hyperlink" Target="https://www.boamp.fr/pages/avis/?q=idweb:26-71675" TargetMode="External" Id="rId20"/><Relationship Type="http://schemas.openxmlformats.org/officeDocument/2006/relationships/hyperlink" Target="https://www.boamp.fr/pages/avis/?q=idweb:26-71198" TargetMode="External" Id="rId21"/><Relationship Type="http://schemas.openxmlformats.org/officeDocument/2006/relationships/table" Target="/xl/tables/table6.xml" Id="rId22"/></Relationships>
</file>

<file path=xl/worksheets/_rels/sheet8.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82885" TargetMode="External" Id="rId2"/><Relationship Type="http://schemas.openxmlformats.org/officeDocument/2006/relationships/hyperlink" Target="https://www.boamp.fr/pages/avis/?q=idweb:26-80740" TargetMode="External" Id="rId3"/><Relationship Type="http://schemas.openxmlformats.org/officeDocument/2006/relationships/hyperlink" Target="https://www.boamp.fr/pages/avis/?q=idweb:26-84191" TargetMode="External" Id="rId4"/><Relationship Type="http://schemas.openxmlformats.org/officeDocument/2006/relationships/hyperlink" Target="https://www.boamp.fr/pages/avis/?q=idweb:26-78821" TargetMode="External" Id="rId5"/><Relationship Type="http://schemas.openxmlformats.org/officeDocument/2006/relationships/hyperlink" Target="https://www.boamp.fr/pages/avis/?q=idweb:26-80807" TargetMode="External" Id="rId6"/><Relationship Type="http://schemas.openxmlformats.org/officeDocument/2006/relationships/hyperlink" Target="https://www.boamp.fr/pages/avis/?q=idweb:26-82481" TargetMode="External" Id="rId7"/><Relationship Type="http://schemas.openxmlformats.org/officeDocument/2006/relationships/hyperlink" Target="https://www.boamp.fr/pages/avis/?q=idweb:26-71198" TargetMode="External" Id="rId8"/><Relationship Type="http://schemas.openxmlformats.org/officeDocument/2006/relationships/hyperlink" Target="https://www.boamp.fr/pages/avis/?q=idweb:26-83560" TargetMode="External" Id="rId9"/><Relationship Type="http://schemas.openxmlformats.org/officeDocument/2006/relationships/hyperlink" Target="https://www.boamp.fr/pages/avis/?q=idweb:26-80351" TargetMode="External" Id="rId10"/><Relationship Type="http://schemas.openxmlformats.org/officeDocument/2006/relationships/hyperlink" Target="https://www.boamp.fr/pages/avis/?q=idweb:26-81760" TargetMode="External" Id="rId11"/><Relationship Type="http://schemas.openxmlformats.org/officeDocument/2006/relationships/hyperlink" Target="https://www.boamp.fr/pages/avis/?q=idweb:26-83553" TargetMode="External" Id="rId12"/><Relationship Type="http://schemas.openxmlformats.org/officeDocument/2006/relationships/hyperlink" Target="https://www.boamp.fr/pages/avis/?q=idweb:26-72948" TargetMode="External" Id="rId13"/><Relationship Type="http://schemas.openxmlformats.org/officeDocument/2006/relationships/hyperlink" Target="https://www.boamp.fr/pages/avis/?q=idweb:26-71986" TargetMode="External" Id="rId14"/><Relationship Type="http://schemas.openxmlformats.org/officeDocument/2006/relationships/hyperlink" Target="https://www.boamp.fr/pages/avis/?q=idweb:26-79275" TargetMode="External" Id="rId15"/><Relationship Type="http://schemas.openxmlformats.org/officeDocument/2006/relationships/hyperlink" Target="https://www.boamp.fr/pages/avis/?q=idweb:26-83118" TargetMode="External" Id="rId16"/><Relationship Type="http://schemas.openxmlformats.org/officeDocument/2006/relationships/hyperlink" Target="https://www.boamp.fr/pages/avis/?q=idweb:26-73898" TargetMode="External" Id="rId17"/><Relationship Type="http://schemas.openxmlformats.org/officeDocument/2006/relationships/hyperlink" Target="https://www.boamp.fr/pages/avis/?q=idweb:26-72955" TargetMode="External" Id="rId18"/><Relationship Type="http://schemas.openxmlformats.org/officeDocument/2006/relationships/hyperlink" Target="https://www.boamp.fr/pages/avis/?q=idweb:26-72105" TargetMode="External" Id="rId19"/><Relationship Type="http://schemas.openxmlformats.org/officeDocument/2006/relationships/hyperlink" Target="https://www.boamp.fr/pages/avis/?q=idweb:26-70522" TargetMode="External" Id="rId20"/><Relationship Type="http://schemas.openxmlformats.org/officeDocument/2006/relationships/hyperlink" Target="https://www.boamp.fr/pages/avis/?q=idweb:26-70503" TargetMode="External" Id="rId21"/><Relationship Type="http://schemas.openxmlformats.org/officeDocument/2006/relationships/hyperlink" Target="https://www.boamp.fr/pages/avis/?q=idweb:26-77541" TargetMode="External" Id="rId22"/><Relationship Type="http://schemas.openxmlformats.org/officeDocument/2006/relationships/hyperlink" Target="https://www.boamp.fr/pages/avis/?q=idweb:26-77581" TargetMode="External" Id="rId23"/><Relationship Type="http://schemas.openxmlformats.org/officeDocument/2006/relationships/hyperlink" Target="https://www.boamp.fr/pages/avis/?q=idweb:26-77150" TargetMode="External" Id="rId24"/><Relationship Type="http://schemas.openxmlformats.org/officeDocument/2006/relationships/hyperlink" Target="https://www.boamp.fr/pages/avis/?q=idweb:26-83350" TargetMode="External" Id="rId25"/><Relationship Type="http://schemas.openxmlformats.org/officeDocument/2006/relationships/hyperlink" Target="https://www.boamp.fr/pages/avis/?q=idweb:26-78332" TargetMode="External" Id="rId26"/><Relationship Type="http://schemas.openxmlformats.org/officeDocument/2006/relationships/hyperlink" Target="https://www.boamp.fr/pages/avis/?q=idweb:26-79241" TargetMode="External" Id="rId27"/><Relationship Type="http://schemas.openxmlformats.org/officeDocument/2006/relationships/hyperlink" Target="https://www.boamp.fr/pages/avis/?q=idweb:26-70841" TargetMode="External" Id="rId28"/><Relationship Type="http://schemas.openxmlformats.org/officeDocument/2006/relationships/hyperlink" Target="https://www.boamp.fr/pages/avis/?q=idweb:26-70040" TargetMode="External" Id="rId29"/><Relationship Type="http://schemas.openxmlformats.org/officeDocument/2006/relationships/hyperlink" Target="https://www.boamp.fr/pages/avis/?q=idweb:26-79560" TargetMode="External" Id="rId30"/><Relationship Type="http://schemas.openxmlformats.org/officeDocument/2006/relationships/hyperlink" Target="https://www.boamp.fr/pages/avis/?q=idweb:26-76712" TargetMode="External" Id="rId31"/><Relationship Type="http://schemas.openxmlformats.org/officeDocument/2006/relationships/hyperlink" Target="https://www.boamp.fr/pages/avis/?q=idweb:26-72867" TargetMode="External" Id="rId32"/><Relationship Type="http://schemas.openxmlformats.org/officeDocument/2006/relationships/hyperlink" Target="https://www.boamp.fr/pages/avis/?q=idweb:26-79004" TargetMode="External" Id="rId33"/><Relationship Type="http://schemas.openxmlformats.org/officeDocument/2006/relationships/table" Target="/xl/tables/table7.xml" Id="rId34"/></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hyperlink" Target="https://www.boamp.fr/pages/avis/?q=idweb:26-82960" TargetMode="External" Id="rId1"/><Relationship Type="http://schemas.openxmlformats.org/officeDocument/2006/relationships/hyperlink" Target="https://www.boamp.fr/pages/avis/?q=idweb:26-83419" TargetMode="External" Id="rId2"/><Relationship Type="http://schemas.openxmlformats.org/officeDocument/2006/relationships/hyperlink" Target="https://www.boamp.fr/pages/avis/?q=idweb:26-73275" TargetMode="External" Id="rId3"/><Relationship Type="http://schemas.openxmlformats.org/officeDocument/2006/relationships/hyperlink" Target="https://www.boamp.fr/pages/avis/?q=idweb:26-82168" TargetMode="External" Id="rId4"/><Relationship Type="http://schemas.openxmlformats.org/officeDocument/2006/relationships/hyperlink" Target="https://www.boamp.fr/pages/avis/?q=idweb:26-82885" TargetMode="External" Id="rId5"/><Relationship Type="http://schemas.openxmlformats.org/officeDocument/2006/relationships/hyperlink" Target="https://www.boamp.fr/pages/avis/?q=idweb:26-74949" TargetMode="External" Id="rId6"/><Relationship Type="http://schemas.openxmlformats.org/officeDocument/2006/relationships/hyperlink" Target="https://www.boamp.fr/pages/avis/?q=idweb:26-74013" TargetMode="External" Id="rId7"/><Relationship Type="http://schemas.openxmlformats.org/officeDocument/2006/relationships/hyperlink" Target="https://www.boamp.fr/pages/avis/?q=idweb:26-72283" TargetMode="External" Id="rId8"/><Relationship Type="http://schemas.openxmlformats.org/officeDocument/2006/relationships/hyperlink" Target="https://www.boamp.fr/pages/avis/?q=idweb:26-80939" TargetMode="External" Id="rId9"/><Relationship Type="http://schemas.openxmlformats.org/officeDocument/2006/relationships/hyperlink" Target="https://www.boamp.fr/pages/avis/?q=idweb:26-80740" TargetMode="External" Id="rId10"/><Relationship Type="http://schemas.openxmlformats.org/officeDocument/2006/relationships/hyperlink" Target="https://www.boamp.fr/pages/avis/?q=idweb:26-78436" TargetMode="External" Id="rId11"/><Relationship Type="http://schemas.openxmlformats.org/officeDocument/2006/relationships/hyperlink" Target="https://www.boamp.fr/pages/avis/?q=idweb:26-70858" TargetMode="External" Id="rId12"/><Relationship Type="http://schemas.openxmlformats.org/officeDocument/2006/relationships/hyperlink" Target="https://www.boamp.fr/pages/avis/?q=idweb:26-70565" TargetMode="External" Id="rId13"/><Relationship Type="http://schemas.openxmlformats.org/officeDocument/2006/relationships/hyperlink" Target="https://www.boamp.fr/pages/avis/?q=idweb:26-83338" TargetMode="External" Id="rId14"/><Relationship Type="http://schemas.openxmlformats.org/officeDocument/2006/relationships/hyperlink" Target="https://www.boamp.fr/pages/avis/?q=idweb:26-84191" TargetMode="External" Id="rId15"/><Relationship Type="http://schemas.openxmlformats.org/officeDocument/2006/relationships/hyperlink" Target="https://www.boamp.fr/pages/avis/?q=idweb:26-78821" TargetMode="External" Id="rId16"/><Relationship Type="http://schemas.openxmlformats.org/officeDocument/2006/relationships/hyperlink" Target="https://www.boamp.fr/pages/avis/?q=idweb:26-80807" TargetMode="External" Id="rId17"/><Relationship Type="http://schemas.openxmlformats.org/officeDocument/2006/relationships/hyperlink" Target="https://www.boamp.fr/pages/avis/?q=idweb:26-82481" TargetMode="External" Id="rId18"/><Relationship Type="http://schemas.openxmlformats.org/officeDocument/2006/relationships/hyperlink" Target="https://www.boamp.fr/pages/avis/?q=idweb:26-72708" TargetMode="External" Id="rId19"/><Relationship Type="http://schemas.openxmlformats.org/officeDocument/2006/relationships/hyperlink" Target="https://www.boamp.fr/pages/avis/?q=idweb:26-71675" TargetMode="External" Id="rId20"/><Relationship Type="http://schemas.openxmlformats.org/officeDocument/2006/relationships/hyperlink" Target="https://www.boamp.fr/pages/avis/?q=idweb:26-71198" TargetMode="External" Id="rId21"/><Relationship Type="http://schemas.openxmlformats.org/officeDocument/2006/relationships/hyperlink" Target="https://www.boamp.fr/pages/avis/?q=idweb:26-83560" TargetMode="External" Id="rId22"/><Relationship Type="http://schemas.openxmlformats.org/officeDocument/2006/relationships/hyperlink" Target="https://www.boamp.fr/pages/avis/?q=idweb:26-80351" TargetMode="External" Id="rId23"/><Relationship Type="http://schemas.openxmlformats.org/officeDocument/2006/relationships/hyperlink" Target="https://www.boamp.fr/pages/avis/?q=idweb:26-81760" TargetMode="External" Id="rId24"/><Relationship Type="http://schemas.openxmlformats.org/officeDocument/2006/relationships/hyperlink" Target="https://www.boamp.fr/pages/avis/?q=idweb:26-83553" TargetMode="External" Id="rId25"/><Relationship Type="http://schemas.openxmlformats.org/officeDocument/2006/relationships/hyperlink" Target="https://www.boamp.fr/pages/avis/?q=idweb:26-72948" TargetMode="External" Id="rId26"/><Relationship Type="http://schemas.openxmlformats.org/officeDocument/2006/relationships/hyperlink" Target="https://www.boamp.fr/pages/avis/?q=idweb:26-71986" TargetMode="External" Id="rId27"/><Relationship Type="http://schemas.openxmlformats.org/officeDocument/2006/relationships/hyperlink" Target="https://www.boamp.fr/pages/avis/?q=idweb:26-71545" TargetMode="External" Id="rId28"/><Relationship Type="http://schemas.openxmlformats.org/officeDocument/2006/relationships/hyperlink" Target="https://www.boamp.fr/pages/avis/?q=idweb:26-79275" TargetMode="External" Id="rId29"/><Relationship Type="http://schemas.openxmlformats.org/officeDocument/2006/relationships/hyperlink" Target="https://www.boamp.fr/pages/avis/?q=idweb:26-83118" TargetMode="External" Id="rId30"/><Relationship Type="http://schemas.openxmlformats.org/officeDocument/2006/relationships/hyperlink" Target="https://www.boamp.fr/pages/avis/?q=idweb:26-73898" TargetMode="External" Id="rId31"/><Relationship Type="http://schemas.openxmlformats.org/officeDocument/2006/relationships/hyperlink" Target="https://www.boamp.fr/pages/avis/?q=idweb:26-72955" TargetMode="External" Id="rId32"/><Relationship Type="http://schemas.openxmlformats.org/officeDocument/2006/relationships/hyperlink" Target="https://www.boamp.fr/pages/avis/?q=idweb:26-72105" TargetMode="External" Id="rId33"/><Relationship Type="http://schemas.openxmlformats.org/officeDocument/2006/relationships/hyperlink" Target="https://www.boamp.fr/pages/avis/?q=idweb:26-70522" TargetMode="External" Id="rId34"/><Relationship Type="http://schemas.openxmlformats.org/officeDocument/2006/relationships/hyperlink" Target="https://www.boamp.fr/pages/avis/?q=idweb:26-70503" TargetMode="External" Id="rId35"/><Relationship Type="http://schemas.openxmlformats.org/officeDocument/2006/relationships/hyperlink" Target="https://www.boamp.fr/pages/avis/?q=idweb:26-82245" TargetMode="External" Id="rId36"/><Relationship Type="http://schemas.openxmlformats.org/officeDocument/2006/relationships/hyperlink" Target="https://www.boamp.fr/pages/avis/?q=idweb:26-81766" TargetMode="External" Id="rId37"/><Relationship Type="http://schemas.openxmlformats.org/officeDocument/2006/relationships/hyperlink" Target="https://www.boamp.fr/pages/avis/?q=idweb:26-77541" TargetMode="External" Id="rId38"/><Relationship Type="http://schemas.openxmlformats.org/officeDocument/2006/relationships/hyperlink" Target="https://www.boamp.fr/pages/avis/?q=idweb:26-77581" TargetMode="External" Id="rId39"/><Relationship Type="http://schemas.openxmlformats.org/officeDocument/2006/relationships/hyperlink" Target="https://www.boamp.fr/pages/avis/?q=idweb:26-72690" TargetMode="External" Id="rId40"/><Relationship Type="http://schemas.openxmlformats.org/officeDocument/2006/relationships/hyperlink" Target="https://www.boamp.fr/pages/avis/?q=idweb:26-70805" TargetMode="External" Id="rId41"/><Relationship Type="http://schemas.openxmlformats.org/officeDocument/2006/relationships/hyperlink" Target="https://www.boamp.fr/pages/avis/?q=idweb:26-77150" TargetMode="External" Id="rId42"/><Relationship Type="http://schemas.openxmlformats.org/officeDocument/2006/relationships/hyperlink" Target="https://www.boamp.fr/pages/avis/?q=idweb:26-83490" TargetMode="External" Id="rId43"/><Relationship Type="http://schemas.openxmlformats.org/officeDocument/2006/relationships/hyperlink" Target="https://www.boamp.fr/pages/avis/?q=idweb:26-83694" TargetMode="External" Id="rId44"/><Relationship Type="http://schemas.openxmlformats.org/officeDocument/2006/relationships/hyperlink" Target="https://www.boamp.fr/pages/avis/?q=idweb:26-70259" TargetMode="External" Id="rId45"/><Relationship Type="http://schemas.openxmlformats.org/officeDocument/2006/relationships/table" Target="/xl/tables/table9.xml" Id="rId46"/></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2.xml.rels><Relationships xmlns="http://schemas.openxmlformats.org/package/2006/relationships"><Relationship Type="http://schemas.openxmlformats.org/officeDocument/2006/relationships/table" Target="/xl/tables/table11.xml" Id="rId1"/></Relationships>
</file>

<file path=xl/worksheets/_rels/sheet13.xml.rels><Relationships xmlns="http://schemas.openxmlformats.org/package/2006/relationships"><Relationship Type="http://schemas.openxmlformats.org/officeDocument/2006/relationships/table" Target="/xl/tables/table12.xml" Id="rId1"/></Relationships>
</file>

<file path=xl/worksheets/_rels/sheet14.xml.rels><Relationships xmlns="http://schemas.openxmlformats.org/package/2006/relationships"><Relationship Type="http://schemas.openxmlformats.org/officeDocument/2006/relationships/table" Target="/xl/tables/table13.xml" Id="rId1"/></Relationships>
</file>

<file path=xl/worksheets/_rels/sheet15.xml.rels><Relationships xmlns="http://schemas.openxmlformats.org/package/2006/relationships"><Relationship Type="http://schemas.openxmlformats.org/officeDocument/2006/relationships/table" Target="/xl/tables/table14.xml" Id="rId1"/></Relationships>
</file>

<file path=xl/worksheets/_rels/sheet16.xml.rels><Relationships xmlns="http://schemas.openxmlformats.org/package/2006/relationships"><Relationship Type="http://schemas.openxmlformats.org/officeDocument/2006/relationships/table" Target="/xl/tables/table15.xml" Id="rId1"/></Relationships>
</file>

<file path=xl/worksheets/_rels/sheet17.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Feuil1">
    <outlinePr summaryBelow="1" summaryRight="1"/>
    <pageSetUpPr/>
  </sheetPr>
  <dimension ref="A1:L28"/>
  <sheetViews>
    <sheetView workbookViewId="0">
      <pane ySplit="8" topLeftCell="A9" activePane="bottomLeft" state="frozen"/>
      <selection pane="bottomLeft" activeCell="A1" sqref="A1"/>
    </sheetView>
  </sheetViews>
  <sheetFormatPr baseColWidth="10" defaultRowHeight="14.5"/>
  <cols>
    <col width="6" customWidth="1" min="1" max="1"/>
    <col width="14" customWidth="1" min="2" max="2"/>
    <col width="8" customWidth="1" min="3" max="3"/>
    <col width="12" customWidth="1" min="4" max="4"/>
    <col width="45" customWidth="1" min="5" max="5"/>
    <col width="28" customWidth="1" min="6" max="6"/>
    <col width="16" customWidth="1" min="7" max="7"/>
    <col width="8" customWidth="1" min="8" max="8"/>
    <col width="14" customWidth="1" min="9" max="9"/>
    <col width="14" customWidth="1" min="10" max="10"/>
    <col width="30" customWidth="1" min="11" max="11"/>
  </cols>
  <sheetData>
    <row r="1" ht="22" customHeight="1">
      <c r="A1" s="3" t="inlineStr">
        <is>
          <t>PILOTAGE — Prospection Appels d'Offres CHRUTH</t>
        </is>
      </c>
    </row>
    <row r="2" ht="22" customHeight="1"/>
    <row r="4">
      <c r="A4" s="4" t="inlineStr">
        <is>
          <t>Date MAJ</t>
        </is>
      </c>
      <c r="C4" s="4" t="inlineStr">
        <is>
          <t>Check qualite</t>
        </is>
      </c>
      <c r="E4" s="4" t="inlineStr">
        <is>
          <t>AO trouves</t>
        </is>
      </c>
      <c r="G4" s="4" t="inlineStr">
        <is>
          <t>AO chauds</t>
        </is>
      </c>
      <c r="I4" s="4" t="inlineStr">
        <is>
          <t>AO IDF</t>
        </is>
      </c>
      <c r="K4" s="4" t="inlineStr">
        <is>
          <t>Budget a verifier</t>
        </is>
      </c>
    </row>
    <row r="5">
      <c r="A5" s="5" t="inlineStr">
        <is>
          <t>31/08/2026</t>
        </is>
      </c>
      <c r="C5" s="5" t="inlineStr">
        <is>
          <t>33 alertes</t>
        </is>
      </c>
      <c r="E5" s="5" t="n">
        <v>82</v>
      </c>
      <c r="G5" s="5" t="n">
        <v>21</v>
      </c>
      <c r="I5" s="5" t="n">
        <v>82</v>
      </c>
      <c r="K5" s="5" t="n">
        <v>33</v>
      </c>
    </row>
    <row r="7">
      <c r="A7" s="6" t="inlineStr">
        <is>
          <t>Top 20 AO ouverts (date limite a venir, par score)</t>
        </is>
      </c>
    </row>
    <row r="8">
      <c r="A8" s="7" t="inlineStr">
        <is>
          <t>rang</t>
        </is>
      </c>
      <c r="B8" s="7" t="inlineStr">
        <is>
          <t>id_ao</t>
        </is>
      </c>
      <c r="C8" s="7" t="inlineStr">
        <is>
          <t>score_chruth</t>
        </is>
      </c>
      <c r="D8" s="7" t="inlineStr">
        <is>
          <t>priorite</t>
        </is>
      </c>
      <c r="E8" s="7" t="inlineStr">
        <is>
          <t>objet</t>
        </is>
      </c>
      <c r="F8" s="7" t="inlineStr">
        <is>
          <t>acheteur</t>
        </is>
      </c>
      <c r="G8" s="7" t="inlineStr">
        <is>
          <t>ville</t>
        </is>
      </c>
      <c r="H8" s="7" t="inlineStr">
        <is>
          <t>departement</t>
        </is>
      </c>
      <c r="I8" s="7" t="inlineStr">
        <is>
          <t>budget_estime_eur</t>
        </is>
      </c>
      <c r="J8" s="7" t="inlineStr">
        <is>
          <t>date_limite</t>
        </is>
      </c>
      <c r="K8" s="7" t="inlineStr">
        <is>
          <t>url_avis</t>
        </is>
      </c>
    </row>
    <row r="9">
      <c r="A9" s="8" t="n">
        <v>1</v>
      </c>
      <c r="B9" s="8" t="inlineStr">
        <is>
          <t>26-82960</t>
        </is>
      </c>
      <c r="C9" s="8" t="inlineStr">
        <is>
          <t>89.8</t>
        </is>
      </c>
      <c r="D9" s="8" t="inlineStr">
        <is>
          <t>CHAUD</t>
        </is>
      </c>
      <c r="E9" s="8" t="inlineStr">
        <is>
          <t>Accord cadre de missions de formation de lutte contre la discrimination et de lutte contre les violences sexistes et sexuelles à destination du tissu associatif en deux lots séparés.</t>
        </is>
      </c>
      <c r="F9" s="8" t="inlineStr">
        <is>
          <t>VILLE de PARIS - DFA - SDA</t>
        </is>
      </c>
      <c r="G9" s="8" t="inlineStr"/>
      <c r="H9" s="8" t="inlineStr">
        <is>
          <t>75</t>
        </is>
      </c>
      <c r="I9" s="9" t="n">
        <v>40000</v>
      </c>
      <c r="J9" s="10" t="n">
        <v>46280</v>
      </c>
      <c r="K9" s="11" t="inlineStr">
        <is>
          <t>https://www.boamp.fr/pages/avis/?q=idweb:26-82960</t>
        </is>
      </c>
    </row>
    <row r="10">
      <c r="A10" s="8" t="n">
        <v>2</v>
      </c>
      <c r="B10" s="8" t="inlineStr">
        <is>
          <t>26-83419</t>
        </is>
      </c>
      <c r="C10" s="8" t="inlineStr">
        <is>
          <t>80.5</t>
        </is>
      </c>
      <c r="D10" s="8" t="inlineStr">
        <is>
          <t>CHAUD</t>
        </is>
      </c>
      <c r="E10" s="8" t="inlineStr">
        <is>
          <t>Prestations d'entretien ménager</t>
        </is>
      </c>
      <c r="F10" s="8" t="inlineStr">
        <is>
          <t>VILLE DE LOUVRES</t>
        </is>
      </c>
      <c r="G10" s="8" t="inlineStr"/>
      <c r="H10" s="8" t="inlineStr">
        <is>
          <t>95</t>
        </is>
      </c>
      <c r="I10" s="9" t="n">
        <v>10000</v>
      </c>
      <c r="J10" s="10" t="n">
        <v>46300</v>
      </c>
      <c r="K10" s="11" t="inlineStr">
        <is>
          <t>https://www.boamp.fr/pages/avis/?q=idweb:26-83419</t>
        </is>
      </c>
    </row>
    <row r="11">
      <c r="A11" s="8" t="n">
        <v>3</v>
      </c>
      <c r="B11" s="8" t="inlineStr">
        <is>
          <t>26-82168</t>
        </is>
      </c>
      <c r="C11" s="8" t="inlineStr">
        <is>
          <t>78.8</t>
        </is>
      </c>
      <c r="D11" s="8" t="inlineStr">
        <is>
          <t>CHAUD</t>
        </is>
      </c>
      <c r="E11" s="8" t="inlineStr">
        <is>
          <t>Capture et ramassage d’animaux errants, et/ou dangereux, et/ou blessés, et/ou morts et leur mise en fourrière</t>
        </is>
      </c>
      <c r="F11" s="8" t="inlineStr">
        <is>
          <t>COMMUNE DE SAINT-DENIS</t>
        </is>
      </c>
      <c r="G11" s="8" t="inlineStr"/>
      <c r="H11" s="8" t="inlineStr">
        <is>
          <t>93,75,94,95</t>
        </is>
      </c>
      <c r="I11" s="9" t="n">
        <v>90000</v>
      </c>
      <c r="J11" s="10" t="n">
        <v>46290</v>
      </c>
      <c r="K11" s="11" t="inlineStr">
        <is>
          <t>https://www.boamp.fr/pages/avis/?q=idweb:26-82168</t>
        </is>
      </c>
    </row>
    <row r="12">
      <c r="A12" s="8" t="n">
        <v>4</v>
      </c>
      <c r="B12" s="8" t="inlineStr">
        <is>
          <t>26-82885</t>
        </is>
      </c>
      <c r="C12" s="8" t="inlineStr">
        <is>
          <t>75.5</t>
        </is>
      </c>
      <c r="D12" s="8" t="inlineStr">
        <is>
          <t>CHAUD</t>
        </is>
      </c>
      <c r="E12" s="8" t="inlineStr">
        <is>
          <t>Balayage des voies, trottoirs et caniveaux</t>
        </is>
      </c>
      <c r="F12" s="8" t="inlineStr">
        <is>
          <t>Mairie de Maule</t>
        </is>
      </c>
      <c r="G12" s="8" t="inlineStr">
        <is>
          <t>Maule</t>
        </is>
      </c>
      <c r="H12" s="8" t="inlineStr">
        <is>
          <t>78</t>
        </is>
      </c>
      <c r="I12" s="8" t="inlineStr"/>
      <c r="J12" s="10" t="n">
        <v>46295</v>
      </c>
      <c r="K12" s="11" t="inlineStr">
        <is>
          <t>https://www.boamp.fr/pages/avis/?q=idweb:26-82885</t>
        </is>
      </c>
    </row>
    <row r="13">
      <c r="A13" s="8" t="n">
        <v>5</v>
      </c>
      <c r="B13" s="8" t="inlineStr">
        <is>
          <t>26-74013</t>
        </is>
      </c>
      <c r="C13" s="8" t="inlineStr">
        <is>
          <t>75</t>
        </is>
      </c>
      <c r="D13" s="8" t="inlineStr">
        <is>
          <t>CHAUD</t>
        </is>
      </c>
      <c r="E13" s="8" t="inlineStr">
        <is>
          <t>Prestations de nettoyage des locaux de l'École nationale supérieure d’architecture de Paris-La Villette</t>
        </is>
      </c>
      <c r="F13" s="8" t="inlineStr">
        <is>
          <t>ENSA Paris-La Villette</t>
        </is>
      </c>
      <c r="G13" s="8" t="inlineStr">
        <is>
          <t>Paris</t>
        </is>
      </c>
      <c r="H13" s="8" t="inlineStr">
        <is>
          <t>75,92,93,91,95,77,94</t>
        </is>
      </c>
      <c r="I13" s="9" t="n">
        <v>75019</v>
      </c>
      <c r="J13" s="10" t="n">
        <v>46293</v>
      </c>
      <c r="K13" s="11" t="inlineStr">
        <is>
          <t>https://www.boamp.fr/pages/avis/?q=idweb:26-74013</t>
        </is>
      </c>
    </row>
    <row r="14">
      <c r="A14" s="8" t="n">
        <v>6</v>
      </c>
      <c r="B14" s="8" t="inlineStr">
        <is>
          <t>26-72283</t>
        </is>
      </c>
      <c r="C14" s="8" t="inlineStr">
        <is>
          <t>75</t>
        </is>
      </c>
      <c r="D14" s="8" t="inlineStr">
        <is>
          <t>CHAUD</t>
        </is>
      </c>
      <c r="E14" s="8" t="inlineStr">
        <is>
          <t>Prestation d'écrivains publics interprètes à Montreuil</t>
        </is>
      </c>
      <c r="F14" s="8" t="inlineStr">
        <is>
          <t>Mairie de Montreuil</t>
        </is>
      </c>
      <c r="G14" s="8" t="inlineStr">
        <is>
          <t>Montreuil</t>
        </is>
      </c>
      <c r="H14" s="8" t="inlineStr">
        <is>
          <t>93</t>
        </is>
      </c>
      <c r="I14" s="9" t="n">
        <v>93100</v>
      </c>
      <c r="J14" s="10" t="n">
        <v>46276</v>
      </c>
      <c r="K14" s="11" t="inlineStr">
        <is>
          <t>https://www.boamp.fr/pages/avis/?q=idweb:26-72283</t>
        </is>
      </c>
    </row>
    <row r="15">
      <c r="A15" s="8" t="n">
        <v>7</v>
      </c>
      <c r="B15" s="8" t="inlineStr">
        <is>
          <t>26-80939</t>
        </is>
      </c>
      <c r="C15" s="8" t="inlineStr">
        <is>
          <t>73.5</t>
        </is>
      </c>
      <c r="D15" s="8" t="inlineStr">
        <is>
          <t>CHAUD</t>
        </is>
      </c>
      <c r="E15" s="8" t="inlineStr">
        <is>
          <t>Plantation et entretien du patrimoine arboré des propriétés communales</t>
        </is>
      </c>
      <c r="F15" s="8" t="inlineStr">
        <is>
          <t>Ville de Longjumeau</t>
        </is>
      </c>
      <c r="G15" s="8" t="inlineStr"/>
      <c r="H15" s="8" t="inlineStr">
        <is>
          <t>91</t>
        </is>
      </c>
      <c r="I15" s="9" t="n">
        <v>85000</v>
      </c>
      <c r="J15" s="10" t="n">
        <v>46289</v>
      </c>
      <c r="K15" s="11" t="inlineStr">
        <is>
          <t>https://www.boamp.fr/pages/avis/?q=idweb:26-80939</t>
        </is>
      </c>
    </row>
    <row r="16">
      <c r="A16" s="8" t="n">
        <v>8</v>
      </c>
      <c r="B16" s="8" t="inlineStr">
        <is>
          <t>26-80740</t>
        </is>
      </c>
      <c r="C16" s="8" t="inlineStr">
        <is>
          <t>71.0</t>
        </is>
      </c>
      <c r="D16" s="8" t="inlineStr">
        <is>
          <t>CHAUD</t>
        </is>
      </c>
      <c r="E16" s="8" t="inlineStr">
        <is>
          <t>Entretien Ménager - Service Ordures Ménagères -</t>
        </is>
      </c>
      <c r="F16" s="8" t="inlineStr">
        <is>
          <t>SAEM de construction Maisons-Laffitte</t>
        </is>
      </c>
      <c r="G16" s="8" t="inlineStr">
        <is>
          <t>Maisons-Laffitte Cedex</t>
        </is>
      </c>
      <c r="H16" s="8" t="inlineStr">
        <is>
          <t>78</t>
        </is>
      </c>
      <c r="I16" s="8" t="inlineStr"/>
      <c r="J16" s="10" t="n">
        <v>46326</v>
      </c>
      <c r="K16" s="11" t="inlineStr">
        <is>
          <t>https://www.boamp.fr/pages/avis/?q=idweb:26-80740</t>
        </is>
      </c>
    </row>
    <row r="17">
      <c r="A17" s="8" t="n">
        <v>9</v>
      </c>
      <c r="B17" s="8" t="inlineStr">
        <is>
          <t>26-78436</t>
        </is>
      </c>
      <c r="C17" s="8" t="inlineStr">
        <is>
          <t>70.5</t>
        </is>
      </c>
      <c r="D17" s="8" t="inlineStr">
        <is>
          <t>CHAUD</t>
        </is>
      </c>
      <c r="E17" s="8" t="inlineStr">
        <is>
          <t>Nettoyage Des Batiments Communaux Et Nettoyage Des Vitres</t>
        </is>
      </c>
      <c r="F17" s="8" t="inlineStr">
        <is>
          <t>Mairie De Gouvernes</t>
        </is>
      </c>
      <c r="G17" s="8" t="inlineStr">
        <is>
          <t>GOUVERNES</t>
        </is>
      </c>
      <c r="H17" s="8" t="inlineStr">
        <is>
          <t>77</t>
        </is>
      </c>
      <c r="I17" s="9" t="n">
        <v>77400</v>
      </c>
      <c r="J17" s="10" t="n">
        <v>46279</v>
      </c>
      <c r="K17" s="11" t="inlineStr">
        <is>
          <t>https://www.boamp.fr/pages/avis/?q=idweb:26-78436</t>
        </is>
      </c>
    </row>
    <row r="18">
      <c r="A18" s="8" t="n">
        <v>10</v>
      </c>
      <c r="B18" s="8" t="inlineStr">
        <is>
          <t>26-70858</t>
        </is>
      </c>
      <c r="C18" s="8" t="inlineStr">
        <is>
          <t>70</t>
        </is>
      </c>
      <c r="D18" s="8" t="inlineStr">
        <is>
          <t>CHAUD</t>
        </is>
      </c>
      <c r="E18" s="8" t="inlineStr">
        <is>
          <t>Nettoyage des locaux de l'EPAMSA</t>
        </is>
      </c>
      <c r="F18" s="8" t="inlineStr">
        <is>
          <t>EPAMSA</t>
        </is>
      </c>
      <c r="G18" s="8" t="inlineStr">
        <is>
          <t>MANTES-LA-JOLIE</t>
        </is>
      </c>
      <c r="H18" s="8" t="inlineStr">
        <is>
          <t>78</t>
        </is>
      </c>
      <c r="I18" s="9" t="n">
        <v>78200</v>
      </c>
      <c r="J18" s="10" t="n">
        <v>46269</v>
      </c>
      <c r="K18" s="11" t="inlineStr">
        <is>
          <t>https://www.boamp.fr/pages/avis/?q=idweb:26-70858</t>
        </is>
      </c>
    </row>
    <row r="19">
      <c r="A19" s="8" t="n">
        <v>11</v>
      </c>
      <c r="B19" s="8" t="inlineStr">
        <is>
          <t>26-70565</t>
        </is>
      </c>
      <c r="C19" s="8" t="inlineStr">
        <is>
          <t>70</t>
        </is>
      </c>
      <c r="D19" s="8" t="inlineStr">
        <is>
          <t>CHAUD</t>
        </is>
      </c>
      <c r="E19" s="8" t="inlineStr">
        <is>
          <t>TRAVAUX D'AMÉNAGEMENT INTÉRIEUR DU R+1 ET COMBLE DE LA FERME DURPÉ</t>
        </is>
      </c>
      <c r="F19" s="8" t="inlineStr">
        <is>
          <t>COMMUNE DE MAGNY LE HONGRE</t>
        </is>
      </c>
      <c r="G19" s="8" t="inlineStr">
        <is>
          <t>MAGNY LE HONGRE</t>
        </is>
      </c>
      <c r="H19" s="8" t="inlineStr">
        <is>
          <t>77,75,78,91</t>
        </is>
      </c>
      <c r="I19" s="9" t="n">
        <v>77700</v>
      </c>
      <c r="J19" s="10" t="n">
        <v>46275</v>
      </c>
      <c r="K19" s="11" t="inlineStr">
        <is>
          <t>https://www.boamp.fr/pages/avis/?q=idweb:26-70565</t>
        </is>
      </c>
    </row>
    <row r="20">
      <c r="A20" s="8" t="n">
        <v>12</v>
      </c>
      <c r="B20" s="8" t="inlineStr">
        <is>
          <t>26-83338</t>
        </is>
      </c>
      <c r="C20" s="8" t="inlineStr">
        <is>
          <t>69.9</t>
        </is>
      </c>
      <c r="D20" s="8" t="inlineStr">
        <is>
          <t>CHAUD</t>
        </is>
      </c>
      <c r="E20" s="8" t="inlineStr">
        <is>
          <t>Nettoyage Des Vitres Dans Les Batiments Communaux</t>
        </is>
      </c>
      <c r="F20" s="8" t="inlineStr">
        <is>
          <t>Mairie de Bonneuil sur Marne</t>
        </is>
      </c>
      <c r="G20" s="8" t="inlineStr">
        <is>
          <t>Bonneuil-sur-Marne</t>
        </is>
      </c>
      <c r="H20" s="8" t="inlineStr">
        <is>
          <t>94</t>
        </is>
      </c>
      <c r="I20" s="9" t="n">
        <v>94380</v>
      </c>
      <c r="J20" s="10" t="n">
        <v>46290</v>
      </c>
      <c r="K20" s="11" t="inlineStr">
        <is>
          <t>https://www.boamp.fr/pages/avis/?q=idweb:26-83338</t>
        </is>
      </c>
    </row>
    <row r="21">
      <c r="A21" s="8" t="n">
        <v>13</v>
      </c>
      <c r="B21" s="8" t="inlineStr">
        <is>
          <t>26-84191</t>
        </is>
      </c>
      <c r="C21" s="8" t="inlineStr">
        <is>
          <t>66.0</t>
        </is>
      </c>
      <c r="D21" s="8" t="inlineStr">
        <is>
          <t>CHAUD</t>
        </is>
      </c>
      <c r="E21" s="8" t="inlineStr">
        <is>
          <t>Nettoyage et entretien des locaux des bâtiments communaux</t>
        </is>
      </c>
      <c r="F21" s="8" t="inlineStr">
        <is>
          <t>Mairie d'Emerainville</t>
        </is>
      </c>
      <c r="G21" s="8" t="inlineStr"/>
      <c r="H21" s="8" t="inlineStr">
        <is>
          <t>77</t>
        </is>
      </c>
      <c r="I21" s="8" t="inlineStr"/>
      <c r="J21" s="10" t="n">
        <v>46293</v>
      </c>
      <c r="K21" s="11" t="inlineStr">
        <is>
          <t>https://www.boamp.fr/pages/avis/?q=idweb:26-84191</t>
        </is>
      </c>
    </row>
    <row r="22">
      <c r="A22" s="8" t="n">
        <v>14</v>
      </c>
      <c r="B22" s="8" t="inlineStr">
        <is>
          <t>26-78821</t>
        </is>
      </c>
      <c r="C22" s="8" t="inlineStr">
        <is>
          <t>65.5</t>
        </is>
      </c>
      <c r="D22" s="8" t="inlineStr">
        <is>
          <t>CHAUD</t>
        </is>
      </c>
      <c r="E22" s="8" t="inlineStr">
        <is>
          <t>Prestations de nettoyage des locaux et des vitreries du Complexe Sportif et Culturel Camille Muffat.</t>
        </is>
      </c>
      <c r="F22" s="8" t="inlineStr">
        <is>
          <t>Seine Spport Culture</t>
        </is>
      </c>
      <c r="G22" s="8" t="inlineStr"/>
      <c r="H22" s="8" t="inlineStr">
        <is>
          <t>92</t>
        </is>
      </c>
      <c r="I22" s="8" t="inlineStr"/>
      <c r="J22" s="10" t="n">
        <v>46295</v>
      </c>
      <c r="K22" s="11" t="inlineStr">
        <is>
          <t>https://www.boamp.fr/pages/avis/?q=idweb:26-78821</t>
        </is>
      </c>
    </row>
    <row r="23">
      <c r="A23" s="8" t="n">
        <v>15</v>
      </c>
      <c r="B23" s="8" t="inlineStr">
        <is>
          <t>26-80807</t>
        </is>
      </c>
      <c r="C23" s="8" t="inlineStr">
        <is>
          <t>65.2</t>
        </is>
      </c>
      <c r="D23" s="8" t="inlineStr">
        <is>
          <t>CHAUD</t>
        </is>
      </c>
      <c r="E23" s="8" t="inlineStr">
        <is>
          <t>PRESTATION DE NETTOYAGE, D’ENTRETIEN COURANT ET DE BLANCHISSERIE : STRUCTURES PETITE ENFANCE - MAISON DE L’ENFANCE « NICOLE CHAPEL », CRECHE COLLECTIVE « LES DAUPHINS » ET HALTE-GARDERIE « LES POUS...</t>
        </is>
      </c>
      <c r="F23" s="8" t="inlineStr">
        <is>
          <t>VILLE DE MELUN, Pôle ressources, Services à la population et Transition Ecologique</t>
        </is>
      </c>
      <c r="G23" s="8" t="inlineStr"/>
      <c r="H23" s="8" t="inlineStr">
        <is>
          <t>77,91,93,75</t>
        </is>
      </c>
      <c r="I23" s="8" t="inlineStr"/>
      <c r="J23" s="10" t="n">
        <v>46294</v>
      </c>
      <c r="K23" s="11" t="inlineStr">
        <is>
          <t>https://www.boamp.fr/pages/avis/?q=idweb:26-80807</t>
        </is>
      </c>
    </row>
    <row r="24">
      <c r="A24" s="8" t="n">
        <v>16</v>
      </c>
      <c r="B24" s="8" t="inlineStr">
        <is>
          <t>26-71198</t>
        </is>
      </c>
      <c r="C24" s="8" t="inlineStr">
        <is>
          <t>65</t>
        </is>
      </c>
      <c r="D24" s="8" t="inlineStr">
        <is>
          <t>CHAUD</t>
        </is>
      </c>
      <c r="E24" s="8" t="inlineStr">
        <is>
          <t>CONCESSION DE SERVICE PUBLIC 
PORTANT SUR LA GESTION ET L'EXPLOITATION DES MARCHES FORAINS DE LA VILLE DE MONTROUGE</t>
        </is>
      </c>
      <c r="F24" s="8" t="inlineStr">
        <is>
          <t>Ville de Montrouge</t>
        </is>
      </c>
      <c r="G24" s="8" t="inlineStr">
        <is>
          <t>Montrouge cedex</t>
        </is>
      </c>
      <c r="H24" s="8" t="inlineStr">
        <is>
          <t>92,75</t>
        </is>
      </c>
      <c r="I24" s="8" t="inlineStr"/>
      <c r="J24" s="10" t="n">
        <v>46295</v>
      </c>
      <c r="K24" s="11" t="inlineStr">
        <is>
          <t>https://www.boamp.fr/pages/avis/?q=idweb:26-71198</t>
        </is>
      </c>
    </row>
    <row r="25">
      <c r="A25" s="8" t="n">
        <v>17</v>
      </c>
      <c r="B25" s="8" t="inlineStr">
        <is>
          <t>26-71675</t>
        </is>
      </c>
      <c r="C25" s="8" t="inlineStr">
        <is>
          <t>65</t>
        </is>
      </c>
      <c r="D25" s="8" t="inlineStr">
        <is>
          <t>CHAUD</t>
        </is>
      </c>
      <c r="E25" s="8" t="inlineStr">
        <is>
          <t>Décontamination, dépoussiérage et reconditionnement des réserves documentaires n°2 et 3 du Château de Sceaux</t>
        </is>
      </c>
      <c r="F25" s="8" t="inlineStr">
        <is>
          <t>Département des Hauts-de-Seine</t>
        </is>
      </c>
      <c r="G25" s="8" t="inlineStr">
        <is>
          <t>NANTERRE</t>
        </is>
      </c>
      <c r="H25" s="8" t="inlineStr">
        <is>
          <t>92</t>
        </is>
      </c>
      <c r="I25" s="9" t="n">
        <v>92000</v>
      </c>
      <c r="J25" s="10" t="n">
        <v>46276</v>
      </c>
      <c r="K25" s="11" t="inlineStr">
        <is>
          <t>https://www.boamp.fr/pages/avis/?q=idweb:26-71675</t>
        </is>
      </c>
    </row>
    <row r="26">
      <c r="A26" s="8" t="n">
        <v>18</v>
      </c>
      <c r="B26" s="8" t="inlineStr">
        <is>
          <t>26-72708</t>
        </is>
      </c>
      <c r="C26" s="8" t="inlineStr">
        <is>
          <t>65</t>
        </is>
      </c>
      <c r="D26" s="8" t="inlineStr">
        <is>
          <t>CHAUD</t>
        </is>
      </c>
      <c r="E26" s="8" t="inlineStr">
        <is>
          <t>Entretien ménager des locaux des sites mégalithiques de Carnac et Locmariaquer</t>
        </is>
      </c>
      <c r="F26" s="8" t="inlineStr">
        <is>
          <t>Centre Monuments Nationaux</t>
        </is>
      </c>
      <c r="G26" s="8" t="inlineStr"/>
      <c r="H26" s="8" t="inlineStr">
        <is>
          <t>75,56</t>
        </is>
      </c>
      <c r="I26" s="9" t="n">
        <v>60000</v>
      </c>
      <c r="J26" s="10" t="n">
        <v>46276</v>
      </c>
      <c r="K26" s="11" t="inlineStr">
        <is>
          <t>https://www.boamp.fr/pages/avis/?q=idweb:26-72708</t>
        </is>
      </c>
    </row>
    <row r="27">
      <c r="A27" s="8" t="n">
        <v>19</v>
      </c>
      <c r="B27" s="8" t="inlineStr">
        <is>
          <t>26-82481</t>
        </is>
      </c>
      <c r="C27" s="8" t="inlineStr">
        <is>
          <t>65.0</t>
        </is>
      </c>
      <c r="D27" s="8" t="inlineStr">
        <is>
          <t>CHAUD</t>
        </is>
      </c>
      <c r="E27" s="8" t="inlineStr">
        <is>
          <t>NETTOYAGE DES LOCAUX DANS LES ETABLISSMENTS DE LA PETITE ENFANCE</t>
        </is>
      </c>
      <c r="F27" s="8" t="inlineStr">
        <is>
          <t>Ville de Levallois</t>
        </is>
      </c>
      <c r="G27" s="8" t="inlineStr"/>
      <c r="H27" s="8" t="inlineStr">
        <is>
          <t>92</t>
        </is>
      </c>
      <c r="I27" s="8" t="inlineStr"/>
      <c r="J27" s="10" t="n">
        <v>46297</v>
      </c>
      <c r="K27" s="11" t="inlineStr">
        <is>
          <t>https://www.boamp.fr/pages/avis/?q=idweb:26-82481</t>
        </is>
      </c>
    </row>
    <row r="28">
      <c r="A28" s="8" t="n">
        <v>20</v>
      </c>
      <c r="B28" s="8" t="inlineStr">
        <is>
          <t>26-83560</t>
        </is>
      </c>
      <c r="C28" s="8" t="inlineStr">
        <is>
          <t>64.8</t>
        </is>
      </c>
      <c r="D28" s="8" t="inlineStr">
        <is>
          <t>TIEDE</t>
        </is>
      </c>
      <c r="E28" s="8" t="inlineStr">
        <is>
          <t>Prestations de nettoyage des bâtiments communaux de la ville de Sceaux 2027-2030</t>
        </is>
      </c>
      <c r="F28" s="8" t="inlineStr">
        <is>
          <t>ville de sceaux</t>
        </is>
      </c>
      <c r="G28" s="8" t="inlineStr"/>
      <c r="H28" s="8" t="inlineStr">
        <is>
          <t>92</t>
        </is>
      </c>
      <c r="I28" s="8" t="inlineStr"/>
      <c r="J28" s="10" t="n">
        <v>46294</v>
      </c>
      <c r="K28" s="11" t="inlineStr">
        <is>
          <t>https://www.boamp.fr/pages/avis/?q=idweb:26-83560</t>
        </is>
      </c>
    </row>
  </sheetData>
  <mergeCells count="13">
    <mergeCell ref="A4:B4"/>
    <mergeCell ref="G4:H4"/>
    <mergeCell ref="E4:F4"/>
    <mergeCell ref="A1:J2"/>
    <mergeCell ref="I4:J4"/>
    <mergeCell ref="C5:D5"/>
    <mergeCell ref="A5:B5"/>
    <mergeCell ref="G5:H5"/>
    <mergeCell ref="E5:F5"/>
    <mergeCell ref="K5:L5"/>
    <mergeCell ref="I5:J5"/>
    <mergeCell ref="K4:L4"/>
    <mergeCell ref="C4:D4"/>
  </mergeCells>
  <hyperlinks>
    <hyperlink xmlns:r="http://schemas.openxmlformats.org/officeDocument/2006/relationships" ref="K9" r:id="rId1"/>
    <hyperlink xmlns:r="http://schemas.openxmlformats.org/officeDocument/2006/relationships" ref="K10" r:id="rId2"/>
    <hyperlink xmlns:r="http://schemas.openxmlformats.org/officeDocument/2006/relationships" ref="K11" r:id="rId3"/>
    <hyperlink xmlns:r="http://schemas.openxmlformats.org/officeDocument/2006/relationships" ref="K12" r:id="rId4"/>
    <hyperlink xmlns:r="http://schemas.openxmlformats.org/officeDocument/2006/relationships" ref="K13" r:id="rId5"/>
    <hyperlink xmlns:r="http://schemas.openxmlformats.org/officeDocument/2006/relationships" ref="K14" r:id="rId6"/>
    <hyperlink xmlns:r="http://schemas.openxmlformats.org/officeDocument/2006/relationships" ref="K15" r:id="rId7"/>
    <hyperlink xmlns:r="http://schemas.openxmlformats.org/officeDocument/2006/relationships" ref="K16" r:id="rId8"/>
    <hyperlink xmlns:r="http://schemas.openxmlformats.org/officeDocument/2006/relationships" ref="K17" r:id="rId9"/>
    <hyperlink xmlns:r="http://schemas.openxmlformats.org/officeDocument/2006/relationships" ref="K18" r:id="rId10"/>
    <hyperlink xmlns:r="http://schemas.openxmlformats.org/officeDocument/2006/relationships" ref="K19" r:id="rId11"/>
    <hyperlink xmlns:r="http://schemas.openxmlformats.org/officeDocument/2006/relationships" ref="K20" r:id="rId12"/>
    <hyperlink xmlns:r="http://schemas.openxmlformats.org/officeDocument/2006/relationships" ref="K21" r:id="rId13"/>
    <hyperlink xmlns:r="http://schemas.openxmlformats.org/officeDocument/2006/relationships" ref="K22" r:id="rId14"/>
    <hyperlink xmlns:r="http://schemas.openxmlformats.org/officeDocument/2006/relationships" ref="K23" r:id="rId15"/>
    <hyperlink xmlns:r="http://schemas.openxmlformats.org/officeDocument/2006/relationships" ref="K24" r:id="rId16"/>
    <hyperlink xmlns:r="http://schemas.openxmlformats.org/officeDocument/2006/relationships" ref="K25" r:id="rId17"/>
    <hyperlink xmlns:r="http://schemas.openxmlformats.org/officeDocument/2006/relationships" ref="K26" r:id="rId18"/>
    <hyperlink xmlns:r="http://schemas.openxmlformats.org/officeDocument/2006/relationships" ref="K27" r:id="rId19"/>
    <hyperlink xmlns:r="http://schemas.openxmlformats.org/officeDocument/2006/relationships" ref="K28" r:id="rId20"/>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K21"/>
  <sheetViews>
    <sheetView workbookViewId="0">
      <pane xSplit="5" ySplit="1" topLeftCell="F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14" customWidth="1" min="3" max="3"/>
    <col width="10" customWidth="1" min="4" max="4"/>
    <col width="55" customWidth="1" min="5" max="5"/>
    <col width="55" customWidth="1" min="6" max="6"/>
    <col width="24" customWidth="1" min="7" max="7"/>
    <col width="22" customWidth="1" min="8" max="8"/>
    <col width="19" customWidth="1" min="9" max="9"/>
    <col width="13" customWidth="1" min="10" max="10"/>
    <col width="51" customWidth="1" min="11" max="11"/>
  </cols>
  <sheetData>
    <row r="1">
      <c r="A1" s="12" t="inlineStr">
        <is>
          <t>rang</t>
        </is>
      </c>
      <c r="B1" s="12" t="inlineStr">
        <is>
          <t>id_ao</t>
        </is>
      </c>
      <c r="C1" s="12" t="inlineStr">
        <is>
          <t>score_chruth</t>
        </is>
      </c>
      <c r="D1" s="12" t="inlineStr">
        <is>
          <t>priorite</t>
        </is>
      </c>
      <c r="E1" s="12" t="inlineStr">
        <is>
          <t>objet</t>
        </is>
      </c>
      <c r="F1" s="12" t="inlineStr">
        <is>
          <t>acheteur</t>
        </is>
      </c>
      <c r="G1" s="12" t="inlineStr">
        <is>
          <t>ville</t>
        </is>
      </c>
      <c r="H1" s="12" t="inlineStr">
        <is>
          <t>departement</t>
        </is>
      </c>
      <c r="I1" s="12" t="inlineStr">
        <is>
          <t>budget_estime_eur</t>
        </is>
      </c>
      <c r="J1" s="12" t="inlineStr">
        <is>
          <t>date_limite</t>
        </is>
      </c>
      <c r="K1" s="12" t="inlineStr">
        <is>
          <t>url_avis</t>
        </is>
      </c>
    </row>
    <row r="2">
      <c r="A2" t="n">
        <v>1</v>
      </c>
      <c r="B2" t="inlineStr">
        <is>
          <t>26-82960</t>
        </is>
      </c>
      <c r="C2" t="inlineStr">
        <is>
          <t>89.8</t>
        </is>
      </c>
      <c r="D2" s="13" t="inlineStr">
        <is>
          <t>CHAUD</t>
        </is>
      </c>
      <c r="E2" t="inlineStr">
        <is>
          <t>Accord cadre de missions de formation de lutte contre la discrimination et de lutte contre les violences sexistes et sexuelles à destination du tissu associatif en deux lots séparés.</t>
        </is>
      </c>
      <c r="F2" t="inlineStr">
        <is>
          <t>VILLE de PARIS - DFA - SDA</t>
        </is>
      </c>
      <c r="G2" t="inlineStr"/>
      <c r="H2" t="inlineStr">
        <is>
          <t>75</t>
        </is>
      </c>
      <c r="I2" s="14" t="n">
        <v>40000</v>
      </c>
      <c r="J2" s="15" t="n">
        <v>46280</v>
      </c>
      <c r="K2" s="11" t="inlineStr">
        <is>
          <t>https://www.boamp.fr/pages/avis/?q=idweb:26-82960</t>
        </is>
      </c>
    </row>
    <row r="3">
      <c r="A3" t="n">
        <v>2</v>
      </c>
      <c r="B3" t="inlineStr">
        <is>
          <t>26-83419</t>
        </is>
      </c>
      <c r="C3" t="inlineStr">
        <is>
          <t>80.5</t>
        </is>
      </c>
      <c r="D3" s="13" t="inlineStr">
        <is>
          <t>CHAUD</t>
        </is>
      </c>
      <c r="E3" t="inlineStr">
        <is>
          <t>Prestations d'entretien ménager</t>
        </is>
      </c>
      <c r="F3" t="inlineStr">
        <is>
          <t>VILLE DE LOUVRES</t>
        </is>
      </c>
      <c r="G3" t="inlineStr"/>
      <c r="H3" t="inlineStr">
        <is>
          <t>95</t>
        </is>
      </c>
      <c r="I3" s="14" t="n">
        <v>10000</v>
      </c>
      <c r="J3" s="15" t="n">
        <v>46300</v>
      </c>
      <c r="K3" s="11" t="inlineStr">
        <is>
          <t>https://www.boamp.fr/pages/avis/?q=idweb:26-83419</t>
        </is>
      </c>
    </row>
    <row r="4">
      <c r="A4" t="n">
        <v>3</v>
      </c>
      <c r="B4" t="inlineStr">
        <is>
          <t>26-82168</t>
        </is>
      </c>
      <c r="C4" t="inlineStr">
        <is>
          <t>78.8</t>
        </is>
      </c>
      <c r="D4" s="13" t="inlineStr">
        <is>
          <t>CHAUD</t>
        </is>
      </c>
      <c r="E4" t="inlineStr">
        <is>
          <t>Capture et ramassage d’animaux errants, et/ou dangereux, et/ou blessés, et/ou morts et leur mise en fourrière</t>
        </is>
      </c>
      <c r="F4" t="inlineStr">
        <is>
          <t>COMMUNE DE SAINT-DENIS</t>
        </is>
      </c>
      <c r="G4" t="inlineStr"/>
      <c r="H4" t="inlineStr">
        <is>
          <t>93,75,94,95</t>
        </is>
      </c>
      <c r="I4" s="14" t="n">
        <v>90000</v>
      </c>
      <c r="J4" s="15" t="n">
        <v>46290</v>
      </c>
      <c r="K4" s="11" t="inlineStr">
        <is>
          <t>https://www.boamp.fr/pages/avis/?q=idweb:26-82168</t>
        </is>
      </c>
    </row>
    <row r="5">
      <c r="A5" t="n">
        <v>4</v>
      </c>
      <c r="B5" t="inlineStr">
        <is>
          <t>26-82885</t>
        </is>
      </c>
      <c r="C5" t="inlineStr">
        <is>
          <t>75.5</t>
        </is>
      </c>
      <c r="D5" s="13" t="inlineStr">
        <is>
          <t>CHAUD</t>
        </is>
      </c>
      <c r="E5" t="inlineStr">
        <is>
          <t>Balayage des voies, trottoirs et caniveaux</t>
        </is>
      </c>
      <c r="F5" t="inlineStr">
        <is>
          <t>Mairie de Maule</t>
        </is>
      </c>
      <c r="G5" t="inlineStr">
        <is>
          <t>Maule</t>
        </is>
      </c>
      <c r="H5" t="inlineStr">
        <is>
          <t>78</t>
        </is>
      </c>
      <c r="I5" t="inlineStr"/>
      <c r="J5" s="15" t="n">
        <v>46295</v>
      </c>
      <c r="K5" s="11" t="inlineStr">
        <is>
          <t>https://www.boamp.fr/pages/avis/?q=idweb:26-82885</t>
        </is>
      </c>
    </row>
    <row r="6">
      <c r="A6" t="n">
        <v>5</v>
      </c>
      <c r="B6" t="inlineStr">
        <is>
          <t>26-74013</t>
        </is>
      </c>
      <c r="C6" t="inlineStr">
        <is>
          <t>75</t>
        </is>
      </c>
      <c r="D6" s="13" t="inlineStr">
        <is>
          <t>CHAUD</t>
        </is>
      </c>
      <c r="E6" t="inlineStr">
        <is>
          <t>Prestations de nettoyage des locaux de l'École nationale supérieure d’architecture de Paris-La Villette</t>
        </is>
      </c>
      <c r="F6" t="inlineStr">
        <is>
          <t>ENSA Paris-La Villette</t>
        </is>
      </c>
      <c r="G6" t="inlineStr">
        <is>
          <t>Paris</t>
        </is>
      </c>
      <c r="H6" t="inlineStr">
        <is>
          <t>75,92,93,91,95,77,94</t>
        </is>
      </c>
      <c r="I6" s="14" t="n">
        <v>75019</v>
      </c>
      <c r="J6" s="15" t="n">
        <v>46293</v>
      </c>
      <c r="K6" s="11" t="inlineStr">
        <is>
          <t>https://www.boamp.fr/pages/avis/?q=idweb:26-74013</t>
        </is>
      </c>
    </row>
    <row r="7">
      <c r="A7" t="n">
        <v>6</v>
      </c>
      <c r="B7" t="inlineStr">
        <is>
          <t>26-72283</t>
        </is>
      </c>
      <c r="C7" t="inlineStr">
        <is>
          <t>75</t>
        </is>
      </c>
      <c r="D7" s="13" t="inlineStr">
        <is>
          <t>CHAUD</t>
        </is>
      </c>
      <c r="E7" t="inlineStr">
        <is>
          <t>Prestation d'écrivains publics interprètes à Montreuil</t>
        </is>
      </c>
      <c r="F7" t="inlineStr">
        <is>
          <t>Mairie de Montreuil</t>
        </is>
      </c>
      <c r="G7" t="inlineStr">
        <is>
          <t>Montreuil</t>
        </is>
      </c>
      <c r="H7" t="inlineStr">
        <is>
          <t>93</t>
        </is>
      </c>
      <c r="I7" s="14" t="n">
        <v>93100</v>
      </c>
      <c r="J7" s="15" t="n">
        <v>46276</v>
      </c>
      <c r="K7" s="11" t="inlineStr">
        <is>
          <t>https://www.boamp.fr/pages/avis/?q=idweb:26-72283</t>
        </is>
      </c>
    </row>
    <row r="8">
      <c r="A8" t="n">
        <v>7</v>
      </c>
      <c r="B8" t="inlineStr">
        <is>
          <t>26-80939</t>
        </is>
      </c>
      <c r="C8" t="inlineStr">
        <is>
          <t>73.5</t>
        </is>
      </c>
      <c r="D8" s="13" t="inlineStr">
        <is>
          <t>CHAUD</t>
        </is>
      </c>
      <c r="E8" t="inlineStr">
        <is>
          <t>Plantation et entretien du patrimoine arboré des propriétés communales</t>
        </is>
      </c>
      <c r="F8" t="inlineStr">
        <is>
          <t>Ville de Longjumeau</t>
        </is>
      </c>
      <c r="G8" t="inlineStr"/>
      <c r="H8" t="inlineStr">
        <is>
          <t>91</t>
        </is>
      </c>
      <c r="I8" s="14" t="n">
        <v>85000</v>
      </c>
      <c r="J8" s="15" t="n">
        <v>46289</v>
      </c>
      <c r="K8" s="11" t="inlineStr">
        <is>
          <t>https://www.boamp.fr/pages/avis/?q=idweb:26-80939</t>
        </is>
      </c>
    </row>
    <row r="9">
      <c r="A9" t="n">
        <v>8</v>
      </c>
      <c r="B9" t="inlineStr">
        <is>
          <t>26-80740</t>
        </is>
      </c>
      <c r="C9" t="inlineStr">
        <is>
          <t>71.0</t>
        </is>
      </c>
      <c r="D9" s="13" t="inlineStr">
        <is>
          <t>CHAUD</t>
        </is>
      </c>
      <c r="E9" t="inlineStr">
        <is>
          <t>Entretien Ménager - Service Ordures Ménagères -</t>
        </is>
      </c>
      <c r="F9" t="inlineStr">
        <is>
          <t>SAEM de construction Maisons-Laffitte</t>
        </is>
      </c>
      <c r="G9" t="inlineStr">
        <is>
          <t>Maisons-Laffitte Cedex</t>
        </is>
      </c>
      <c r="H9" t="inlineStr">
        <is>
          <t>78</t>
        </is>
      </c>
      <c r="I9" t="inlineStr"/>
      <c r="J9" s="15" t="n">
        <v>46326</v>
      </c>
      <c r="K9" s="11" t="inlineStr">
        <is>
          <t>https://www.boamp.fr/pages/avis/?q=idweb:26-80740</t>
        </is>
      </c>
    </row>
    <row r="10">
      <c r="A10" t="n">
        <v>9</v>
      </c>
      <c r="B10" t="inlineStr">
        <is>
          <t>26-78436</t>
        </is>
      </c>
      <c r="C10" t="inlineStr">
        <is>
          <t>70.5</t>
        </is>
      </c>
      <c r="D10" s="13" t="inlineStr">
        <is>
          <t>CHAUD</t>
        </is>
      </c>
      <c r="E10" t="inlineStr">
        <is>
          <t>Nettoyage Des Batiments Communaux Et Nettoyage Des Vitres</t>
        </is>
      </c>
      <c r="F10" t="inlineStr">
        <is>
          <t>Mairie De Gouvernes</t>
        </is>
      </c>
      <c r="G10" t="inlineStr">
        <is>
          <t>GOUVERNES</t>
        </is>
      </c>
      <c r="H10" t="inlineStr">
        <is>
          <t>77</t>
        </is>
      </c>
      <c r="I10" s="14" t="n">
        <v>77400</v>
      </c>
      <c r="J10" s="15" t="n">
        <v>46279</v>
      </c>
      <c r="K10" s="11" t="inlineStr">
        <is>
          <t>https://www.boamp.fr/pages/avis/?q=idweb:26-78436</t>
        </is>
      </c>
    </row>
    <row r="11">
      <c r="A11" t="n">
        <v>10</v>
      </c>
      <c r="B11" t="inlineStr">
        <is>
          <t>26-70858</t>
        </is>
      </c>
      <c r="C11" t="inlineStr">
        <is>
          <t>70</t>
        </is>
      </c>
      <c r="D11" s="13" t="inlineStr">
        <is>
          <t>CHAUD</t>
        </is>
      </c>
      <c r="E11" t="inlineStr">
        <is>
          <t>Nettoyage des locaux de l'EPAMSA</t>
        </is>
      </c>
      <c r="F11" t="inlineStr">
        <is>
          <t>EPAMSA</t>
        </is>
      </c>
      <c r="G11" t="inlineStr">
        <is>
          <t>MANTES-LA-JOLIE</t>
        </is>
      </c>
      <c r="H11" t="inlineStr">
        <is>
          <t>78</t>
        </is>
      </c>
      <c r="I11" s="14" t="n">
        <v>78200</v>
      </c>
      <c r="J11" s="15" t="n">
        <v>46269</v>
      </c>
      <c r="K11" s="11" t="inlineStr">
        <is>
          <t>https://www.boamp.fr/pages/avis/?q=idweb:26-70858</t>
        </is>
      </c>
    </row>
    <row r="12">
      <c r="A12" t="n">
        <v>11</v>
      </c>
      <c r="B12" t="inlineStr">
        <is>
          <t>26-70565</t>
        </is>
      </c>
      <c r="C12" t="inlineStr">
        <is>
          <t>70</t>
        </is>
      </c>
      <c r="D12" s="13" t="inlineStr">
        <is>
          <t>CHAUD</t>
        </is>
      </c>
      <c r="E12" t="inlineStr">
        <is>
          <t>TRAVAUX D'AMÉNAGEMENT INTÉRIEUR DU R+1 ET COMBLE DE LA FERME DURPÉ</t>
        </is>
      </c>
      <c r="F12" t="inlineStr">
        <is>
          <t>COMMUNE DE MAGNY LE HONGRE</t>
        </is>
      </c>
      <c r="G12" t="inlineStr">
        <is>
          <t>MAGNY LE HONGRE</t>
        </is>
      </c>
      <c r="H12" t="inlineStr">
        <is>
          <t>77,75,78,91</t>
        </is>
      </c>
      <c r="I12" s="14" t="n">
        <v>77700</v>
      </c>
      <c r="J12" s="15" t="n">
        <v>46275</v>
      </c>
      <c r="K12" s="11" t="inlineStr">
        <is>
          <t>https://www.boamp.fr/pages/avis/?q=idweb:26-70565</t>
        </is>
      </c>
    </row>
    <row r="13">
      <c r="A13" t="n">
        <v>12</v>
      </c>
      <c r="B13" t="inlineStr">
        <is>
          <t>26-83338</t>
        </is>
      </c>
      <c r="C13" t="inlineStr">
        <is>
          <t>69.9</t>
        </is>
      </c>
      <c r="D13" s="13" t="inlineStr">
        <is>
          <t>CHAUD</t>
        </is>
      </c>
      <c r="E13" t="inlineStr">
        <is>
          <t>Nettoyage Des Vitres Dans Les Batiments Communaux</t>
        </is>
      </c>
      <c r="F13" t="inlineStr">
        <is>
          <t>Mairie de Bonneuil sur Marne</t>
        </is>
      </c>
      <c r="G13" t="inlineStr">
        <is>
          <t>Bonneuil-sur-Marne</t>
        </is>
      </c>
      <c r="H13" t="inlineStr">
        <is>
          <t>94</t>
        </is>
      </c>
      <c r="I13" s="14" t="n">
        <v>94380</v>
      </c>
      <c r="J13" s="15" t="n">
        <v>46290</v>
      </c>
      <c r="K13" s="11" t="inlineStr">
        <is>
          <t>https://www.boamp.fr/pages/avis/?q=idweb:26-83338</t>
        </is>
      </c>
    </row>
    <row r="14">
      <c r="A14" t="n">
        <v>13</v>
      </c>
      <c r="B14" t="inlineStr">
        <is>
          <t>26-84191</t>
        </is>
      </c>
      <c r="C14" t="inlineStr">
        <is>
          <t>66.0</t>
        </is>
      </c>
      <c r="D14" s="13" t="inlineStr">
        <is>
          <t>CHAUD</t>
        </is>
      </c>
      <c r="E14" t="inlineStr">
        <is>
          <t>Nettoyage et entretien des locaux des bâtiments communaux</t>
        </is>
      </c>
      <c r="F14" t="inlineStr">
        <is>
          <t>Mairie d'Emerainville</t>
        </is>
      </c>
      <c r="G14" t="inlineStr"/>
      <c r="H14" t="inlineStr">
        <is>
          <t>77</t>
        </is>
      </c>
      <c r="I14" t="inlineStr"/>
      <c r="J14" s="15" t="n">
        <v>46293</v>
      </c>
      <c r="K14" s="11" t="inlineStr">
        <is>
          <t>https://www.boamp.fr/pages/avis/?q=idweb:26-84191</t>
        </is>
      </c>
    </row>
    <row r="15">
      <c r="A15" t="n">
        <v>14</v>
      </c>
      <c r="B15" t="inlineStr">
        <is>
          <t>26-78821</t>
        </is>
      </c>
      <c r="C15" t="inlineStr">
        <is>
          <t>65.5</t>
        </is>
      </c>
      <c r="D15" s="13" t="inlineStr">
        <is>
          <t>CHAUD</t>
        </is>
      </c>
      <c r="E15" t="inlineStr">
        <is>
          <t>Prestations de nettoyage des locaux et des vitreries du Complexe Sportif et Culturel Camille Muffat.</t>
        </is>
      </c>
      <c r="F15" t="inlineStr">
        <is>
          <t>Seine Spport Culture</t>
        </is>
      </c>
      <c r="G15" t="inlineStr"/>
      <c r="H15" t="inlineStr">
        <is>
          <t>92</t>
        </is>
      </c>
      <c r="I15" t="inlineStr"/>
      <c r="J15" s="15" t="n">
        <v>46295</v>
      </c>
      <c r="K15" s="11" t="inlineStr">
        <is>
          <t>https://www.boamp.fr/pages/avis/?q=idweb:26-78821</t>
        </is>
      </c>
    </row>
    <row r="16">
      <c r="A16" t="n">
        <v>15</v>
      </c>
      <c r="B16" t="inlineStr">
        <is>
          <t>26-80807</t>
        </is>
      </c>
      <c r="C16" t="inlineStr">
        <is>
          <t>65.2</t>
        </is>
      </c>
      <c r="D16" s="13" t="inlineStr">
        <is>
          <t>CHAUD</t>
        </is>
      </c>
      <c r="E16" t="inlineStr">
        <is>
          <t>PRESTATION DE NETTOYAGE, D’ENTRETIEN COURANT ET DE BLANCHISSERIE : STRUCTURES PETITE ENFANCE - MAISON DE L’ENFANCE « NICOLE CHAPEL », CRECHE COLLECTIVE « LES DAUPHINS » ET HALTE-GARDERIE « LES POUS...</t>
        </is>
      </c>
      <c r="F16" t="inlineStr">
        <is>
          <t>VILLE DE MELUN, Pôle ressources, Services à la population et Transition Ecologique</t>
        </is>
      </c>
      <c r="G16" t="inlineStr"/>
      <c r="H16" t="inlineStr">
        <is>
          <t>77,91,93,75</t>
        </is>
      </c>
      <c r="I16" t="inlineStr"/>
      <c r="J16" s="15" t="n">
        <v>46294</v>
      </c>
      <c r="K16" s="11" t="inlineStr">
        <is>
          <t>https://www.boamp.fr/pages/avis/?q=idweb:26-80807</t>
        </is>
      </c>
    </row>
    <row r="17">
      <c r="A17" t="n">
        <v>16</v>
      </c>
      <c r="B17" t="inlineStr">
        <is>
          <t>26-71198</t>
        </is>
      </c>
      <c r="C17" t="inlineStr">
        <is>
          <t>65</t>
        </is>
      </c>
      <c r="D17" s="13" t="inlineStr">
        <is>
          <t>CHAUD</t>
        </is>
      </c>
      <c r="E17" t="inlineStr">
        <is>
          <t>CONCESSION DE SERVICE PUBLIC 
PORTANT SUR LA GESTION ET L'EXPLOITATION DES MARCHES FORAINS DE LA VILLE DE MONTROUGE</t>
        </is>
      </c>
      <c r="F17" t="inlineStr">
        <is>
          <t>Ville de Montrouge</t>
        </is>
      </c>
      <c r="G17" t="inlineStr">
        <is>
          <t>Montrouge cedex</t>
        </is>
      </c>
      <c r="H17" t="inlineStr">
        <is>
          <t>92,75</t>
        </is>
      </c>
      <c r="I17" t="inlineStr"/>
      <c r="J17" s="15" t="n">
        <v>46295</v>
      </c>
      <c r="K17" s="11" t="inlineStr">
        <is>
          <t>https://www.boamp.fr/pages/avis/?q=idweb:26-71198</t>
        </is>
      </c>
    </row>
    <row r="18">
      <c r="A18" t="n">
        <v>17</v>
      </c>
      <c r="B18" t="inlineStr">
        <is>
          <t>26-71675</t>
        </is>
      </c>
      <c r="C18" t="inlineStr">
        <is>
          <t>65</t>
        </is>
      </c>
      <c r="D18" s="13" t="inlineStr">
        <is>
          <t>CHAUD</t>
        </is>
      </c>
      <c r="E18" t="inlineStr">
        <is>
          <t>Décontamination, dépoussiérage et reconditionnement des réserves documentaires n°2 et 3 du Château de Sceaux</t>
        </is>
      </c>
      <c r="F18" t="inlineStr">
        <is>
          <t>Département des Hauts-de-Seine</t>
        </is>
      </c>
      <c r="G18" t="inlineStr">
        <is>
          <t>NANTERRE</t>
        </is>
      </c>
      <c r="H18" t="inlineStr">
        <is>
          <t>92</t>
        </is>
      </c>
      <c r="I18" s="14" t="n">
        <v>92000</v>
      </c>
      <c r="J18" s="15" t="n">
        <v>46276</v>
      </c>
      <c r="K18" s="11" t="inlineStr">
        <is>
          <t>https://www.boamp.fr/pages/avis/?q=idweb:26-71675</t>
        </is>
      </c>
    </row>
    <row r="19">
      <c r="A19" t="n">
        <v>18</v>
      </c>
      <c r="B19" t="inlineStr">
        <is>
          <t>26-72708</t>
        </is>
      </c>
      <c r="C19" t="inlineStr">
        <is>
          <t>65</t>
        </is>
      </c>
      <c r="D19" s="13" t="inlineStr">
        <is>
          <t>CHAUD</t>
        </is>
      </c>
      <c r="E19" t="inlineStr">
        <is>
          <t>Entretien ménager des locaux des sites mégalithiques de Carnac et Locmariaquer</t>
        </is>
      </c>
      <c r="F19" t="inlineStr">
        <is>
          <t>Centre Monuments Nationaux</t>
        </is>
      </c>
      <c r="G19" t="inlineStr"/>
      <c r="H19" t="inlineStr">
        <is>
          <t>75,56</t>
        </is>
      </c>
      <c r="I19" s="14" t="n">
        <v>60000</v>
      </c>
      <c r="J19" s="15" t="n">
        <v>46276</v>
      </c>
      <c r="K19" s="11" t="inlineStr">
        <is>
          <t>https://www.boamp.fr/pages/avis/?q=idweb:26-72708</t>
        </is>
      </c>
    </row>
    <row r="20">
      <c r="A20" t="n">
        <v>19</v>
      </c>
      <c r="B20" t="inlineStr">
        <is>
          <t>26-82481</t>
        </is>
      </c>
      <c r="C20" t="inlineStr">
        <is>
          <t>65.0</t>
        </is>
      </c>
      <c r="D20" s="13" t="inlineStr">
        <is>
          <t>CHAUD</t>
        </is>
      </c>
      <c r="E20" t="inlineStr">
        <is>
          <t>NETTOYAGE DES LOCAUX DANS LES ETABLISSMENTS DE LA PETITE ENFANCE</t>
        </is>
      </c>
      <c r="F20" t="inlineStr">
        <is>
          <t>Ville de Levallois</t>
        </is>
      </c>
      <c r="G20" t="inlineStr"/>
      <c r="H20" t="inlineStr">
        <is>
          <t>92</t>
        </is>
      </c>
      <c r="I20" t="inlineStr"/>
      <c r="J20" s="15" t="n">
        <v>46297</v>
      </c>
      <c r="K20" s="11" t="inlineStr">
        <is>
          <t>https://www.boamp.fr/pages/avis/?q=idweb:26-82481</t>
        </is>
      </c>
    </row>
    <row r="21">
      <c r="A21" t="n">
        <v>20</v>
      </c>
      <c r="B21" t="inlineStr">
        <is>
          <t>26-83560</t>
        </is>
      </c>
      <c r="C21" t="inlineStr">
        <is>
          <t>64.8</t>
        </is>
      </c>
      <c r="D21" t="inlineStr">
        <is>
          <t>TIEDE</t>
        </is>
      </c>
      <c r="E21" t="inlineStr">
        <is>
          <t>Prestations de nettoyage des bâtiments communaux de la ville de Sceaux 2027-2030</t>
        </is>
      </c>
      <c r="F21" t="inlineStr">
        <is>
          <t>ville de sceaux</t>
        </is>
      </c>
      <c r="G21" t="inlineStr"/>
      <c r="H21" t="inlineStr">
        <is>
          <t>92</t>
        </is>
      </c>
      <c r="I21" t="inlineStr"/>
      <c r="J21" s="15" t="n">
        <v>46294</v>
      </c>
      <c r="K21" s="11" t="inlineStr">
        <is>
          <t>https://www.boamp.fr/pages/avis/?q=idweb:26-83560</t>
        </is>
      </c>
    </row>
  </sheetData>
  <hyperlinks>
    <hyperlink xmlns:r="http://schemas.openxmlformats.org/officeDocument/2006/relationships" ref="K2" r:id="rId1"/>
    <hyperlink xmlns:r="http://schemas.openxmlformats.org/officeDocument/2006/relationships" ref="K3" r:id="rId2"/>
    <hyperlink xmlns:r="http://schemas.openxmlformats.org/officeDocument/2006/relationships" ref="K4" r:id="rId3"/>
    <hyperlink xmlns:r="http://schemas.openxmlformats.org/officeDocument/2006/relationships" ref="K5" r:id="rId4"/>
    <hyperlink xmlns:r="http://schemas.openxmlformats.org/officeDocument/2006/relationships" ref="K6" r:id="rId5"/>
    <hyperlink xmlns:r="http://schemas.openxmlformats.org/officeDocument/2006/relationships" ref="K7" r:id="rId6"/>
    <hyperlink xmlns:r="http://schemas.openxmlformats.org/officeDocument/2006/relationships" ref="K8" r:id="rId7"/>
    <hyperlink xmlns:r="http://schemas.openxmlformats.org/officeDocument/2006/relationships" ref="K9" r:id="rId8"/>
    <hyperlink xmlns:r="http://schemas.openxmlformats.org/officeDocument/2006/relationships" ref="K10" r:id="rId9"/>
    <hyperlink xmlns:r="http://schemas.openxmlformats.org/officeDocument/2006/relationships" ref="K11" r:id="rId10"/>
    <hyperlink xmlns:r="http://schemas.openxmlformats.org/officeDocument/2006/relationships" ref="K12" r:id="rId11"/>
    <hyperlink xmlns:r="http://schemas.openxmlformats.org/officeDocument/2006/relationships" ref="K13" r:id="rId12"/>
    <hyperlink xmlns:r="http://schemas.openxmlformats.org/officeDocument/2006/relationships" ref="K14" r:id="rId13"/>
    <hyperlink xmlns:r="http://schemas.openxmlformats.org/officeDocument/2006/relationships" ref="K15" r:id="rId14"/>
    <hyperlink xmlns:r="http://schemas.openxmlformats.org/officeDocument/2006/relationships" ref="K16" r:id="rId15"/>
    <hyperlink xmlns:r="http://schemas.openxmlformats.org/officeDocument/2006/relationships" ref="K17" r:id="rId16"/>
    <hyperlink xmlns:r="http://schemas.openxmlformats.org/officeDocument/2006/relationships" ref="K18" r:id="rId17"/>
    <hyperlink xmlns:r="http://schemas.openxmlformats.org/officeDocument/2006/relationships" ref="K19" r:id="rId18"/>
    <hyperlink xmlns:r="http://schemas.openxmlformats.org/officeDocument/2006/relationships" ref="K20" r:id="rId19"/>
    <hyperlink xmlns:r="http://schemas.openxmlformats.org/officeDocument/2006/relationships" ref="K21" r:id="rId20"/>
  </hyperlinks>
  <pageMargins left="0.75" right="0.75" top="1" bottom="1" header="0.5" footer="0.5"/>
  <tableParts count="1">
    <tablePart xmlns:r="http://schemas.openxmlformats.org/officeDocument/2006/relationships" r:id="rId21"/>
  </tableParts>
</worksheet>
</file>

<file path=xl/worksheets/sheet3.xml><?xml version="1.0" encoding="utf-8"?>
<worksheet xmlns="http://schemas.openxmlformats.org/spreadsheetml/2006/main">
  <sheetPr>
    <outlinePr summaryBelow="1" summaryRight="1"/>
    <pageSetUpPr/>
  </sheetPr>
  <dimension ref="A1:N83"/>
  <sheetViews>
    <sheetView tabSelected="1" workbookViewId="0">
      <pane ySplit="1" topLeftCell="A2" activePane="bottomLeft" state="frozen"/>
      <selection pane="bottomLeft" activeCell="A1" sqref="A1"/>
    </sheetView>
  </sheetViews>
  <sheetFormatPr baseColWidth="10" defaultRowHeight="14.5"/>
  <cols>
    <col width="55" customWidth="1" min="1" max="1"/>
    <col width="55" customWidth="1" min="2" max="2"/>
    <col width="10" customWidth="1" min="3" max="3"/>
    <col width="13" customWidth="1" min="4" max="4"/>
    <col width="25" customWidth="1" min="5" max="5"/>
    <col width="13" customWidth="1" min="6" max="6"/>
    <col width="21" customWidth="1" min="7" max="7"/>
    <col width="27" customWidth="1" min="8" max="8"/>
    <col width="19" customWidth="1" min="9" max="9"/>
    <col width="55" customWidth="1" min="10" max="10"/>
    <col width="51" customWidth="1" min="11" max="11"/>
    <col width="10" customWidth="1" min="12" max="12"/>
    <col width="10" customWidth="1" min="13" max="13"/>
    <col width="10" customWidth="1" min="14" max="14"/>
  </cols>
  <sheetData>
    <row r="1">
      <c r="A1" s="12" t="inlineStr">
        <is>
          <t>Objet de l'AO</t>
        </is>
      </c>
      <c r="B1" s="12" t="inlineStr">
        <is>
          <t>Acheteur</t>
        </is>
      </c>
      <c r="C1" s="12" t="inlineStr">
        <is>
          <t>Secteur</t>
        </is>
      </c>
      <c r="D1" s="12" t="inlineStr">
        <is>
          <t>Catégorie</t>
        </is>
      </c>
      <c r="E1" s="12" t="inlineStr">
        <is>
          <t>Ville</t>
        </is>
      </c>
      <c r="F1" s="12" t="inlineStr">
        <is>
          <t>Département</t>
        </is>
      </c>
      <c r="G1" s="12" t="inlineStr">
        <is>
          <t>Date de publication</t>
        </is>
      </c>
      <c r="H1" s="12" t="inlineStr">
        <is>
          <t>Date limite de réponse</t>
        </is>
      </c>
      <c r="I1" s="12" t="inlineStr">
        <is>
          <t>Budget estimé (€)</t>
        </is>
      </c>
      <c r="J1" s="12" t="inlineStr">
        <is>
          <t>Lien DCE</t>
        </is>
      </c>
      <c r="K1" s="12" t="inlineStr">
        <is>
          <t>Lien avis BOAMP</t>
        </is>
      </c>
      <c r="L1" s="12" t="inlineStr">
        <is>
          <t>Priorité</t>
        </is>
      </c>
      <c r="M1" s="12" t="inlineStr">
        <is>
          <t>Score</t>
        </is>
      </c>
      <c r="N1" s="12" t="inlineStr">
        <is>
          <t>id_ao</t>
        </is>
      </c>
    </row>
    <row r="2">
      <c r="A2" t="inlineStr">
        <is>
          <t>Accord cadre de missions de formation de lutte contre la discrimination et de lutte contre les violences sexistes et sexuelles à destination du tissu associatif en deux lots séparés.</t>
        </is>
      </c>
      <c r="B2" t="inlineStr">
        <is>
          <t>VILLE de PARIS - DFA - SDA</t>
        </is>
      </c>
      <c r="C2" t="inlineStr">
        <is>
          <t>Mairie</t>
        </is>
      </c>
      <c r="D2" t="inlineStr">
        <is>
          <t>Batiments</t>
        </is>
      </c>
      <c r="E2" t="inlineStr"/>
      <c r="F2" t="inlineStr"/>
      <c r="G2" t="inlineStr">
        <is>
          <t>2026-08-26</t>
        </is>
      </c>
      <c r="H2" t="inlineStr">
        <is>
          <t>2026-09-15T10:00:00+00:00</t>
        </is>
      </c>
      <c r="I2" t="inlineStr">
        <is>
          <t>40000</t>
        </is>
      </c>
      <c r="J2" t="inlineStr">
        <is>
          <t>https://marches.maximilien.fr/entreprise/consultation/939575?orgAcronyme=r8t</t>
        </is>
      </c>
      <c r="K2" t="inlineStr">
        <is>
          <t>https://www.boamp.fr/pages/avis/?q=idweb:26-82960</t>
        </is>
      </c>
      <c r="L2" t="inlineStr">
        <is>
          <t>CHAUD</t>
        </is>
      </c>
      <c r="M2" t="inlineStr">
        <is>
          <t>89.8</t>
        </is>
      </c>
      <c r="N2" t="inlineStr">
        <is>
          <t>26-82960</t>
        </is>
      </c>
    </row>
    <row r="3">
      <c r="A3" t="inlineStr">
        <is>
          <t>Prestations d'entretien ménager</t>
        </is>
      </c>
      <c r="B3" t="inlineStr">
        <is>
          <t>VILLE DE LOUVRES</t>
        </is>
      </c>
      <c r="C3" t="inlineStr">
        <is>
          <t>Mairie</t>
        </is>
      </c>
      <c r="D3" t="inlineStr">
        <is>
          <t>Vitres</t>
        </is>
      </c>
      <c r="E3" t="inlineStr"/>
      <c r="F3" t="inlineStr"/>
      <c r="G3" t="inlineStr">
        <is>
          <t>2026-08-27</t>
        </is>
      </c>
      <c r="H3" t="inlineStr">
        <is>
          <t>2026-10-05T10:00:00+00:00</t>
        </is>
      </c>
      <c r="I3" t="inlineStr">
        <is>
          <t>10000.0</t>
        </is>
      </c>
      <c r="J3" t="inlineStr">
        <is>
          <t>https://mairie-de-louvres.e-marchespublics.com</t>
        </is>
      </c>
      <c r="K3" t="inlineStr">
        <is>
          <t>https://www.boamp.fr/pages/avis/?q=idweb:26-83419</t>
        </is>
      </c>
      <c r="L3" t="inlineStr">
        <is>
          <t>CHAUD</t>
        </is>
      </c>
      <c r="M3" t="inlineStr">
        <is>
          <t>80.5</t>
        </is>
      </c>
      <c r="N3" t="inlineStr">
        <is>
          <t>26-83419</t>
        </is>
      </c>
    </row>
    <row r="4">
      <c r="A4" t="inlineStr">
        <is>
          <t>ENTRETIEN, REMISE EN ETAT ET AMENAGEMENT D'ESPACES VERTS POUR LA VILLE DE GENNEVILLIERS
LOT N°1 : Entretien des secteurs d'habitation Nord et du cimetière, remise en état et aménagement d'e</t>
        </is>
      </c>
      <c r="B4" t="inlineStr">
        <is>
          <t>Ville de Gennevilliers</t>
        </is>
      </c>
      <c r="C4" t="inlineStr">
        <is>
          <t>Mairie</t>
        </is>
      </c>
      <c r="D4" t="inlineStr">
        <is>
          <t>Personnel</t>
        </is>
      </c>
      <c r="E4" t="inlineStr"/>
      <c r="F4" t="inlineStr"/>
      <c r="G4" t="inlineStr">
        <is>
          <t>2026-07-24</t>
        </is>
      </c>
      <c r="H4" t="inlineStr">
        <is>
          <t>2026-08-27T09:00:00+00:00</t>
        </is>
      </c>
      <c r="I4" t="inlineStr"/>
      <c r="J4" t="inlineStr">
        <is>
          <t>https://www.marches-publics.info/mpiaws/index.cfm?fuseaction=dematEnt.login&amp;amp;type=DCE&amp;amp;IDM=1848323</t>
        </is>
      </c>
      <c r="K4" t="inlineStr">
        <is>
          <t>https://www.boamp.fr/pages/avis/?q=idweb:26-73275</t>
        </is>
      </c>
      <c r="L4" t="inlineStr">
        <is>
          <t>CHAUD</t>
        </is>
      </c>
      <c r="M4" t="inlineStr">
        <is>
          <t>80</t>
        </is>
      </c>
      <c r="N4" t="inlineStr">
        <is>
          <t>26-73275</t>
        </is>
      </c>
    </row>
    <row r="5">
      <c r="A5" t="inlineStr">
        <is>
          <t>Capture et ramassage d’animaux errants, et/ou dangereux, et/ou blessés, et/ou morts et leur mise en fourrière</t>
        </is>
      </c>
      <c r="B5" t="inlineStr">
        <is>
          <t>COMMUNE DE SAINT-DENIS</t>
        </is>
      </c>
      <c r="C5" t="inlineStr">
        <is>
          <t>Mairie</t>
        </is>
      </c>
      <c r="D5" t="inlineStr">
        <is>
          <t>Batiments</t>
        </is>
      </c>
      <c r="E5" t="inlineStr"/>
      <c r="F5" t="inlineStr"/>
      <c r="G5" t="inlineStr">
        <is>
          <t>2026-08-22</t>
        </is>
      </c>
      <c r="H5" t="inlineStr">
        <is>
          <t>2026-09-25T10:00:00+00:00</t>
        </is>
      </c>
      <c r="I5" t="inlineStr">
        <is>
          <t>22500</t>
        </is>
      </c>
      <c r="J5" t="inlineStr">
        <is>
          <t>https://marches.maximilien.fr</t>
        </is>
      </c>
      <c r="K5" t="inlineStr">
        <is>
          <t>https://www.boamp.fr/pages/avis/?q=idweb:26-82168</t>
        </is>
      </c>
      <c r="L5" t="inlineStr">
        <is>
          <t>CHAUD</t>
        </is>
      </c>
      <c r="M5" t="inlineStr">
        <is>
          <t>78.8</t>
        </is>
      </c>
      <c r="N5" t="inlineStr">
        <is>
          <t>26-82168</t>
        </is>
      </c>
    </row>
    <row r="6">
      <c r="A6" t="inlineStr">
        <is>
          <t>Balayage des voies, trottoirs et caniveaux</t>
        </is>
      </c>
      <c r="B6" t="inlineStr">
        <is>
          <t>Mairie de Maule</t>
        </is>
      </c>
      <c r="C6" t="inlineStr">
        <is>
          <t>Mairie</t>
        </is>
      </c>
      <c r="D6" t="inlineStr">
        <is>
          <t>Mixte/Autre</t>
        </is>
      </c>
      <c r="E6" t="inlineStr">
        <is>
          <t>Maule</t>
        </is>
      </c>
      <c r="F6" t="inlineStr"/>
      <c r="G6" t="inlineStr">
        <is>
          <t>2026-08-25</t>
        </is>
      </c>
      <c r="H6" t="inlineStr">
        <is>
          <t>2026-09-30T12:00:00+00:00</t>
        </is>
      </c>
      <c r="I6" t="inlineStr"/>
      <c r="J6" t="inlineStr">
        <is>
          <t>https://www.achatpublic.com/sdm/ent2/gen/index.jsp</t>
        </is>
      </c>
      <c r="K6" t="inlineStr">
        <is>
          <t>https://www.boamp.fr/pages/avis/?q=idweb:26-82885</t>
        </is>
      </c>
      <c r="L6" t="inlineStr">
        <is>
          <t>CHAUD</t>
        </is>
      </c>
      <c r="M6" t="inlineStr">
        <is>
          <t>75.5</t>
        </is>
      </c>
      <c r="N6" t="inlineStr">
        <is>
          <t>26-82885</t>
        </is>
      </c>
    </row>
    <row r="7">
      <c r="A7" t="inlineStr">
        <is>
          <t>Prestations D'Entretien Ménager Des Gymnases De La Ville De Roissy-En-Brie</t>
        </is>
      </c>
      <c r="B7" t="inlineStr">
        <is>
          <t>Mairie de Roissy-en-Brie</t>
        </is>
      </c>
      <c r="C7" t="inlineStr">
        <is>
          <t>Mairie</t>
        </is>
      </c>
      <c r="D7" t="inlineStr">
        <is>
          <t>Batiments</t>
        </is>
      </c>
      <c r="E7" t="inlineStr">
        <is>
          <t>ROISSY EN BRIE</t>
        </is>
      </c>
      <c r="F7" t="inlineStr"/>
      <c r="G7" t="inlineStr">
        <is>
          <t>2026-07-27</t>
        </is>
      </c>
      <c r="H7" t="inlineStr">
        <is>
          <t>2026-08-28T12:00:00+00:00</t>
        </is>
      </c>
      <c r="I7" t="inlineStr">
        <is>
          <t>77680.0</t>
        </is>
      </c>
      <c r="J7" t="inlineStr">
        <is>
          <t>https://www.marches-publics.info/mpiaws/index.cfm?fuseaction=dematent.login&amp;type=Dce&amp;Idm=1855543</t>
        </is>
      </c>
      <c r="K7" t="inlineStr">
        <is>
          <t>https://www.boamp.fr/pages/avis/?q=idweb:26-74949</t>
        </is>
      </c>
      <c r="L7" t="inlineStr">
        <is>
          <t>CHAUD</t>
        </is>
      </c>
      <c r="M7" t="inlineStr">
        <is>
          <t>75</t>
        </is>
      </c>
      <c r="N7" t="inlineStr">
        <is>
          <t>26-74949</t>
        </is>
      </c>
    </row>
    <row r="8">
      <c r="A8" t="inlineStr">
        <is>
          <t>Prestations de nettoyage des locaux de l'École nationale supérieure d’architecture de Paris-La Villette</t>
        </is>
      </c>
      <c r="B8" t="inlineStr">
        <is>
          <t>ENSA Paris-La Villette</t>
        </is>
      </c>
      <c r="C8" t="inlineStr">
        <is>
          <t>Ecole</t>
        </is>
      </c>
      <c r="D8" t="inlineStr">
        <is>
          <t>Batiments</t>
        </is>
      </c>
      <c r="E8" t="inlineStr">
        <is>
          <t>Paris</t>
        </is>
      </c>
      <c r="F8" t="inlineStr"/>
      <c r="G8" t="inlineStr">
        <is>
          <t>2026-07-23</t>
        </is>
      </c>
      <c r="H8" t="inlineStr">
        <is>
          <t>2026-09-28T17:00:00+00:00</t>
        </is>
      </c>
      <c r="I8" t="inlineStr">
        <is>
          <t>75019.0</t>
        </is>
      </c>
      <c r="J8" t="inlineStr">
        <is>
          <t>https://www.marches-publics.gouv.fr/entreprise/consultation/3044724?orgAcronyme=f5j</t>
        </is>
      </c>
      <c r="K8" t="inlineStr">
        <is>
          <t>https://www.boamp.fr/pages/avis/?q=idweb:26-74013</t>
        </is>
      </c>
      <c r="L8" t="inlineStr">
        <is>
          <t>CHAUD</t>
        </is>
      </c>
      <c r="M8" t="inlineStr">
        <is>
          <t>75</t>
        </is>
      </c>
      <c r="N8" t="inlineStr">
        <is>
          <t>26-74013</t>
        </is>
      </c>
    </row>
    <row r="9">
      <c r="A9" t="inlineStr">
        <is>
          <t>Prestation d'écrivains publics interprètes à Montreuil</t>
        </is>
      </c>
      <c r="B9" t="inlineStr">
        <is>
          <t>Mairie de Montreuil</t>
        </is>
      </c>
      <c r="C9" t="inlineStr">
        <is>
          <t>Mairie</t>
        </is>
      </c>
      <c r="D9" t="inlineStr">
        <is>
          <t>Batiments</t>
        </is>
      </c>
      <c r="E9" t="inlineStr">
        <is>
          <t>Montreuil</t>
        </is>
      </c>
      <c r="F9" t="inlineStr"/>
      <c r="G9" t="inlineStr">
        <is>
          <t>2026-07-20</t>
        </is>
      </c>
      <c r="H9" t="inlineStr">
        <is>
          <t>2026-09-11T12:00:00+00:00</t>
        </is>
      </c>
      <c r="I9" t="inlineStr">
        <is>
          <t>93100.0</t>
        </is>
      </c>
      <c r="J9" t="inlineStr">
        <is>
          <t>https://marches.maximilien.fr/entreprise/consultation/943753?orgAcronyme=d6a</t>
        </is>
      </c>
      <c r="K9" t="inlineStr">
        <is>
          <t>https://www.boamp.fr/pages/avis/?q=idweb:26-72283</t>
        </is>
      </c>
      <c r="L9" t="inlineStr">
        <is>
          <t>CHAUD</t>
        </is>
      </c>
      <c r="M9" t="inlineStr">
        <is>
          <t>75</t>
        </is>
      </c>
      <c r="N9" t="inlineStr">
        <is>
          <t>26-72283</t>
        </is>
      </c>
    </row>
    <row r="10">
      <c r="A10" t="inlineStr">
        <is>
          <t>Plantation et entretien du patrimoine arboré des propriétés communales</t>
        </is>
      </c>
      <c r="B10" t="inlineStr">
        <is>
          <t>Ville de Longjumeau</t>
        </is>
      </c>
      <c r="C10" t="inlineStr">
        <is>
          <t>Mairie</t>
        </is>
      </c>
      <c r="D10" t="inlineStr">
        <is>
          <t>Mixte/Autre</t>
        </is>
      </c>
      <c r="E10" t="inlineStr"/>
      <c r="F10" t="inlineStr"/>
      <c r="G10" t="inlineStr">
        <is>
          <t>2026-08-18</t>
        </is>
      </c>
      <c r="H10" t="inlineStr">
        <is>
          <t>2026-09-24T14:00:00+00:00</t>
        </is>
      </c>
      <c r="I10" t="inlineStr">
        <is>
          <t>21250</t>
        </is>
      </c>
      <c r="J10" t="inlineStr">
        <is>
          <t>http://longjumeau.e-marchespublics.com</t>
        </is>
      </c>
      <c r="K10" t="inlineStr">
        <is>
          <t>https://www.boamp.fr/pages/avis/?q=idweb:26-80939</t>
        </is>
      </c>
      <c r="L10" t="inlineStr">
        <is>
          <t>CHAUD</t>
        </is>
      </c>
      <c r="M10" t="inlineStr">
        <is>
          <t>73.5</t>
        </is>
      </c>
      <c r="N10" t="inlineStr">
        <is>
          <t>26-80939</t>
        </is>
      </c>
    </row>
    <row r="11">
      <c r="A11" t="inlineStr">
        <is>
          <t>Entretien Ménager - Service Ordures Ménagères -</t>
        </is>
      </c>
      <c r="B11" t="inlineStr">
        <is>
          <t>SAEM de construction Maisons-Laffitte</t>
        </is>
      </c>
      <c r="C11" t="inlineStr">
        <is>
          <t>Autre</t>
        </is>
      </c>
      <c r="D11" t="inlineStr">
        <is>
          <t>Vitres</t>
        </is>
      </c>
      <c r="E11" t="inlineStr">
        <is>
          <t>Maisons-Laffitte Cedex</t>
        </is>
      </c>
      <c r="F11" t="inlineStr"/>
      <c r="G11" t="inlineStr">
        <is>
          <t>2026-08-14</t>
        </is>
      </c>
      <c r="H11" t="inlineStr">
        <is>
          <t>2026-10-31T16:00:00+00:00</t>
        </is>
      </c>
      <c r="I11" t="inlineStr"/>
      <c r="J11" t="inlineStr">
        <is>
          <t>https://www.e-marchespublics.com/appel-offre/1178203</t>
        </is>
      </c>
      <c r="K11" t="inlineStr">
        <is>
          <t>https://www.boamp.fr/pages/avis/?q=idweb:26-80740</t>
        </is>
      </c>
      <c r="L11" t="inlineStr">
        <is>
          <t>CHAUD</t>
        </is>
      </c>
      <c r="M11" t="inlineStr">
        <is>
          <t>71.0</t>
        </is>
      </c>
      <c r="N11" t="inlineStr">
        <is>
          <t>26-80740</t>
        </is>
      </c>
    </row>
    <row r="12">
      <c r="A12" t="inlineStr">
        <is>
          <t>Nettoyage Des Batiments Communaux Et Nettoyage Des Vitres</t>
        </is>
      </c>
      <c r="B12" t="inlineStr">
        <is>
          <t>Mairie De Gouvernes</t>
        </is>
      </c>
      <c r="C12" t="inlineStr">
        <is>
          <t>Mairie</t>
        </is>
      </c>
      <c r="D12" t="inlineStr">
        <is>
          <t>Vitres</t>
        </is>
      </c>
      <c r="E12" t="inlineStr">
        <is>
          <t>GOUVERNES</t>
        </is>
      </c>
      <c r="F12" t="inlineStr"/>
      <c r="G12" t="inlineStr">
        <is>
          <t>2026-08-06</t>
        </is>
      </c>
      <c r="H12" t="inlineStr">
        <is>
          <t>2026-09-14T12:00:00+00:00</t>
        </is>
      </c>
      <c r="I12" t="inlineStr">
        <is>
          <t>77400.0</t>
        </is>
      </c>
      <c r="J12" t="inlineStr">
        <is>
          <t>https://www.marches-publics.info/mpiaws/index.cfm?fuseaction=dematent.login&amp;type=Dce&amp;Idm=1859473</t>
        </is>
      </c>
      <c r="K12" t="inlineStr">
        <is>
          <t>https://www.boamp.fr/pages/avis/?q=idweb:26-78436</t>
        </is>
      </c>
      <c r="L12" t="inlineStr">
        <is>
          <t>CHAUD</t>
        </is>
      </c>
      <c r="M12" t="inlineStr">
        <is>
          <t>70.5</t>
        </is>
      </c>
      <c r="N12" t="inlineStr">
        <is>
          <t>26-78436</t>
        </is>
      </c>
    </row>
    <row r="13">
      <c r="A13" t="inlineStr">
        <is>
          <t>Nettoyage des locaux de l'EPAMSA</t>
        </is>
      </c>
      <c r="B13" t="inlineStr">
        <is>
          <t>EPAMSA</t>
        </is>
      </c>
      <c r="C13" t="inlineStr">
        <is>
          <t>Autre</t>
        </is>
      </c>
      <c r="D13" t="inlineStr">
        <is>
          <t>Batiments</t>
        </is>
      </c>
      <c r="E13" t="inlineStr">
        <is>
          <t>MANTES-LA-JOLIE</t>
        </is>
      </c>
      <c r="F13" t="inlineStr"/>
      <c r="G13" t="inlineStr">
        <is>
          <t>2026-07-16</t>
        </is>
      </c>
      <c r="H13" t="inlineStr">
        <is>
          <t>2026-09-04T14:00:00+00:00</t>
        </is>
      </c>
      <c r="I13" t="inlineStr">
        <is>
          <t>19550</t>
        </is>
      </c>
      <c r="J13" t="inlineStr">
        <is>
          <t>https://www.marches-publics.gouv.fr/entreprise/consultation/3039334?orgAcronyme=d4t</t>
        </is>
      </c>
      <c r="K13" t="inlineStr">
        <is>
          <t>https://www.boamp.fr/pages/avis/?q=idweb:26-70858</t>
        </is>
      </c>
      <c r="L13" t="inlineStr">
        <is>
          <t>CHAUD</t>
        </is>
      </c>
      <c r="M13" t="inlineStr">
        <is>
          <t>70</t>
        </is>
      </c>
      <c r="N13" t="inlineStr">
        <is>
          <t>26-70858</t>
        </is>
      </c>
    </row>
    <row r="14">
      <c r="A14" t="inlineStr">
        <is>
          <t>TRAVAUX D'AMÉNAGEMENT INTÉRIEUR DU R+1 ET COMBLE DE LA FERME DURPÉ</t>
        </is>
      </c>
      <c r="B14" t="inlineStr">
        <is>
          <t>COMMUNE DE MAGNY LE HONGRE</t>
        </is>
      </c>
      <c r="C14" t="inlineStr">
        <is>
          <t>Mairie</t>
        </is>
      </c>
      <c r="D14" t="inlineStr">
        <is>
          <t>Mixte/Autre</t>
        </is>
      </c>
      <c r="E14" t="inlineStr">
        <is>
          <t>MAGNY LE HONGRE</t>
        </is>
      </c>
      <c r="F14" t="inlineStr"/>
      <c r="G14" t="inlineStr">
        <is>
          <t>2026-07-15</t>
        </is>
      </c>
      <c r="H14" t="inlineStr">
        <is>
          <t>2026-09-10T12:00:00+00:00</t>
        </is>
      </c>
      <c r="I14" t="inlineStr">
        <is>
          <t>77700.0</t>
        </is>
      </c>
      <c r="J14" t="inlineStr">
        <is>
          <t>https://marches.maximilien.fr/?page=Entreprise.EntrepriseAdvancedSearch&amp;AllCons&amp;id=942965&amp;orgAcronyme=a4d</t>
        </is>
      </c>
      <c r="K14" t="inlineStr">
        <is>
          <t>https://www.boamp.fr/pages/avis/?q=idweb:26-70565</t>
        </is>
      </c>
      <c r="L14" t="inlineStr">
        <is>
          <t>CHAUD</t>
        </is>
      </c>
      <c r="M14" t="inlineStr">
        <is>
          <t>70</t>
        </is>
      </c>
      <c r="N14" t="inlineStr">
        <is>
          <t>26-70565</t>
        </is>
      </c>
    </row>
    <row r="15">
      <c r="A15" t="inlineStr">
        <is>
          <t>Nettoyage Des Vitres Dans Les Batiments Communaux</t>
        </is>
      </c>
      <c r="B15" t="inlineStr">
        <is>
          <t>Mairie de Bonneuil sur Marne</t>
        </is>
      </c>
      <c r="C15" t="inlineStr">
        <is>
          <t>Mairie</t>
        </is>
      </c>
      <c r="D15" t="inlineStr">
        <is>
          <t>Vitres</t>
        </is>
      </c>
      <c r="E15" t="inlineStr">
        <is>
          <t>Bonneuil-sur-Marne</t>
        </is>
      </c>
      <c r="F15" t="inlineStr"/>
      <c r="G15" t="inlineStr">
        <is>
          <t>2026-08-26</t>
        </is>
      </c>
      <c r="H15" t="inlineStr">
        <is>
          <t>2026-09-25T10:00:00+00:00</t>
        </is>
      </c>
      <c r="I15" t="inlineStr">
        <is>
          <t>94380.0</t>
        </is>
      </c>
      <c r="J15" t="inlineStr">
        <is>
          <t>https://www.marches-publics.info/mpiaws/index.cfm?fuseaction=dematent.login&amp;type=Dce&amp;Idm=1864838</t>
        </is>
      </c>
      <c r="K15" t="inlineStr">
        <is>
          <t>https://www.boamp.fr/pages/avis/?q=idweb:26-83338</t>
        </is>
      </c>
      <c r="L15" t="inlineStr">
        <is>
          <t>CHAUD</t>
        </is>
      </c>
      <c r="M15" t="inlineStr">
        <is>
          <t>69.9</t>
        </is>
      </c>
      <c r="N15" t="inlineStr">
        <is>
          <t>26-83338</t>
        </is>
      </c>
    </row>
    <row r="16">
      <c r="A16" t="inlineStr">
        <is>
          <t>Nettoyage et entretien des locaux des bâtiments communaux</t>
        </is>
      </c>
      <c r="B16" t="inlineStr">
        <is>
          <t>Mairie d'Emerainville</t>
        </is>
      </c>
      <c r="C16" t="inlineStr">
        <is>
          <t>Mairie</t>
        </is>
      </c>
      <c r="D16" t="inlineStr">
        <is>
          <t>Bureaux</t>
        </is>
      </c>
      <c r="E16" t="inlineStr"/>
      <c r="F16" t="inlineStr"/>
      <c r="G16" t="inlineStr">
        <is>
          <t>2026-08-30</t>
        </is>
      </c>
      <c r="H16" t="inlineStr">
        <is>
          <t>2026-09-28T08:00:00+00:00</t>
        </is>
      </c>
      <c r="I16" t="inlineStr"/>
      <c r="J16" t="inlineStr">
        <is>
          <t>https://www.mairie-emerainville.fr/</t>
        </is>
      </c>
      <c r="K16" t="inlineStr">
        <is>
          <t>https://www.boamp.fr/pages/avis/?q=idweb:26-84191</t>
        </is>
      </c>
      <c r="L16" t="inlineStr">
        <is>
          <t>CHAUD</t>
        </is>
      </c>
      <c r="M16" t="inlineStr">
        <is>
          <t>66.0</t>
        </is>
      </c>
      <c r="N16" t="inlineStr">
        <is>
          <t>26-84191</t>
        </is>
      </c>
    </row>
    <row r="17">
      <c r="A17" t="inlineStr">
        <is>
          <t>Prestations de nettoyage des locaux et des vitreries du Complexe Sportif et Culturel Camille Muffat.</t>
        </is>
      </c>
      <c r="B17" t="inlineStr">
        <is>
          <t>Seine Spport Culture</t>
        </is>
      </c>
      <c r="C17" t="inlineStr">
        <is>
          <t>Gymnase</t>
        </is>
      </c>
      <c r="D17" t="inlineStr">
        <is>
          <t>Vitres</t>
        </is>
      </c>
      <c r="E17" t="inlineStr"/>
      <c r="F17" t="inlineStr"/>
      <c r="G17" t="inlineStr">
        <is>
          <t>2026-08-08</t>
        </is>
      </c>
      <c r="H17" t="inlineStr">
        <is>
          <t>2026-09-30T15:30:00+00:00</t>
        </is>
      </c>
      <c r="I17" t="inlineStr"/>
      <c r="J17" t="inlineStr">
        <is>
          <t>https://marches.maximilien.fr/entreprise/consultation/945004?orgAcronyme=a7k</t>
        </is>
      </c>
      <c r="K17" t="inlineStr">
        <is>
          <t>https://www.boamp.fr/pages/avis/?q=idweb:26-78821</t>
        </is>
      </c>
      <c r="L17" t="inlineStr">
        <is>
          <t>CHAUD</t>
        </is>
      </c>
      <c r="M17" t="inlineStr">
        <is>
          <t>65.5</t>
        </is>
      </c>
      <c r="N17" t="inlineStr">
        <is>
          <t>26-78821</t>
        </is>
      </c>
    </row>
    <row r="18">
      <c r="A18" t="inlineStr">
        <is>
          <t>PRESTATION DE NETTOYAGE, D’ENTRETIEN COURANT ET DE BLANCHISSERIE : STRUCTURES PETITE ENFANCE - MAISON DE L’ENFANCE « NICOLE CHAPEL », CRECHE COLLECTIVE « LES DAUPHINS » ET HALTE-GARDERIE « LES POUS...</t>
        </is>
      </c>
      <c r="B18" t="inlineStr">
        <is>
          <t>VILLE DE MELUN, Pôle ressources, Services à la population et Transition Ecologique</t>
        </is>
      </c>
      <c r="C18" t="inlineStr">
        <is>
          <t>Ecole</t>
        </is>
      </c>
      <c r="D18" t="inlineStr">
        <is>
          <t>Batiments</t>
        </is>
      </c>
      <c r="E18" t="inlineStr"/>
      <c r="F18" t="inlineStr"/>
      <c r="G18" t="inlineStr">
        <is>
          <t>2026-08-16</t>
        </is>
      </c>
      <c r="H18" t="inlineStr">
        <is>
          <t>2026-09-29T10:00:00+00:00</t>
        </is>
      </c>
      <c r="I18" t="inlineStr"/>
      <c r="J18" t="inlineStr">
        <is>
          <t>https://www.ville-melun.fr/la-ville/marches-publics</t>
        </is>
      </c>
      <c r="K18" t="inlineStr">
        <is>
          <t>https://www.boamp.fr/pages/avis/?q=idweb:26-80807</t>
        </is>
      </c>
      <c r="L18" t="inlineStr">
        <is>
          <t>CHAUD</t>
        </is>
      </c>
      <c r="M18" t="inlineStr">
        <is>
          <t>65.2</t>
        </is>
      </c>
      <c r="N18" t="inlineStr">
        <is>
          <t>26-80807</t>
        </is>
      </c>
    </row>
    <row r="19">
      <c r="A19" t="inlineStr">
        <is>
          <t>NETTOYAGE DES LOCAUX DANS LES ETABLISSMENTS DE LA PETITE ENFANCE</t>
        </is>
      </c>
      <c r="B19" t="inlineStr">
        <is>
          <t>Ville de Levallois</t>
        </is>
      </c>
      <c r="C19" t="inlineStr">
        <is>
          <t>Mairie</t>
        </is>
      </c>
      <c r="D19" t="inlineStr">
        <is>
          <t>Batiments</t>
        </is>
      </c>
      <c r="E19" t="inlineStr"/>
      <c r="F19" t="inlineStr"/>
      <c r="G19" t="inlineStr">
        <is>
          <t>2026-08-23</t>
        </is>
      </c>
      <c r="H19" t="inlineStr">
        <is>
          <t>2026-10-02T10:00:00+00:00</t>
        </is>
      </c>
      <c r="I19" t="inlineStr"/>
      <c r="J19" t="inlineStr">
        <is>
          <t>https://www.marches-publics.info/mpiaws/index.cfm?fuseaction=dematEnt.login&amp;amp;type=DCE&amp;amp;IDM=1863702</t>
        </is>
      </c>
      <c r="K19" t="inlineStr">
        <is>
          <t>https://www.boamp.fr/pages/avis/?q=idweb:26-82481</t>
        </is>
      </c>
      <c r="L19" t="inlineStr">
        <is>
          <t>CHAUD</t>
        </is>
      </c>
      <c r="M19" t="inlineStr">
        <is>
          <t>65.0</t>
        </is>
      </c>
      <c r="N19" t="inlineStr">
        <is>
          <t>26-82481</t>
        </is>
      </c>
    </row>
    <row r="20">
      <c r="A20" t="inlineStr">
        <is>
          <t>Entretien ménager des locaux des sites mégalithiques de Carnac et Locmariaquer</t>
        </is>
      </c>
      <c r="B20" t="inlineStr">
        <is>
          <t>Centre Monuments Nationaux</t>
        </is>
      </c>
      <c r="C20" t="inlineStr">
        <is>
          <t>Autre</t>
        </is>
      </c>
      <c r="D20" t="inlineStr">
        <is>
          <t>Batiments</t>
        </is>
      </c>
      <c r="E20" t="inlineStr"/>
      <c r="F20" t="inlineStr"/>
      <c r="G20" t="inlineStr">
        <is>
          <t>2026-07-23</t>
        </is>
      </c>
      <c r="H20" t="inlineStr">
        <is>
          <t>2026-09-11T12:00:00+00:00</t>
        </is>
      </c>
      <c r="I20" t="inlineStr">
        <is>
          <t>60000.0</t>
        </is>
      </c>
      <c r="J20" t="inlineStr">
        <is>
          <t>https://www.marches-publics.gouv.fr/entreprise</t>
        </is>
      </c>
      <c r="K20" t="inlineStr">
        <is>
          <t>https://www.boamp.fr/pages/avis/?q=idweb:26-72708</t>
        </is>
      </c>
      <c r="L20" t="inlineStr">
        <is>
          <t>CHAUD</t>
        </is>
      </c>
      <c r="M20" t="inlineStr">
        <is>
          <t>65</t>
        </is>
      </c>
      <c r="N20" t="inlineStr">
        <is>
          <t>26-72708</t>
        </is>
      </c>
    </row>
    <row r="21">
      <c r="A21" t="inlineStr">
        <is>
          <t>Décontamination, dépoussiérage et reconditionnement des réserves documentaires n°2 et 3 du Château de Sceaux</t>
        </is>
      </c>
      <c r="B21" t="inlineStr">
        <is>
          <t>Département des Hauts-de-Seine</t>
        </is>
      </c>
      <c r="C21" t="inlineStr">
        <is>
          <t>Autre</t>
        </is>
      </c>
      <c r="D21" t="inlineStr">
        <is>
          <t>Batiments</t>
        </is>
      </c>
      <c r="E21" t="inlineStr">
        <is>
          <t>NANTERRE</t>
        </is>
      </c>
      <c r="F21" t="inlineStr"/>
      <c r="G21" t="inlineStr">
        <is>
          <t>2026-07-17</t>
        </is>
      </c>
      <c r="H21" t="inlineStr">
        <is>
          <t>2026-09-11T16:00:00+00:00</t>
        </is>
      </c>
      <c r="I21" t="inlineStr">
        <is>
          <t>92000.0</t>
        </is>
      </c>
      <c r="J21" t="inlineStr">
        <is>
          <t>https://www.marches-publics.info/mpiaws/index.cfm?fuseaction=dematent.login&amp;type=Dce&amp;Idm=1851815</t>
        </is>
      </c>
      <c r="K21" t="inlineStr">
        <is>
          <t>https://www.boamp.fr/pages/avis/?q=idweb:26-71675</t>
        </is>
      </c>
      <c r="L21" t="inlineStr">
        <is>
          <t>CHAUD</t>
        </is>
      </c>
      <c r="M21" t="inlineStr">
        <is>
          <t>65</t>
        </is>
      </c>
      <c r="N21" t="inlineStr">
        <is>
          <t>26-71675</t>
        </is>
      </c>
    </row>
    <row r="22">
      <c r="A22" t="inlineStr">
        <is>
          <t>CONCESSION DE SERVICE PUBLIC 
PORTANT SUR LA GESTION ET L'EXPLOITATION DES MARCHES FORAINS DE LA VILLE DE MONTROUGE</t>
        </is>
      </c>
      <c r="B22" t="inlineStr">
        <is>
          <t>Ville de Montrouge</t>
        </is>
      </c>
      <c r="C22" t="inlineStr">
        <is>
          <t>Mairie</t>
        </is>
      </c>
      <c r="D22" t="inlineStr">
        <is>
          <t>Batiments</t>
        </is>
      </c>
      <c r="E22" t="inlineStr">
        <is>
          <t>Montrouge cedex</t>
        </is>
      </c>
      <c r="F22" t="inlineStr"/>
      <c r="G22" t="inlineStr">
        <is>
          <t>2026-07-16</t>
        </is>
      </c>
      <c r="H22" t="inlineStr">
        <is>
          <t>2026-09-30T17:00:00+00:00</t>
        </is>
      </c>
      <c r="I22" t="inlineStr"/>
      <c r="J22" t="inlineStr">
        <is>
          <t>https://www.achatpublic.com/sdm/ent2/gen/index.jsp</t>
        </is>
      </c>
      <c r="K22" t="inlineStr">
        <is>
          <t>https://www.boamp.fr/pages/avis/?q=idweb:26-71198</t>
        </is>
      </c>
      <c r="L22" t="inlineStr">
        <is>
          <t>CHAUD</t>
        </is>
      </c>
      <c r="M22" t="inlineStr">
        <is>
          <t>65</t>
        </is>
      </c>
      <c r="N22" t="inlineStr">
        <is>
          <t>26-71198</t>
        </is>
      </c>
    </row>
    <row r="23">
      <c r="A23" t="inlineStr">
        <is>
          <t>Prestations de nettoyage des bâtiments communaux de la ville de Sceaux 2027-2030</t>
        </is>
      </c>
      <c r="B23" t="inlineStr">
        <is>
          <t>ville de sceaux</t>
        </is>
      </c>
      <c r="C23" t="inlineStr">
        <is>
          <t>Mairie</t>
        </is>
      </c>
      <c r="D23" t="inlineStr">
        <is>
          <t>Batiments</t>
        </is>
      </c>
      <c r="E23" t="inlineStr"/>
      <c r="F23" t="inlineStr"/>
      <c r="G23" t="inlineStr">
        <is>
          <t>2026-08-28</t>
        </is>
      </c>
      <c r="H23" t="inlineStr">
        <is>
          <t>2026-09-29T10:00:00+00:00</t>
        </is>
      </c>
      <c r="I23" t="inlineStr"/>
      <c r="J23" t="inlineStr">
        <is>
          <t>https://marches.maximilien.fr/entreprise/consultation/945889?orgAcronyme=d7t</t>
        </is>
      </c>
      <c r="K23" t="inlineStr">
        <is>
          <t>https://www.boamp.fr/pages/avis/?q=idweb:26-83560</t>
        </is>
      </c>
      <c r="L23" t="inlineStr">
        <is>
          <t>TIEDE</t>
        </is>
      </c>
      <c r="M23" t="inlineStr">
        <is>
          <t>64.8</t>
        </is>
      </c>
      <c r="N23" t="inlineStr">
        <is>
          <t>26-83560</t>
        </is>
      </c>
    </row>
    <row r="24">
      <c r="A24" t="inlineStr">
        <is>
          <t>Prestations de nettoyage des vitres de l'ensemble des bâtiments communaux de la ville de Sarcelles</t>
        </is>
      </c>
      <c r="B24" t="inlineStr">
        <is>
          <t>Ville de Sarcelles</t>
        </is>
      </c>
      <c r="C24" t="inlineStr">
        <is>
          <t>Mairie</t>
        </is>
      </c>
      <c r="D24" t="inlineStr">
        <is>
          <t>Vitres</t>
        </is>
      </c>
      <c r="E24" t="inlineStr"/>
      <c r="F24" t="inlineStr"/>
      <c r="G24" t="inlineStr">
        <is>
          <t>2026-08-14</t>
        </is>
      </c>
      <c r="H24" t="inlineStr">
        <is>
          <t>2026-09-25T10:00:00+00:00</t>
        </is>
      </c>
      <c r="I24" t="inlineStr"/>
      <c r="J24" t="inlineStr">
        <is>
          <t>https://sarcelles.e-marchespublics.com</t>
        </is>
      </c>
      <c r="K24" t="inlineStr">
        <is>
          <t>https://www.boamp.fr/pages/avis/?q=idweb:26-80351</t>
        </is>
      </c>
      <c r="L24" t="inlineStr">
        <is>
          <t>TIEDE</t>
        </is>
      </c>
      <c r="M24" t="inlineStr">
        <is>
          <t>64.2</t>
        </is>
      </c>
      <c r="N24" t="inlineStr">
        <is>
          <t>26-80351</t>
        </is>
      </c>
    </row>
    <row r="25">
      <c r="A25" t="inlineStr">
        <is>
          <t>Marché de prestations de service relatif au nettoyage des bâtiments municipaux : locaux et vitrerie.</t>
        </is>
      </c>
      <c r="B25" t="inlineStr">
        <is>
          <t>Commune de Villepreux</t>
        </is>
      </c>
      <c r="C25" t="inlineStr">
        <is>
          <t>Mairie</t>
        </is>
      </c>
      <c r="D25" t="inlineStr">
        <is>
          <t>Vitres</t>
        </is>
      </c>
      <c r="E25" t="inlineStr"/>
      <c r="F25" t="inlineStr"/>
      <c r="G25" t="inlineStr">
        <is>
          <t>2026-08-21</t>
        </is>
      </c>
      <c r="H25" t="inlineStr">
        <is>
          <t>2026-09-18T09:59:00+00:00</t>
        </is>
      </c>
      <c r="I25" t="inlineStr"/>
      <c r="J25" t="inlineStr">
        <is>
          <t>https://www.achatpublic.com/sdm/ent/gen/ent_detail.do?PCSLID=CSL_2026_B11a--YMRc</t>
        </is>
      </c>
      <c r="K25" t="inlineStr">
        <is>
          <t>https://www.boamp.fr/pages/avis/?q=idweb:26-81760</t>
        </is>
      </c>
      <c r="L25" t="inlineStr">
        <is>
          <t>TIEDE</t>
        </is>
      </c>
      <c r="M25" t="inlineStr">
        <is>
          <t>62.0</t>
        </is>
      </c>
      <c r="N25" t="inlineStr">
        <is>
          <t>26-81760</t>
        </is>
      </c>
    </row>
    <row r="26">
      <c r="A26" t="inlineStr">
        <is>
          <t>Fourniture et prestations associées pour l'entretien de véhicules thermiques et électriques et l'équipement d'ateliers mécaniques</t>
        </is>
      </c>
      <c r="B26" t="inlineStr">
        <is>
          <t>Ville de Sevran</t>
        </is>
      </c>
      <c r="C26" t="inlineStr">
        <is>
          <t>Mairie</t>
        </is>
      </c>
      <c r="D26" t="inlineStr">
        <is>
          <t>Mixte/Autre</t>
        </is>
      </c>
      <c r="E26" t="inlineStr"/>
      <c r="F26" t="inlineStr"/>
      <c r="G26" t="inlineStr">
        <is>
          <t>2026-08-28</t>
        </is>
      </c>
      <c r="H26" t="inlineStr">
        <is>
          <t>2026-09-30T10:00:00+00:00</t>
        </is>
      </c>
      <c r="I26" t="inlineStr"/>
      <c r="J26" t="inlineStr">
        <is>
          <t>https://www.marches-publics.info</t>
        </is>
      </c>
      <c r="K26" t="inlineStr">
        <is>
          <t>https://www.boamp.fr/pages/avis/?q=idweb:26-83553</t>
        </is>
      </c>
      <c r="L26" t="inlineStr">
        <is>
          <t>TIEDE</t>
        </is>
      </c>
      <c r="M26" t="inlineStr">
        <is>
          <t>60.0</t>
        </is>
      </c>
      <c r="N26" t="inlineStr">
        <is>
          <t>26-83553</t>
        </is>
      </c>
    </row>
    <row r="27">
      <c r="A27" t="inlineStr">
        <is>
          <t>26MF026 - Fourniture d'appareils ménagers et d'équipements professionnels</t>
        </is>
      </c>
      <c r="B27" t="inlineStr">
        <is>
          <t>Ville de Plaisir</t>
        </is>
      </c>
      <c r="C27" t="inlineStr">
        <is>
          <t>Mairie</t>
        </is>
      </c>
      <c r="D27" t="inlineStr">
        <is>
          <t>Mixte/Autre</t>
        </is>
      </c>
      <c r="E27" t="inlineStr"/>
      <c r="F27" t="inlineStr"/>
      <c r="G27" t="inlineStr">
        <is>
          <t>2026-07-23</t>
        </is>
      </c>
      <c r="H27" t="inlineStr">
        <is>
          <t>2026-08-27T10:00:00+00:00</t>
        </is>
      </c>
      <c r="I27" t="inlineStr"/>
      <c r="J27" t="inlineStr">
        <is>
          <t>https://ville-plaisir.e-marches-publics.com</t>
        </is>
      </c>
      <c r="K27" t="inlineStr">
        <is>
          <t>https://www.boamp.fr/pages/avis/?q=idweb:26-72948</t>
        </is>
      </c>
      <c r="L27" t="inlineStr">
        <is>
          <t>TIEDE</t>
        </is>
      </c>
      <c r="M27" t="inlineStr">
        <is>
          <t>60</t>
        </is>
      </c>
      <c r="N27" t="inlineStr">
        <is>
          <t>26-72948</t>
        </is>
      </c>
    </row>
    <row r="28">
      <c r="A28" t="inlineStr">
        <is>
          <t>Nettoyage des locaux communaux et des vitreries des bâtiments communaux</t>
        </is>
      </c>
      <c r="B28" t="inlineStr">
        <is>
          <t>Ville de Fontenay-aux-Roses</t>
        </is>
      </c>
      <c r="C28" t="inlineStr">
        <is>
          <t>Mairie</t>
        </is>
      </c>
      <c r="D28" t="inlineStr">
        <is>
          <t>Vitres</t>
        </is>
      </c>
      <c r="E28" t="inlineStr"/>
      <c r="F28" t="inlineStr"/>
      <c r="G28" t="inlineStr">
        <is>
          <t>2026-07-21</t>
        </is>
      </c>
      <c r="H28" t="inlineStr">
        <is>
          <t>2026-08-06T13:00:00+00:00</t>
        </is>
      </c>
      <c r="I28" t="inlineStr"/>
      <c r="J28" t="inlineStr">
        <is>
          <t>https://www.marches-publics.info/accueil.htm</t>
        </is>
      </c>
      <c r="K28" t="inlineStr">
        <is>
          <t>https://www.boamp.fr/pages/avis/?q=idweb:26-71986</t>
        </is>
      </c>
      <c r="L28" t="inlineStr">
        <is>
          <t>TIEDE</t>
        </is>
      </c>
      <c r="M28" t="inlineStr">
        <is>
          <t>60</t>
        </is>
      </c>
      <c r="N28" t="inlineStr">
        <is>
          <t>26-71986</t>
        </is>
      </c>
    </row>
    <row r="29">
      <c r="A29" t="inlineStr">
        <is>
          <t>Exploitation, maintenance des dispositifs de collecte pneumatique fixes et mobiles des déchets ménagers et transport de ces déchets</t>
        </is>
      </c>
      <c r="B29" t="inlineStr">
        <is>
          <t>Grand Paris Seine Ouest</t>
        </is>
      </c>
      <c r="C29" t="inlineStr">
        <is>
          <t>Autre</t>
        </is>
      </c>
      <c r="D29" t="inlineStr">
        <is>
          <t>Mixte/Autre</t>
        </is>
      </c>
      <c r="E29" t="inlineStr"/>
      <c r="F29" t="inlineStr"/>
      <c r="G29" t="inlineStr">
        <is>
          <t>2026-07-19</t>
        </is>
      </c>
      <c r="H29" t="inlineStr">
        <is>
          <t>2026-09-10T15:00:00+00:00</t>
        </is>
      </c>
      <c r="I29" t="inlineStr">
        <is>
          <t>75000</t>
        </is>
      </c>
      <c r="J29" t="inlineStr">
        <is>
          <t>https://marches.maximilien.fr/</t>
        </is>
      </c>
      <c r="K29" t="inlineStr">
        <is>
          <t>https://www.boamp.fr/pages/avis/?q=idweb:26-71545</t>
        </is>
      </c>
      <c r="L29" t="inlineStr">
        <is>
          <t>TIEDE</t>
        </is>
      </c>
      <c r="M29" t="inlineStr">
        <is>
          <t>60</t>
        </is>
      </c>
      <c r="N29" t="inlineStr">
        <is>
          <t>26-71545</t>
        </is>
      </c>
    </row>
    <row r="30">
      <c r="A30" t="inlineStr">
        <is>
          <t>NETTOYAGE, COLLECTE, EVACUATION ET TRAITEMENT DES DECHETS DU MARCHE COMMUNAL</t>
        </is>
      </c>
      <c r="B30" t="inlineStr">
        <is>
          <t>Commune de Chanteloup les Vignes</t>
        </is>
      </c>
      <c r="C30" t="inlineStr">
        <is>
          <t>Mairie</t>
        </is>
      </c>
      <c r="D30" t="inlineStr">
        <is>
          <t>Mixte/Autre</t>
        </is>
      </c>
      <c r="E30" t="inlineStr"/>
      <c r="F30" t="inlineStr"/>
      <c r="G30" t="inlineStr">
        <is>
          <t>2026-08-09</t>
        </is>
      </c>
      <c r="H30" t="inlineStr">
        <is>
          <t>2026-09-18T10:00:00+00:00</t>
        </is>
      </c>
      <c r="I30" t="inlineStr"/>
      <c r="J30" t="inlineStr">
        <is>
          <t>https://www.achatpublic.com/sdm/ent/gen/ent_detail.do?PCSLID=CSL_2026_-fifweNbVP</t>
        </is>
      </c>
      <c r="K30" t="inlineStr">
        <is>
          <t>https://www.boamp.fr/pages/avis/?q=idweb:26-79275</t>
        </is>
      </c>
      <c r="L30" t="inlineStr">
        <is>
          <t>TIEDE</t>
        </is>
      </c>
      <c r="M30" t="inlineStr">
        <is>
          <t>57.0</t>
        </is>
      </c>
      <c r="N30" t="inlineStr">
        <is>
          <t>26-79275</t>
        </is>
      </c>
    </row>
    <row r="31">
      <c r="A31" t="inlineStr">
        <is>
          <t>2026-61359767 (avis de publicité)  et référence DIPADEST sur Place</t>
        </is>
      </c>
      <c r="B31" t="inlineStr">
        <is>
          <t>DGDDI DI PARIS-AEROPORTS</t>
        </is>
      </c>
      <c r="C31" t="inlineStr">
        <is>
          <t>Autre</t>
        </is>
      </c>
      <c r="D31" t="inlineStr">
        <is>
          <t>Bureaux</t>
        </is>
      </c>
      <c r="E31" t="inlineStr"/>
      <c r="F31" t="inlineStr"/>
      <c r="G31" t="inlineStr">
        <is>
          <t>2026-08-27</t>
        </is>
      </c>
      <c r="H31" t="inlineStr">
        <is>
          <t>2026-10-12T12:30:00+00:00</t>
        </is>
      </c>
      <c r="I31" t="inlineStr"/>
      <c r="J31" t="inlineStr">
        <is>
          <t>https://www.marches-publics.gouv.fr</t>
        </is>
      </c>
      <c r="K31" t="inlineStr">
        <is>
          <t>https://www.boamp.fr/pages/avis/?q=idweb:26-83118</t>
        </is>
      </c>
      <c r="L31" t="inlineStr">
        <is>
          <t>TIEDE</t>
        </is>
      </c>
      <c r="M31" t="inlineStr">
        <is>
          <t>55.0</t>
        </is>
      </c>
      <c r="N31" t="inlineStr">
        <is>
          <t>26-83118</t>
        </is>
      </c>
    </row>
    <row r="32">
      <c r="A32" t="inlineStr">
        <is>
          <t>Fourniture de petits matériels et de consommables d'entretien et d'hygiène</t>
        </is>
      </c>
      <c r="B32" t="inlineStr">
        <is>
          <t>Département des Hauts-de-Seine</t>
        </is>
      </c>
      <c r="C32" t="inlineStr">
        <is>
          <t>Autre</t>
        </is>
      </c>
      <c r="D32" t="inlineStr">
        <is>
          <t>Batiments</t>
        </is>
      </c>
      <c r="E32" t="inlineStr"/>
      <c r="F32" t="inlineStr"/>
      <c r="G32" t="inlineStr">
        <is>
          <t>2026-07-25</t>
        </is>
      </c>
      <c r="H32" t="inlineStr">
        <is>
          <t>2026-09-15T15:00:00+00:00</t>
        </is>
      </c>
      <c r="I32" t="inlineStr"/>
      <c r="J32" t="inlineStr">
        <is>
          <t>https://www.marches-publics.info/mpiaws/index.cfm?fuseaction=dematEnt.login&amp;amp;type=DCE&amp;amp;IDM=1854121</t>
        </is>
      </c>
      <c r="K32" t="inlineStr">
        <is>
          <t>https://www.boamp.fr/pages/avis/?q=idweb:26-73898</t>
        </is>
      </c>
      <c r="L32" t="inlineStr">
        <is>
          <t>TIEDE</t>
        </is>
      </c>
      <c r="M32" t="inlineStr">
        <is>
          <t>55</t>
        </is>
      </c>
      <c r="N32" t="inlineStr">
        <is>
          <t>26-73898</t>
        </is>
      </c>
    </row>
    <row r="33">
      <c r="A33" t="inlineStr">
        <is>
          <t>Prestations de nettoyage courant des locaux du CNRS et de vitreries incluant la fourniture des produits d’entretien et d’hygiène</t>
        </is>
      </c>
      <c r="B33" t="inlineStr">
        <is>
          <t>CNRS Délégation paris-Centre</t>
        </is>
      </c>
      <c r="C33" t="inlineStr">
        <is>
          <t>Autre</t>
        </is>
      </c>
      <c r="D33" t="inlineStr">
        <is>
          <t>Batiments</t>
        </is>
      </c>
      <c r="E33" t="inlineStr"/>
      <c r="F33" t="inlineStr"/>
      <c r="G33" t="inlineStr">
        <is>
          <t>2026-07-22</t>
        </is>
      </c>
      <c r="H33" t="inlineStr">
        <is>
          <t>2026-09-04T10:00:00+00:00</t>
        </is>
      </c>
      <c r="I33" t="inlineStr"/>
      <c r="J33" t="inlineStr">
        <is>
          <t>https://www.marches-publics.gouv.fr</t>
        </is>
      </c>
      <c r="K33" t="inlineStr">
        <is>
          <t>https://www.boamp.fr/pages/avis/?q=idweb:26-72955</t>
        </is>
      </c>
      <c r="L33" t="inlineStr">
        <is>
          <t>TIEDE</t>
        </is>
      </c>
      <c r="M33" t="inlineStr">
        <is>
          <t>55</t>
        </is>
      </c>
      <c r="N33" t="inlineStr">
        <is>
          <t>26-72955</t>
        </is>
      </c>
    </row>
    <row r="34">
      <c r="A34" t="inlineStr">
        <is>
          <t>PRESTATIONS DE SERVICES DE NETTOYAGE ET BIONETTOYAGE DES LOCAUX, DE LA VITRERIE ET SERVICES ASSOCIES POUR LE CHIMM</t>
        </is>
      </c>
      <c r="B34" t="inlineStr">
        <is>
          <t>Centre Hospitalier Poissy/Saint-Germain-En-Laye</t>
        </is>
      </c>
      <c r="C34" t="inlineStr">
        <is>
          <t>Autre</t>
        </is>
      </c>
      <c r="D34" t="inlineStr">
        <is>
          <t>Vitres</t>
        </is>
      </c>
      <c r="E34" t="inlineStr"/>
      <c r="F34" t="inlineStr"/>
      <c r="G34" t="inlineStr">
        <is>
          <t>2026-07-21</t>
        </is>
      </c>
      <c r="H34" t="inlineStr">
        <is>
          <t>2026-09-28T10:00:00+00:00</t>
        </is>
      </c>
      <c r="I34" t="inlineStr"/>
      <c r="J34" t="inlineStr">
        <is>
          <t>https://marches.maximilien.fr/entreprise/consultation/943757?orgAcronyme=a2k</t>
        </is>
      </c>
      <c r="K34" t="inlineStr">
        <is>
          <t>https://www.boamp.fr/pages/avis/?q=idweb:26-72105</t>
        </is>
      </c>
      <c r="L34" t="inlineStr">
        <is>
          <t>TIEDE</t>
        </is>
      </c>
      <c r="M34" t="inlineStr">
        <is>
          <t>55</t>
        </is>
      </c>
      <c r="N34" t="inlineStr">
        <is>
          <t>26-72105</t>
        </is>
      </c>
    </row>
    <row r="35">
      <c r="A35" t="inlineStr">
        <is>
          <t>PRESTATIONS DE COACHING ET D’ACCOMPAGNEMENT DES MEMBRES D’UN CODIR AU PROFIT DE L’EPIDE</t>
        </is>
      </c>
      <c r="B35" t="inlineStr">
        <is>
          <t>EPIDE</t>
        </is>
      </c>
      <c r="C35" t="inlineStr">
        <is>
          <t>Autre</t>
        </is>
      </c>
      <c r="D35" t="inlineStr">
        <is>
          <t>Batiments</t>
        </is>
      </c>
      <c r="E35" t="inlineStr"/>
      <c r="F35" t="inlineStr"/>
      <c r="G35" t="inlineStr">
        <is>
          <t>2026-07-17</t>
        </is>
      </c>
      <c r="H35" t="inlineStr">
        <is>
          <t>2026-08-25T10:00:00+00:00</t>
        </is>
      </c>
      <c r="I35" t="inlineStr"/>
      <c r="J35" t="inlineStr">
        <is>
          <t>https://www.epide.fr/</t>
        </is>
      </c>
      <c r="K35" t="inlineStr">
        <is>
          <t>https://www.boamp.fr/pages/avis/?q=idweb:26-70522</t>
        </is>
      </c>
      <c r="L35" t="inlineStr">
        <is>
          <t>TIEDE</t>
        </is>
      </c>
      <c r="M35" t="inlineStr">
        <is>
          <t>55</t>
        </is>
      </c>
      <c r="N35" t="inlineStr">
        <is>
          <t>26-70522</t>
        </is>
      </c>
    </row>
    <row r="36">
      <c r="A36" t="inlineStr">
        <is>
          <t>Prestations de nettoyage des locaux et de la vitrerie et prestations associées pour les sites du GHT Grand Paris Nord-Est</t>
        </is>
      </c>
      <c r="B36" t="inlineStr">
        <is>
          <t>GHT GPNE</t>
        </is>
      </c>
      <c r="C36" t="inlineStr">
        <is>
          <t>Autre</t>
        </is>
      </c>
      <c r="D36" t="inlineStr">
        <is>
          <t>Vitres</t>
        </is>
      </c>
      <c r="E36" t="inlineStr"/>
      <c r="F36" t="inlineStr"/>
      <c r="G36" t="inlineStr">
        <is>
          <t>2026-07-17</t>
        </is>
      </c>
      <c r="H36" t="inlineStr">
        <is>
          <t>2026-09-04T15:00:00+00:00</t>
        </is>
      </c>
      <c r="I36" t="inlineStr"/>
      <c r="J36" t="inlineStr">
        <is>
          <t>https://marches.maximilien.fr/entreprise/consultation/943277?orgAcronyme=a1j</t>
        </is>
      </c>
      <c r="K36" t="inlineStr">
        <is>
          <t>https://www.boamp.fr/pages/avis/?q=idweb:26-70503</t>
        </is>
      </c>
      <c r="L36" t="inlineStr">
        <is>
          <t>TIEDE</t>
        </is>
      </c>
      <c r="M36" t="inlineStr">
        <is>
          <t>55</t>
        </is>
      </c>
      <c r="N36" t="inlineStr">
        <is>
          <t>26-70503</t>
        </is>
      </c>
    </row>
    <row r="37">
      <c r="A37" t="inlineStr">
        <is>
          <t>PRESTATIONS DE NETTOYAGE ET D'ENTRETIEN MENAGER DES BATIMENTS UNIVERSITAIRES</t>
        </is>
      </c>
      <c r="B37" t="inlineStr">
        <is>
          <t>Communauté d'Agglomération Melun Val de Seine</t>
        </is>
      </c>
      <c r="C37" t="inlineStr">
        <is>
          <t>Autre</t>
        </is>
      </c>
      <c r="D37" t="inlineStr">
        <is>
          <t>Batiments</t>
        </is>
      </c>
      <c r="E37" t="inlineStr"/>
      <c r="F37" t="inlineStr"/>
      <c r="G37" t="inlineStr">
        <is>
          <t>2026-08-23</t>
        </is>
      </c>
      <c r="H37" t="inlineStr">
        <is>
          <t>2026-09-21T10:00:00+00:00</t>
        </is>
      </c>
      <c r="I37" t="inlineStr">
        <is>
          <t>120000</t>
        </is>
      </c>
      <c r="J37" t="inlineStr">
        <is>
          <t>https://www.marches-publics.info/mpiaws/index.cfm?fuseaction=dematEnt.login&amp;amp;type=DCE&amp;amp;IDM=1863025</t>
        </is>
      </c>
      <c r="K37" t="inlineStr">
        <is>
          <t>https://www.boamp.fr/pages/avis/?q=idweb:26-82245</t>
        </is>
      </c>
      <c r="L37" t="inlineStr">
        <is>
          <t>TIEDE</t>
        </is>
      </c>
      <c r="M37" t="inlineStr">
        <is>
          <t>53.8</t>
        </is>
      </c>
      <c r="N37" t="inlineStr">
        <is>
          <t>26-82245</t>
        </is>
      </c>
    </row>
    <row r="38">
      <c r="A38" t="inlineStr">
        <is>
          <t>PRESTATIONS DE NETTOYAGE ET D'ENTRETIEN MENAGER DES BATIMENTS UNIVERSITAIRES</t>
        </is>
      </c>
      <c r="B38" t="inlineStr">
        <is>
          <t>Communauté d'Agglomération Melun Val de Seine</t>
        </is>
      </c>
      <c r="C38" t="inlineStr">
        <is>
          <t>Autre</t>
        </is>
      </c>
      <c r="D38" t="inlineStr">
        <is>
          <t>Batiments</t>
        </is>
      </c>
      <c r="E38" t="inlineStr"/>
      <c r="F38" t="inlineStr"/>
      <c r="G38" t="inlineStr">
        <is>
          <t>2026-08-21</t>
        </is>
      </c>
      <c r="H38" t="inlineStr">
        <is>
          <t>2026-09-21T10:00:00+00:00</t>
        </is>
      </c>
      <c r="I38" t="inlineStr">
        <is>
          <t>120000</t>
        </is>
      </c>
      <c r="J38" t="inlineStr">
        <is>
          <t>https://www.marches-publics.info/mpiaws/index.cfm?fuseaction=dematEnt.login&amp;amp;type=DCE&amp;amp;IDM=1863025</t>
        </is>
      </c>
      <c r="K38" t="inlineStr">
        <is>
          <t>https://www.boamp.fr/pages/avis/?q=idweb:26-81766</t>
        </is>
      </c>
      <c r="L38" t="inlineStr">
        <is>
          <t>TIEDE</t>
        </is>
      </c>
      <c r="M38" t="inlineStr">
        <is>
          <t>53.8</t>
        </is>
      </c>
      <c r="N38" t="inlineStr">
        <is>
          <t>26-81766</t>
        </is>
      </c>
    </row>
    <row r="39">
      <c r="A39" t="inlineStr">
        <is>
          <t>Le présent contrat a pour objet la délégation de l'exploitation du Centre Départemental d'initiation au golf de la Poudrerie à Livry-Gargan</t>
        </is>
      </c>
      <c r="B39" t="inlineStr">
        <is>
          <t>Département de la Seine-Saint-Denis</t>
        </is>
      </c>
      <c r="C39" t="inlineStr">
        <is>
          <t>Autre</t>
        </is>
      </c>
      <c r="D39" t="inlineStr">
        <is>
          <t>Personnel</t>
        </is>
      </c>
      <c r="E39" t="inlineStr"/>
      <c r="F39" t="inlineStr"/>
      <c r="G39" t="inlineStr">
        <is>
          <t>2026-08-05</t>
        </is>
      </c>
      <c r="H39" t="inlineStr">
        <is>
          <t>2026-09-21T10:00:00+00:00</t>
        </is>
      </c>
      <c r="I39" t="inlineStr"/>
      <c r="J39" t="inlineStr">
        <is>
          <t>https://www.marches-publics.info/mpiaws/index.cfm?fuseaction=dematEnt.login&amp;amp;type=DCE&amp;amp;IDM=1858330</t>
        </is>
      </c>
      <c r="K39" t="inlineStr">
        <is>
          <t>https://www.boamp.fr/pages/avis/?q=idweb:26-77541</t>
        </is>
      </c>
      <c r="L39" t="inlineStr">
        <is>
          <t>TIEDE</t>
        </is>
      </c>
      <c r="M39" t="inlineStr">
        <is>
          <t>52.8</t>
        </is>
      </c>
      <c r="N39" t="inlineStr">
        <is>
          <t>26-77541</t>
        </is>
      </c>
    </row>
    <row r="40">
      <c r="A40" t="inlineStr">
        <is>
          <t>Marché de service de nettoyage de divers locaux communaux de la commune de Marcoussis</t>
        </is>
      </c>
      <c r="B40" t="inlineStr">
        <is>
          <t>COMMUNE DE MARCOUSSIS</t>
        </is>
      </c>
      <c r="C40" t="inlineStr">
        <is>
          <t>Mairie</t>
        </is>
      </c>
      <c r="D40" t="inlineStr">
        <is>
          <t>Vitres</t>
        </is>
      </c>
      <c r="E40" t="inlineStr"/>
      <c r="F40" t="inlineStr"/>
      <c r="G40" t="inlineStr">
        <is>
          <t>2026-08-05</t>
        </is>
      </c>
      <c r="H40" t="inlineStr">
        <is>
          <t>2026-09-07T12:00:00+00:00</t>
        </is>
      </c>
      <c r="I40" t="inlineStr"/>
      <c r="J40" t="inlineStr">
        <is>
          <t>https://marcoussis.fr/</t>
        </is>
      </c>
      <c r="K40" t="inlineStr">
        <is>
          <t>https://www.boamp.fr/pages/avis/?q=idweb:26-77581</t>
        </is>
      </c>
      <c r="L40" t="inlineStr">
        <is>
          <t>TIEDE</t>
        </is>
      </c>
      <c r="M40" t="inlineStr">
        <is>
          <t>52.0</t>
        </is>
      </c>
      <c r="N40" t="inlineStr">
        <is>
          <t>26-77581</t>
        </is>
      </c>
    </row>
    <row r="41">
      <c r="A41" t="inlineStr">
        <is>
          <t>Service de mise à disposition de personnel</t>
        </is>
      </c>
      <c r="B41" t="inlineStr">
        <is>
          <t>Mairie d&amp;#039;ANTONY</t>
        </is>
      </c>
      <c r="C41" t="inlineStr">
        <is>
          <t>Mairie</t>
        </is>
      </c>
      <c r="D41" t="inlineStr">
        <is>
          <t>Personnel</t>
        </is>
      </c>
      <c r="E41" t="inlineStr"/>
      <c r="F41" t="inlineStr"/>
      <c r="G41" t="inlineStr">
        <is>
          <t>2026-07-22</t>
        </is>
      </c>
      <c r="H41" t="inlineStr">
        <is>
          <t>2026-09-09T10:00:00+00:00</t>
        </is>
      </c>
      <c r="I41" t="inlineStr">
        <is>
          <t>37500</t>
        </is>
      </c>
      <c r="J41" t="inlineStr">
        <is>
          <t>https://marches.maximilien.fr/</t>
        </is>
      </c>
      <c r="K41" t="inlineStr">
        <is>
          <t>https://www.boamp.fr/pages/avis/?q=idweb:26-72690</t>
        </is>
      </c>
      <c r="L41" t="inlineStr">
        <is>
          <t>TIEDE</t>
        </is>
      </c>
      <c r="M41" t="inlineStr">
        <is>
          <t>45</t>
        </is>
      </c>
      <c r="N41" t="inlineStr">
        <is>
          <t>26-72690</t>
        </is>
      </c>
    </row>
    <row r="42">
      <c r="A42" t="inlineStr">
        <is>
          <t>Prestation de paie externalisée</t>
        </is>
      </c>
      <c r="B42" t="inlineStr">
        <is>
          <t>Les Eaux de la Confluence</t>
        </is>
      </c>
      <c r="C42" t="inlineStr">
        <is>
          <t>Autre</t>
        </is>
      </c>
      <c r="D42" t="inlineStr">
        <is>
          <t>Batiments</t>
        </is>
      </c>
      <c r="E42" t="inlineStr">
        <is>
          <t>Cergy-Pontoise</t>
        </is>
      </c>
      <c r="F42" t="inlineStr"/>
      <c r="G42" t="inlineStr">
        <is>
          <t>2026-07-16</t>
        </is>
      </c>
      <c r="H42" t="inlineStr">
        <is>
          <t>2026-08-06T12:00:00+00:00</t>
        </is>
      </c>
      <c r="I42" t="inlineStr">
        <is>
          <t>190054</t>
        </is>
      </c>
      <c r="J42" t="inlineStr">
        <is>
          <t>https://marches.maximilien.fr/entreprise/consultation/943427?orgAcronyme=a7q</t>
        </is>
      </c>
      <c r="K42" t="inlineStr">
        <is>
          <t>https://www.boamp.fr/pages/avis/?q=idweb:26-70805</t>
        </is>
      </c>
      <c r="L42" t="inlineStr">
        <is>
          <t>TIEDE</t>
        </is>
      </c>
      <c r="M42" t="inlineStr">
        <is>
          <t>45</t>
        </is>
      </c>
      <c r="N42" t="inlineStr">
        <is>
          <t>26-70805</t>
        </is>
      </c>
    </row>
    <row r="43">
      <c r="A43" t="inlineStr">
        <is>
          <t>Maintenance des installations frigorifiques de la patinoire</t>
        </is>
      </c>
      <c r="B43" t="inlineStr">
        <is>
          <t>Ville de Franconville-la-Garenne</t>
        </is>
      </c>
      <c r="C43" t="inlineStr">
        <is>
          <t>Mairie</t>
        </is>
      </c>
      <c r="D43" t="inlineStr">
        <is>
          <t>Batiments</t>
        </is>
      </c>
      <c r="E43" t="inlineStr"/>
      <c r="F43" t="inlineStr"/>
      <c r="G43" t="inlineStr">
        <is>
          <t>2026-08-02</t>
        </is>
      </c>
      <c r="H43" t="inlineStr">
        <is>
          <t>2026-09-04T10:00:00+00:00</t>
        </is>
      </c>
      <c r="I43" t="inlineStr"/>
      <c r="J43" t="inlineStr">
        <is>
          <t>http://agysoft.marches-publics.info/</t>
        </is>
      </c>
      <c r="K43" t="inlineStr">
        <is>
          <t>https://www.boamp.fr/pages/avis/?q=idweb:26-77150</t>
        </is>
      </c>
      <c r="L43" t="inlineStr">
        <is>
          <t>TIEDE</t>
        </is>
      </c>
      <c r="M43" t="inlineStr">
        <is>
          <t>44.0</t>
        </is>
      </c>
      <c r="N43" t="inlineStr">
        <is>
          <t>26-77150</t>
        </is>
      </c>
    </row>
    <row r="44">
      <c r="A44" t="inlineStr">
        <is>
          <t>Nettoyage des bâtiments scolaires élémentaires, des accueils de loisirs et des gymnases intégrés</t>
        </is>
      </c>
      <c r="B44" t="inlineStr">
        <is>
          <t>COMMUNE NOUVELLE DE SAINT-DENIS</t>
        </is>
      </c>
      <c r="C44" t="inlineStr">
        <is>
          <t>Autre</t>
        </is>
      </c>
      <c r="D44" t="inlineStr">
        <is>
          <t>Batiments</t>
        </is>
      </c>
      <c r="E44" t="inlineStr"/>
      <c r="F44" t="inlineStr"/>
      <c r="G44" t="inlineStr">
        <is>
          <t>2026-08-28</t>
        </is>
      </c>
      <c r="H44" t="inlineStr">
        <is>
          <t>2026-09-28T15:00:00+00:00</t>
        </is>
      </c>
      <c r="I44" t="inlineStr">
        <is>
          <t>237500</t>
        </is>
      </c>
      <c r="J44" t="inlineStr">
        <is>
          <t>https://marches.maximilien.fr/?page=Entreprise.EntrepriseAdvancedSearch&amp;AllCons&amp;id=944212&amp;orgAcronyme=a6q</t>
        </is>
      </c>
      <c r="K44" t="inlineStr">
        <is>
          <t>https://www.boamp.fr/pages/avis/?q=idweb:26-83490</t>
        </is>
      </c>
      <c r="L44" t="inlineStr">
        <is>
          <t>TIEDE</t>
        </is>
      </c>
      <c r="M44" t="inlineStr">
        <is>
          <t>42.9</t>
        </is>
      </c>
      <c r="N44" t="inlineStr">
        <is>
          <t>26-83490</t>
        </is>
      </c>
    </row>
    <row r="45">
      <c r="A45" t="inlineStr">
        <is>
          <t>26SF09 - Maintenance du mobilier auto-relevable ou coulissant et du TCSP de la Communauté d'Agglomération de Cergy-Pontoise</t>
        </is>
      </c>
      <c r="B45" t="inlineStr">
        <is>
          <t>Communauté  d'Agglomération de Cergy-Pontoise</t>
        </is>
      </c>
      <c r="C45" t="inlineStr">
        <is>
          <t>Autre</t>
        </is>
      </c>
      <c r="D45" t="inlineStr">
        <is>
          <t>Mixte/Autre</t>
        </is>
      </c>
      <c r="E45" t="inlineStr"/>
      <c r="F45" t="inlineStr"/>
      <c r="G45" t="inlineStr">
        <is>
          <t>2026-08-28</t>
        </is>
      </c>
      <c r="H45" t="inlineStr">
        <is>
          <t>2026-09-30T15:00:00+00:00</t>
        </is>
      </c>
      <c r="I45" t="inlineStr">
        <is>
          <t>200000</t>
        </is>
      </c>
      <c r="J45" t="inlineStr">
        <is>
          <t>https://www.marches-publics.info/mpiaws/index.cfm?fuseaction=dematEnt.login&amp;amp;type=DCE&amp;amp;IDM=1865399</t>
        </is>
      </c>
      <c r="K45" t="inlineStr">
        <is>
          <t>https://www.boamp.fr/pages/avis/?q=idweb:26-83694</t>
        </is>
      </c>
      <c r="L45" t="inlineStr">
        <is>
          <t>TIEDE</t>
        </is>
      </c>
      <c r="M45" t="inlineStr">
        <is>
          <t>41.2</t>
        </is>
      </c>
      <c r="N45" t="inlineStr">
        <is>
          <t>26-83694</t>
        </is>
      </c>
    </row>
    <row r="46">
      <c r="A46" t="inlineStr">
        <is>
          <t>Marché de prestations de gardiennage lors de manifestations sur sites
Le titulaire du présent marché sera capable d'assurer sa mission de gardiennage dans le cadre d'interventions planifiée</t>
        </is>
      </c>
      <c r="B46" t="inlineStr">
        <is>
          <t>Mairie de Sannois</t>
        </is>
      </c>
      <c r="C46" t="inlineStr">
        <is>
          <t>Mairie</t>
        </is>
      </c>
      <c r="D46" t="inlineStr">
        <is>
          <t>Personnel</t>
        </is>
      </c>
      <c r="E46" t="inlineStr"/>
      <c r="F46" t="inlineStr"/>
      <c r="G46" t="inlineStr">
        <is>
          <t>2026-07-16</t>
        </is>
      </c>
      <c r="H46" t="inlineStr">
        <is>
          <t>2026-08-17T10:00:00+00:00</t>
        </is>
      </c>
      <c r="I46" t="inlineStr">
        <is>
          <t>55000.0</t>
        </is>
      </c>
      <c r="J46" t="inlineStr">
        <is>
          <t>https://www.achatpublic.com/</t>
        </is>
      </c>
      <c r="K46" t="inlineStr">
        <is>
          <t>https://www.boamp.fr/pages/avis/?q=idweb:26-70259</t>
        </is>
      </c>
      <c r="L46" t="inlineStr">
        <is>
          <t>TIEDE</t>
        </is>
      </c>
      <c r="M46" t="inlineStr">
        <is>
          <t>40</t>
        </is>
      </c>
      <c r="N46" t="inlineStr">
        <is>
          <t>26-70259</t>
        </is>
      </c>
    </row>
    <row r="47">
      <c r="A47" t="inlineStr">
        <is>
          <t>Fournitures de produits d'entretien, de consommables et d'équipements</t>
        </is>
      </c>
      <c r="B47" t="inlineStr">
        <is>
          <t>CDEF 93</t>
        </is>
      </c>
      <c r="C47" t="inlineStr">
        <is>
          <t>Autre</t>
        </is>
      </c>
      <c r="D47" t="inlineStr">
        <is>
          <t>Mixte/Autre</t>
        </is>
      </c>
      <c r="E47" t="inlineStr"/>
      <c r="F47" t="inlineStr"/>
      <c r="G47" t="inlineStr">
        <is>
          <t>2026-08-20</t>
        </is>
      </c>
      <c r="H47" t="inlineStr">
        <is>
          <t>2026-09-24T10:00:00+00:00</t>
        </is>
      </c>
      <c r="I47" t="inlineStr">
        <is>
          <t>200000.0</t>
        </is>
      </c>
      <c r="J47" t="inlineStr">
        <is>
          <t>https://www.achatpublic.com</t>
        </is>
      </c>
      <c r="K47" t="inlineStr">
        <is>
          <t>https://www.boamp.fr/pages/avis/?q=idweb:26-81405</t>
        </is>
      </c>
      <c r="L47" t="inlineStr">
        <is>
          <t>FROID</t>
        </is>
      </c>
      <c r="M47" t="inlineStr">
        <is>
          <t>39.8</t>
        </is>
      </c>
      <c r="N47" t="inlineStr">
        <is>
          <t>26-81405</t>
        </is>
      </c>
    </row>
    <row r="48">
      <c r="A48" t="inlineStr">
        <is>
          <t>Accord-cadre à bons de commande relatif au nettoyage des locaux et des vitres des bâtiments départementaux et au nettoyage partiel de certains collèges du Val d'Oise (8 lots)</t>
        </is>
      </c>
      <c r="B48" t="inlineStr">
        <is>
          <t>Conseil départemental du Val-d'Oise</t>
        </is>
      </c>
      <c r="C48" t="inlineStr">
        <is>
          <t>Autre</t>
        </is>
      </c>
      <c r="D48" t="inlineStr">
        <is>
          <t>Vitres</t>
        </is>
      </c>
      <c r="E48" t="inlineStr"/>
      <c r="F48" t="inlineStr"/>
      <c r="G48" t="inlineStr">
        <is>
          <t>2026-08-19</t>
        </is>
      </c>
      <c r="H48" t="inlineStr">
        <is>
          <t>2026-09-18T10:00:00+00:00</t>
        </is>
      </c>
      <c r="I48" t="inlineStr">
        <is>
          <t>1125000</t>
        </is>
      </c>
      <c r="J48" t="inlineStr">
        <is>
          <t>https://www.marches-publics.info/mpiaws/index.cfm?fuseaction=dematEnt.login&amp;amp;type=DCE&amp;amp;IDM=1862248</t>
        </is>
      </c>
      <c r="K48" t="inlineStr">
        <is>
          <t>https://www.boamp.fr/pages/avis/?q=idweb:26-81108</t>
        </is>
      </c>
      <c r="L48" t="inlineStr">
        <is>
          <t>FROID</t>
        </is>
      </c>
      <c r="M48" t="inlineStr">
        <is>
          <t>37.5</t>
        </is>
      </c>
      <c r="N48" t="inlineStr">
        <is>
          <t>26-81108</t>
        </is>
      </c>
    </row>
    <row r="49">
      <c r="A49" t="inlineStr">
        <is>
          <t>Travaux d'aménagement d'une crèche de 15 berceaux - Crèche des bonshommes : Relance lot 1 - Gros oeuvre - carrelage pour cause de liquidation judiciaire</t>
        </is>
      </c>
      <c r="B49" t="inlineStr">
        <is>
          <t>Val d'Europe agglomération</t>
        </is>
      </c>
      <c r="C49" t="inlineStr">
        <is>
          <t>Ecole</t>
        </is>
      </c>
      <c r="D49" t="inlineStr">
        <is>
          <t>Bureaux</t>
        </is>
      </c>
      <c r="E49" t="inlineStr">
        <is>
          <t>Marne la vallée cedex 4</t>
        </is>
      </c>
      <c r="F49" t="inlineStr"/>
      <c r="G49" t="inlineStr">
        <is>
          <t>2026-08-03</t>
        </is>
      </c>
      <c r="H49" t="inlineStr">
        <is>
          <t>2026-08-27T12:00:00+00:00</t>
        </is>
      </c>
      <c r="I49" t="inlineStr">
        <is>
          <t>155402</t>
        </is>
      </c>
      <c r="J49" t="inlineStr">
        <is>
          <t>https://www.achatpublic.com/sdm/ent/gen/ent_detail.do?PCSLID=CSL_2026_HfAtl9mcaM</t>
        </is>
      </c>
      <c r="K49" t="inlineStr">
        <is>
          <t>https://www.boamp.fr/pages/avis/?q=idweb:26-77304</t>
        </is>
      </c>
      <c r="L49" t="inlineStr">
        <is>
          <t>FROID</t>
        </is>
      </c>
      <c r="M49" t="inlineStr">
        <is>
          <t>35.1</t>
        </is>
      </c>
      <c r="N49" t="inlineStr">
        <is>
          <t>26-77304</t>
        </is>
      </c>
    </row>
    <row r="50">
      <c r="A50" t="inlineStr">
        <is>
          <t>chalet DGAC pour le salon du Bourget</t>
        </is>
      </c>
      <c r="B50" t="inlineStr">
        <is>
          <t>SG / SDF2</t>
        </is>
      </c>
      <c r="C50" t="inlineStr">
        <is>
          <t>Autre</t>
        </is>
      </c>
      <c r="D50" t="inlineStr">
        <is>
          <t>Personnel</t>
        </is>
      </c>
      <c r="E50" t="inlineStr">
        <is>
          <t>Paris Cedex 15</t>
        </is>
      </c>
      <c r="F50" t="inlineStr"/>
      <c r="G50" t="inlineStr">
        <is>
          <t>2026-07-24</t>
        </is>
      </c>
      <c r="H50" t="inlineStr">
        <is>
          <t>2026-09-14T12:00:00+00:00</t>
        </is>
      </c>
      <c r="I50" t="inlineStr">
        <is>
          <t>285000</t>
        </is>
      </c>
      <c r="J50" t="inlineStr">
        <is>
          <t>https://www.marches-publics.gouv.fr/entreprise/consultation/3043184?orgAcronyme=d4t</t>
        </is>
      </c>
      <c r="K50" t="inlineStr">
        <is>
          <t>https://www.boamp.fr/pages/avis/?q=idweb:26-74504</t>
        </is>
      </c>
      <c r="L50" t="inlineStr">
        <is>
          <t>FROID</t>
        </is>
      </c>
      <c r="M50" t="inlineStr">
        <is>
          <t>35</t>
        </is>
      </c>
      <c r="N50" t="inlineStr">
        <is>
          <t>26-74504</t>
        </is>
      </c>
    </row>
    <row r="51">
      <c r="A51" t="inlineStr">
        <is>
          <t>Travaux de menuiseries extérieures et de vitrerie dans les bâtiments communaux</t>
        </is>
      </c>
      <c r="B51" t="inlineStr">
        <is>
          <t>Ville de Montrouge
Direction des bâtiments, énergie et propreté 
43 avenue de la République
92120 MONTROUGE</t>
        </is>
      </c>
      <c r="C51" t="inlineStr">
        <is>
          <t>Mairie</t>
        </is>
      </c>
      <c r="D51" t="inlineStr">
        <is>
          <t>Vitres</t>
        </is>
      </c>
      <c r="E51" t="inlineStr"/>
      <c r="F51" t="inlineStr"/>
      <c r="G51" t="inlineStr">
        <is>
          <t>2026-07-24</t>
        </is>
      </c>
      <c r="H51" t="inlineStr">
        <is>
          <t>2026-09-28T15:00:00+00:00</t>
        </is>
      </c>
      <c r="I51" t="inlineStr">
        <is>
          <t>3200000.0</t>
        </is>
      </c>
      <c r="J51" t="inlineStr">
        <is>
          <t>https://www.achatpublic.com/sdm/ent/gen/ent_detail.do?PCSLID=CSL_2026_YLyiWdUZqH</t>
        </is>
      </c>
      <c r="K51" t="inlineStr">
        <is>
          <t>https://www.boamp.fr/pages/avis/?q=idweb:26-73442</t>
        </is>
      </c>
      <c r="L51" t="inlineStr">
        <is>
          <t>FROID</t>
        </is>
      </c>
      <c r="M51" t="inlineStr">
        <is>
          <t>35</t>
        </is>
      </c>
      <c r="N51" t="inlineStr">
        <is>
          <t>26-73442</t>
        </is>
      </c>
    </row>
    <row r="52">
      <c r="A52" t="inlineStr">
        <is>
          <t>Prestation de balayage et nettoyage du domaine public et privé de la collectivité</t>
        </is>
      </c>
      <c r="B52" t="inlineStr">
        <is>
          <t>Mairie de Paray-Vieille-Poste</t>
        </is>
      </c>
      <c r="C52" t="inlineStr">
        <is>
          <t>Mairie</t>
        </is>
      </c>
      <c r="D52" t="inlineStr">
        <is>
          <t>Mixte/Autre</t>
        </is>
      </c>
      <c r="E52" t="inlineStr"/>
      <c r="F52" t="inlineStr"/>
      <c r="G52" t="inlineStr">
        <is>
          <t>2026-08-07</t>
        </is>
      </c>
      <c r="H52" t="inlineStr">
        <is>
          <t>2026-09-16T10:00:00+00:00</t>
        </is>
      </c>
      <c r="I52" t="inlineStr">
        <is>
          <t>440000</t>
        </is>
      </c>
      <c r="J52" t="inlineStr">
        <is>
          <t>https://marches.maximilien.fr</t>
        </is>
      </c>
      <c r="K52" t="inlineStr">
        <is>
          <t>https://www.boamp.fr/pages/avis/?q=idweb:26-78377</t>
        </is>
      </c>
      <c r="L52" t="inlineStr">
        <is>
          <t>FROID</t>
        </is>
      </c>
      <c r="M52" t="inlineStr">
        <is>
          <t>34.2</t>
        </is>
      </c>
      <c r="N52" t="inlineStr">
        <is>
          <t>26-78377</t>
        </is>
      </c>
    </row>
    <row r="53">
      <c r="A53" t="inlineStr">
        <is>
          <t>Service de balayage mécanique des espaces publics de la Commune de Montmagny</t>
        </is>
      </c>
      <c r="B53" t="inlineStr">
        <is>
          <t>Commune de Montmagny</t>
        </is>
      </c>
      <c r="C53" t="inlineStr">
        <is>
          <t>Mairie</t>
        </is>
      </c>
      <c r="D53" t="inlineStr">
        <is>
          <t>Mixte/Autre</t>
        </is>
      </c>
      <c r="E53" t="inlineStr"/>
      <c r="F53" t="inlineStr"/>
      <c r="G53" t="inlineStr">
        <is>
          <t>2026-08-25</t>
        </is>
      </c>
      <c r="H53" t="inlineStr">
        <is>
          <t>2026-09-28T10:00:00+00:00</t>
        </is>
      </c>
      <c r="I53" t="inlineStr">
        <is>
          <t>640000.0</t>
        </is>
      </c>
      <c r="J53" t="inlineStr">
        <is>
          <t>https://www.achatpublic.com/sdm/ent/gen/ent_detail.do?PCSLID=CSL_2026_tRFCblH-Fv</t>
        </is>
      </c>
      <c r="K53" t="inlineStr">
        <is>
          <t>https://www.boamp.fr/pages/avis/?q=idweb:26-82637</t>
        </is>
      </c>
      <c r="L53" t="inlineStr">
        <is>
          <t>FROID</t>
        </is>
      </c>
      <c r="M53" t="inlineStr">
        <is>
          <t>32.8</t>
        </is>
      </c>
      <c r="N53" t="inlineStr">
        <is>
          <t>26-82637</t>
        </is>
      </c>
    </row>
    <row r="54">
      <c r="A54" t="inlineStr">
        <is>
          <t>Sécurité des évènements</t>
        </is>
      </c>
      <c r="B54" t="inlineStr">
        <is>
          <t>Ville de Vitry-sur-Seine</t>
        </is>
      </c>
      <c r="C54" t="inlineStr">
        <is>
          <t>Mairie</t>
        </is>
      </c>
      <c r="D54" t="inlineStr">
        <is>
          <t>Personnel</t>
        </is>
      </c>
      <c r="E54" t="inlineStr"/>
      <c r="F54" t="inlineStr"/>
      <c r="G54" t="inlineStr">
        <is>
          <t>2026-08-27</t>
        </is>
      </c>
      <c r="H54" t="inlineStr">
        <is>
          <t>2026-10-05T10:30:00+00:00</t>
        </is>
      </c>
      <c r="I54" t="inlineStr"/>
      <c r="J54" t="inlineStr">
        <is>
          <t>https://marches.maximilien.fr</t>
        </is>
      </c>
      <c r="K54" t="inlineStr">
        <is>
          <t>https://www.boamp.fr/pages/avis/?q=idweb:26-83350</t>
        </is>
      </c>
      <c r="L54" t="inlineStr">
        <is>
          <t>FROID</t>
        </is>
      </c>
      <c r="M54" t="inlineStr">
        <is>
          <t>31.5</t>
        </is>
      </c>
      <c r="N54" t="inlineStr">
        <is>
          <t>26-83350</t>
        </is>
      </c>
    </row>
    <row r="55">
      <c r="A55" t="inlineStr">
        <is>
          <t>GESTION ET NETTOYAGE DE BASE VIE ET DE STRUCTURES MODULAIRES</t>
        </is>
      </c>
      <c r="B55" t="inlineStr">
        <is>
          <t>ETBT du Château de Versailles</t>
        </is>
      </c>
      <c r="C55" t="inlineStr">
        <is>
          <t>Autre</t>
        </is>
      </c>
      <c r="D55" t="inlineStr">
        <is>
          <t>Mixte/Autre</t>
        </is>
      </c>
      <c r="E55" t="inlineStr"/>
      <c r="F55" t="inlineStr"/>
      <c r="G55" t="inlineStr">
        <is>
          <t>2026-08-26</t>
        </is>
      </c>
      <c r="H55" t="inlineStr">
        <is>
          <t>2026-10-12T12:30:00+00:00</t>
        </is>
      </c>
      <c r="I55" t="inlineStr">
        <is>
          <t>350000.0</t>
        </is>
      </c>
      <c r="J55" t="inlineStr">
        <is>
          <t>https://www.achatpublic.com/sdm/ent/gen/ent_detail.do?PCSLID=CSL_2026_K0GSdVTAwn</t>
        </is>
      </c>
      <c r="K55" t="inlineStr">
        <is>
          <t>https://www.boamp.fr/pages/avis/?q=idweb:26-82779</t>
        </is>
      </c>
      <c r="L55" t="inlineStr">
        <is>
          <t>FROID</t>
        </is>
      </c>
      <c r="M55" t="inlineStr">
        <is>
          <t>30.0</t>
        </is>
      </c>
      <c r="N55" t="inlineStr">
        <is>
          <t>26-82779</t>
        </is>
      </c>
    </row>
    <row r="56">
      <c r="A56" t="inlineStr">
        <is>
          <t>PRESTATIONS DE SECURITE, GARDIENNAGE ET SURETE DES ARENES DE GRAND PARIS SUD</t>
        </is>
      </c>
      <c r="B56" t="inlineStr">
        <is>
          <t>CA GRAND PARIS SUD SEINE ESSONNE SENART</t>
        </is>
      </c>
      <c r="C56" t="inlineStr">
        <is>
          <t>Autre</t>
        </is>
      </c>
      <c r="D56" t="inlineStr">
        <is>
          <t>Personnel</t>
        </is>
      </c>
      <c r="E56" t="inlineStr"/>
      <c r="F56" t="inlineStr"/>
      <c r="G56" t="inlineStr">
        <is>
          <t>2026-07-24</t>
        </is>
      </c>
      <c r="H56" t="inlineStr">
        <is>
          <t>2026-09-28T10:00:00+00:00</t>
        </is>
      </c>
      <c r="I56" t="inlineStr">
        <is>
          <t>75000</t>
        </is>
      </c>
      <c r="J56" t="inlineStr">
        <is>
          <t>https://www.achatpublic.com/sdm/ent/gen/ent_detail.do?PCSLID=CSL_2026_drUDYVSvmp</t>
        </is>
      </c>
      <c r="K56" t="inlineStr">
        <is>
          <t>https://www.boamp.fr/pages/avis/?q=idweb:26-73389</t>
        </is>
      </c>
      <c r="L56" t="inlineStr">
        <is>
          <t>FROID</t>
        </is>
      </c>
      <c r="M56" t="inlineStr">
        <is>
          <t>30</t>
        </is>
      </c>
      <c r="N56" t="inlineStr">
        <is>
          <t>26-73389</t>
        </is>
      </c>
    </row>
    <row r="57">
      <c r="A57" t="inlineStr">
        <is>
          <t>Services de mise à disposition de personnels temporaires pour le Ccca-Btp</t>
        </is>
      </c>
      <c r="B57" t="inlineStr">
        <is>
          <t>Comité de concertation et de coordination de l'apprentissage du Btp</t>
        </is>
      </c>
      <c r="C57" t="inlineStr">
        <is>
          <t>Autre</t>
        </is>
      </c>
      <c r="D57" t="inlineStr">
        <is>
          <t>Personnel</t>
        </is>
      </c>
      <c r="E57" t="inlineStr">
        <is>
          <t>Paris</t>
        </is>
      </c>
      <c r="F57" t="inlineStr"/>
      <c r="G57" t="inlineStr">
        <is>
          <t>2026-07-24</t>
        </is>
      </c>
      <c r="H57" t="inlineStr">
        <is>
          <t>2026-09-04T12:00:00+00:00</t>
        </is>
      </c>
      <c r="I57" t="inlineStr">
        <is>
          <t>75014.0</t>
        </is>
      </c>
      <c r="J57" t="inlineStr">
        <is>
          <t>https://www.marches-publics.info/mpiaws/index.cfm?fuseaction=dematent.login&amp;type=Dce&amp;Idm=1855311</t>
        </is>
      </c>
      <c r="K57" t="inlineStr">
        <is>
          <t>https://www.boamp.fr/pages/avis/?q=idweb:26-74661</t>
        </is>
      </c>
      <c r="L57" t="inlineStr">
        <is>
          <t>FROID</t>
        </is>
      </c>
      <c r="M57" t="inlineStr">
        <is>
          <t>30</t>
        </is>
      </c>
      <c r="N57" t="inlineStr">
        <is>
          <t>26-74661</t>
        </is>
      </c>
    </row>
    <row r="58">
      <c r="A58" t="inlineStr">
        <is>
          <t>ENTRETIEN DES ESPACES VERTS</t>
        </is>
      </c>
      <c r="B58" t="inlineStr">
        <is>
          <t>COMMUNE DE FONTENAY-SOUS-BOIS</t>
        </is>
      </c>
      <c r="C58" t="inlineStr">
        <is>
          <t>Mairie</t>
        </is>
      </c>
      <c r="D58" t="inlineStr">
        <is>
          <t>Personnel</t>
        </is>
      </c>
      <c r="E58" t="inlineStr"/>
      <c r="F58" t="inlineStr"/>
      <c r="G58" t="inlineStr">
        <is>
          <t>2026-08-07</t>
        </is>
      </c>
      <c r="H58" t="inlineStr">
        <is>
          <t>2026-09-18T10:00:00+00:00</t>
        </is>
      </c>
      <c r="I58" t="inlineStr"/>
      <c r="J58" t="inlineStr">
        <is>
          <t>https://www.fontenay.fr/index.html</t>
        </is>
      </c>
      <c r="K58" t="inlineStr">
        <is>
          <t>https://www.boamp.fr/pages/avis/?q=idweb:26-78332</t>
        </is>
      </c>
      <c r="L58" t="inlineStr">
        <is>
          <t>FROID</t>
        </is>
      </c>
      <c r="M58" t="inlineStr">
        <is>
          <t>28.5</t>
        </is>
      </c>
      <c r="N58" t="inlineStr">
        <is>
          <t>26-78332</t>
        </is>
      </c>
    </row>
    <row r="59">
      <c r="A59" t="inlineStr">
        <is>
          <t>Blanchissage et nettoyage d'effets de travail et de couchage au profit des organismes soutenus par le GSC IdF - BRD PEM</t>
        </is>
      </c>
      <c r="B59" t="inlineStr">
        <is>
          <t>PFC Paris</t>
        </is>
      </c>
      <c r="C59" t="inlineStr">
        <is>
          <t>Autre</t>
        </is>
      </c>
      <c r="D59" t="inlineStr">
        <is>
          <t>Bureaux</t>
        </is>
      </c>
      <c r="E59" t="inlineStr"/>
      <c r="F59" t="inlineStr"/>
      <c r="G59" t="inlineStr">
        <is>
          <t>2026-08-21</t>
        </is>
      </c>
      <c r="H59" t="inlineStr">
        <is>
          <t>2026-09-22T11:00:00+00:00</t>
        </is>
      </c>
      <c r="I59" t="inlineStr">
        <is>
          <t>600000.0</t>
        </is>
      </c>
      <c r="J59" t="inlineStr">
        <is>
          <t>https://marches-publics.gouv.fr</t>
        </is>
      </c>
      <c r="K59" t="inlineStr">
        <is>
          <t>https://www.boamp.fr/pages/avis/?q=idweb:26-81749</t>
        </is>
      </c>
      <c r="L59" t="inlineStr">
        <is>
          <t>FROID</t>
        </is>
      </c>
      <c r="M59" t="inlineStr">
        <is>
          <t>26.8</t>
        </is>
      </c>
      <c r="N59" t="inlineStr">
        <is>
          <t>26-81749</t>
        </is>
      </c>
    </row>
    <row r="60">
      <c r="A60" t="inlineStr">
        <is>
          <t>Nettoyage des parties communes, remplacement du personnel d’entretien et prestations de proximité, de continuité d’exploitation et de contrôle qualité du patrimoine de la SEM SOHP</t>
        </is>
      </c>
      <c r="B60" t="inlineStr">
        <is>
          <t>SEM SEINE OUEST HABITAT ET PATRIMOINE</t>
        </is>
      </c>
      <c r="C60" t="inlineStr">
        <is>
          <t>Autre</t>
        </is>
      </c>
      <c r="D60" t="inlineStr">
        <is>
          <t>Batiments</t>
        </is>
      </c>
      <c r="E60" t="inlineStr"/>
      <c r="F60" t="inlineStr"/>
      <c r="G60" t="inlineStr">
        <is>
          <t>2026-08-01</t>
        </is>
      </c>
      <c r="H60" t="inlineStr">
        <is>
          <t>2026-10-02T11:00:00+00:00</t>
        </is>
      </c>
      <c r="I60" t="inlineStr">
        <is>
          <t>3500000</t>
        </is>
      </c>
      <c r="J60" t="inlineStr">
        <is>
          <t>http://www.achatpublic.com/sdm/ent/gen/index.jsp</t>
        </is>
      </c>
      <c r="K60" t="inlineStr">
        <is>
          <t>https://www.boamp.fr/pages/avis/?q=idweb:26-76493</t>
        </is>
      </c>
      <c r="L60" t="inlineStr">
        <is>
          <t>FROID</t>
        </is>
      </c>
      <c r="M60" t="inlineStr">
        <is>
          <t>25.0</t>
        </is>
      </c>
      <c r="N60" t="inlineStr">
        <is>
          <t>26-76493</t>
        </is>
      </c>
    </row>
    <row r="61">
      <c r="A61" t="inlineStr">
        <is>
          <t>Prestations de nettoyage des loacux et de la vitrerie de la grande chancellerie de la Légion d'honneur et de la maison d'éducation de Saint-Denis</t>
        </is>
      </c>
      <c r="B61" t="inlineStr">
        <is>
          <t>GCLH.</t>
        </is>
      </c>
      <c r="C61" t="inlineStr">
        <is>
          <t>Autre</t>
        </is>
      </c>
      <c r="D61" t="inlineStr">
        <is>
          <t>Vitres</t>
        </is>
      </c>
      <c r="E61" t="inlineStr"/>
      <c r="F61" t="inlineStr"/>
      <c r="G61" t="inlineStr">
        <is>
          <t>2026-07-26</t>
        </is>
      </c>
      <c r="H61" t="inlineStr">
        <is>
          <t>2026-09-15T12:00:00+00:00</t>
        </is>
      </c>
      <c r="I61" t="inlineStr">
        <is>
          <t>17750005500013.0</t>
        </is>
      </c>
      <c r="J61" t="inlineStr">
        <is>
          <t>https://www.marches-publics.gouv.fr/entreprise</t>
        </is>
      </c>
      <c r="K61" t="inlineStr">
        <is>
          <t>https://www.boamp.fr/pages/avis/?q=idweb:26-74239</t>
        </is>
      </c>
      <c r="L61" t="inlineStr">
        <is>
          <t>FROID</t>
        </is>
      </c>
      <c r="M61" t="inlineStr">
        <is>
          <t>25</t>
        </is>
      </c>
      <c r="N61" t="inlineStr">
        <is>
          <t>26-74239</t>
        </is>
      </c>
    </row>
    <row r="62">
      <c r="A62" t="inlineStr">
        <is>
          <t>PRESTATIONS DE NETTOYAGE DES SITES DE L'ENFANCE</t>
        </is>
      </c>
      <c r="B62" t="inlineStr">
        <is>
          <t>Département du Val-de-Marne</t>
        </is>
      </c>
      <c r="C62" t="inlineStr">
        <is>
          <t>Autre</t>
        </is>
      </c>
      <c r="D62" t="inlineStr">
        <is>
          <t>Batiments</t>
        </is>
      </c>
      <c r="E62" t="inlineStr"/>
      <c r="F62" t="inlineStr"/>
      <c r="G62" t="inlineStr">
        <is>
          <t>2026-07-24</t>
        </is>
      </c>
      <c r="H62" t="inlineStr">
        <is>
          <t>2026-09-24T14:00:00+00:00</t>
        </is>
      </c>
      <c r="I62" t="inlineStr">
        <is>
          <t>93120000</t>
        </is>
      </c>
      <c r="J62" t="inlineStr">
        <is>
          <t>http://www.maximilien.fr</t>
        </is>
      </c>
      <c r="K62" t="inlineStr">
        <is>
          <t>https://www.boamp.fr/pages/avis/?q=idweb:26-73266</t>
        </is>
      </c>
      <c r="L62" t="inlineStr">
        <is>
          <t>FROID</t>
        </is>
      </c>
      <c r="M62" t="inlineStr">
        <is>
          <t>25</t>
        </is>
      </c>
      <c r="N62" t="inlineStr">
        <is>
          <t>26-73266</t>
        </is>
      </c>
    </row>
    <row r="63">
      <c r="A63" t="inlineStr">
        <is>
          <t>Nettoyage des locaux et de la vitrerie des bâtiments intercommunaux de l'agglomération Roissy Pays de France</t>
        </is>
      </c>
      <c r="B63" t="inlineStr">
        <is>
          <t>Agglomération Roissy Pays de France</t>
        </is>
      </c>
      <c r="C63" t="inlineStr">
        <is>
          <t>Autre</t>
        </is>
      </c>
      <c r="D63" t="inlineStr">
        <is>
          <t>Vitres</t>
        </is>
      </c>
      <c r="E63" t="inlineStr"/>
      <c r="F63" t="inlineStr"/>
      <c r="G63" t="inlineStr">
        <is>
          <t>2026-07-17</t>
        </is>
      </c>
      <c r="H63" t="inlineStr">
        <is>
          <t>2026-09-15T10:00:00+00:00</t>
        </is>
      </c>
      <c r="I63" t="inlineStr">
        <is>
          <t>1333333</t>
        </is>
      </c>
      <c r="J63" t="inlineStr">
        <is>
          <t>https://www.marches-publics.info/mpiaws/index.cfm?fuseaction=dematEnt.login&amp;amp;type=DCE&amp;amp;IDM=1850945</t>
        </is>
      </c>
      <c r="K63" t="inlineStr">
        <is>
          <t>https://www.boamp.fr/pages/avis/?q=idweb:26-70752</t>
        </is>
      </c>
      <c r="L63" t="inlineStr">
        <is>
          <t>FROID</t>
        </is>
      </c>
      <c r="M63" t="inlineStr">
        <is>
          <t>25</t>
        </is>
      </c>
      <c r="N63" t="inlineStr">
        <is>
          <t>26-70752</t>
        </is>
      </c>
    </row>
    <row r="64">
      <c r="A64" t="inlineStr">
        <is>
          <t>Acquisition et maintenance de soudeuses de tubulures, mobiles, mono-têtes et multi-têtes compatibles PVC et/ou EVA</t>
        </is>
      </c>
      <c r="B64" t="inlineStr">
        <is>
          <t>Etablissement français du sang</t>
        </is>
      </c>
      <c r="C64" t="inlineStr">
        <is>
          <t>Autre</t>
        </is>
      </c>
      <c r="D64" t="inlineStr">
        <is>
          <t>Batiments</t>
        </is>
      </c>
      <c r="E64" t="inlineStr"/>
      <c r="F64" t="inlineStr"/>
      <c r="G64" t="inlineStr">
        <is>
          <t>2026-08-16</t>
        </is>
      </c>
      <c r="H64" t="inlineStr">
        <is>
          <t>2026-09-23T12:00:00+00:00</t>
        </is>
      </c>
      <c r="I64" t="inlineStr">
        <is>
          <t>3000000</t>
        </is>
      </c>
      <c r="J64" t="inlineStr">
        <is>
          <t>https://www.marches-publics.gouv.fr/</t>
        </is>
      </c>
      <c r="K64" t="inlineStr">
        <is>
          <t>https://www.boamp.fr/pages/avis/?q=idweb:26-80530</t>
        </is>
      </c>
      <c r="L64" t="inlineStr">
        <is>
          <t>FROID</t>
        </is>
      </c>
      <c r="M64" t="inlineStr">
        <is>
          <t>23.2</t>
        </is>
      </c>
      <c r="N64" t="inlineStr">
        <is>
          <t>26-80530</t>
        </is>
      </c>
    </row>
    <row r="65">
      <c r="A65" t="inlineStr">
        <is>
          <t>Le présent marché a pour objet la réalisation des prestations de bionettoyage, de nettoyage, ainsi que de la collecte interne des déchets et de la collecte interne du linge.</t>
        </is>
      </c>
      <c r="B65" t="inlineStr">
        <is>
          <t>GHU APHP Université Paris Saclay.</t>
        </is>
      </c>
      <c r="C65" t="inlineStr">
        <is>
          <t>Autre</t>
        </is>
      </c>
      <c r="D65" t="inlineStr">
        <is>
          <t>Batiments</t>
        </is>
      </c>
      <c r="E65" t="inlineStr"/>
      <c r="F65" t="inlineStr"/>
      <c r="G65" t="inlineStr">
        <is>
          <t>2026-08-12</t>
        </is>
      </c>
      <c r="H65" t="inlineStr">
        <is>
          <t>2026-09-21T11:00:00+00:00</t>
        </is>
      </c>
      <c r="I65" t="inlineStr">
        <is>
          <t>12000000.0</t>
        </is>
      </c>
      <c r="J65" t="inlineStr">
        <is>
          <t>https://www.marches-publics.gouv.fr/?page=Entreprise.EntrepriseAdvancedSearch&amp;AllCons&amp;id=3053094&amp;orgAcronyme=x7c</t>
        </is>
      </c>
      <c r="K65" t="inlineStr">
        <is>
          <t>https://www.boamp.fr/pages/avis/?q=idweb:26-79741</t>
        </is>
      </c>
      <c r="L65" t="inlineStr">
        <is>
          <t>FROID</t>
        </is>
      </c>
      <c r="M65" t="inlineStr">
        <is>
          <t>23.2</t>
        </is>
      </c>
      <c r="N65" t="inlineStr">
        <is>
          <t>26-79741</t>
        </is>
      </c>
    </row>
    <row r="66">
      <c r="A66" t="inlineStr">
        <is>
          <t>Prestations de suppléance dans les collèges publics du département de Seine-et-Marne via l’insertion par l’activité économique</t>
        </is>
      </c>
      <c r="B66" t="inlineStr">
        <is>
          <t>Département de Seine-et-Marne</t>
        </is>
      </c>
      <c r="C66" t="inlineStr">
        <is>
          <t>Autre</t>
        </is>
      </c>
      <c r="D66" t="inlineStr">
        <is>
          <t>Personnel</t>
        </is>
      </c>
      <c r="E66" t="inlineStr"/>
      <c r="F66" t="inlineStr"/>
      <c r="G66" t="inlineStr">
        <is>
          <t>2026-08-09</t>
        </is>
      </c>
      <c r="H66" t="inlineStr">
        <is>
          <t>2026-09-25T10:00:00+00:00</t>
        </is>
      </c>
      <c r="I66" t="inlineStr"/>
      <c r="J66" t="inlineStr">
        <is>
          <t>https://marches.maximilien.fr/entreprise/consultation/944928?orgAcronyme=g3h</t>
        </is>
      </c>
      <c r="K66" t="inlineStr">
        <is>
          <t>https://www.boamp.fr/pages/avis/?q=idweb:26-79241</t>
        </is>
      </c>
      <c r="L66" t="inlineStr">
        <is>
          <t>FROID</t>
        </is>
      </c>
      <c r="M66" t="inlineStr">
        <is>
          <t>20.2</t>
        </is>
      </c>
      <c r="N66" t="inlineStr">
        <is>
          <t>26-79241</t>
        </is>
      </c>
    </row>
    <row r="67">
      <c r="A67" t="inlineStr">
        <is>
          <t>Prestations d'hébergement de l'Espace d'exposition faisant partie du pavillon Occitanie pour le 56e Salon International de l'Aéronautique et de l'Espace Paris - Relance consultation 26OCC09L</t>
        </is>
      </c>
      <c r="B67" t="inlineStr">
        <is>
          <t>CCI OCCITANIE PYRENEES-MEDITERRANEE</t>
        </is>
      </c>
      <c r="C67" t="inlineStr">
        <is>
          <t>Autre</t>
        </is>
      </c>
      <c r="D67" t="inlineStr">
        <is>
          <t>Personnel</t>
        </is>
      </c>
      <c r="E67" t="inlineStr"/>
      <c r="F67" t="inlineStr"/>
      <c r="G67" t="inlineStr">
        <is>
          <t>2026-07-17</t>
        </is>
      </c>
      <c r="H67" t="inlineStr">
        <is>
          <t>2026-08-17T10:00:00+00:00</t>
        </is>
      </c>
      <c r="I67" t="inlineStr"/>
      <c r="J67" t="inlineStr">
        <is>
          <t>https://www.marches-publics.gouv.fr/entreprise</t>
        </is>
      </c>
      <c r="K67" t="inlineStr">
        <is>
          <t>https://www.boamp.fr/pages/avis/?q=idweb:26-70841</t>
        </is>
      </c>
      <c r="L67" t="inlineStr">
        <is>
          <t>FROID</t>
        </is>
      </c>
      <c r="M67" t="inlineStr">
        <is>
          <t>20</t>
        </is>
      </c>
      <c r="N67" t="inlineStr">
        <is>
          <t>26-70841</t>
        </is>
      </c>
    </row>
    <row r="68">
      <c r="A68" t="inlineStr">
        <is>
          <t>Prestations de gardiennage et sécurité incendie pour le campus HEC Paris</t>
        </is>
      </c>
      <c r="B68" t="inlineStr">
        <is>
          <t>HEC Paris</t>
        </is>
      </c>
      <c r="C68" t="inlineStr">
        <is>
          <t>Autre</t>
        </is>
      </c>
      <c r="D68" t="inlineStr">
        <is>
          <t>Personnel</t>
        </is>
      </c>
      <c r="E68" t="inlineStr"/>
      <c r="F68" t="inlineStr"/>
      <c r="G68" t="inlineStr">
        <is>
          <t>2026-07-15</t>
        </is>
      </c>
      <c r="H68" t="inlineStr">
        <is>
          <t>2026-09-17T10:00:00+00:00</t>
        </is>
      </c>
      <c r="I68" t="inlineStr"/>
      <c r="J68" t="inlineStr">
        <is>
          <t>https://www.marches-publics.info/mpiaws/index.cfm?fuseaction=dematEnt.login&amp;amp;type=DCE&amp;amp;IDM=1850314</t>
        </is>
      </c>
      <c r="K68" t="inlineStr">
        <is>
          <t>https://www.boamp.fr/pages/avis/?q=idweb:26-70040</t>
        </is>
      </c>
      <c r="L68" t="inlineStr">
        <is>
          <t>FROID</t>
        </is>
      </c>
      <c r="M68" t="inlineStr">
        <is>
          <t>20</t>
        </is>
      </c>
      <c r="N68" t="inlineStr">
        <is>
          <t>26-70040</t>
        </is>
      </c>
    </row>
    <row r="69">
      <c r="A69" t="inlineStr">
        <is>
          <t>Prestations de conseil et assistance en UX/UI, en développement, intégration et maintenance des projets numériques en 2 lots</t>
        </is>
      </c>
      <c r="B69" t="inlineStr">
        <is>
          <t>VILLE de PARIS - DFA - SDA</t>
        </is>
      </c>
      <c r="C69" t="inlineStr">
        <is>
          <t>Mairie</t>
        </is>
      </c>
      <c r="D69" t="inlineStr">
        <is>
          <t>Personnel</t>
        </is>
      </c>
      <c r="E69" t="inlineStr"/>
      <c r="F69" t="inlineStr"/>
      <c r="G69" t="inlineStr">
        <is>
          <t>2026-07-26</t>
        </is>
      </c>
      <c r="H69" t="inlineStr">
        <is>
          <t>2026-09-22T10:00:00+00:00</t>
        </is>
      </c>
      <c r="I69" t="inlineStr">
        <is>
          <t>1028571</t>
        </is>
      </c>
      <c r="J69" t="inlineStr">
        <is>
          <t>https://marches.maximilien.fr/entreprise/consultation/943956?orgAcronyme=r8t</t>
        </is>
      </c>
      <c r="K69" t="inlineStr">
        <is>
          <t>https://www.boamp.fr/pages/avis/?q=idweb:26-74389</t>
        </is>
      </c>
      <c r="L69" t="inlineStr">
        <is>
          <t>FROID</t>
        </is>
      </c>
      <c r="M69" t="inlineStr">
        <is>
          <t>15</t>
        </is>
      </c>
      <c r="N69" t="inlineStr">
        <is>
          <t>26-74389</t>
        </is>
      </c>
    </row>
    <row r="70">
      <c r="A70" t="inlineStr">
        <is>
          <t>Marché n°26.AO.MG.050 - Renfort de personnel au sein du télé-accueil de l'EPT Est Ensemble</t>
        </is>
      </c>
      <c r="B70" t="inlineStr">
        <is>
          <t>Est Ensemble</t>
        </is>
      </c>
      <c r="C70" t="inlineStr">
        <is>
          <t>Autre</t>
        </is>
      </c>
      <c r="D70" t="inlineStr">
        <is>
          <t>Personnel</t>
        </is>
      </c>
      <c r="E70" t="inlineStr"/>
      <c r="F70" t="inlineStr"/>
      <c r="G70" t="inlineStr">
        <is>
          <t>2026-07-25</t>
        </is>
      </c>
      <c r="H70" t="inlineStr">
        <is>
          <t>2026-09-18T10:00:00+00:00</t>
        </is>
      </c>
      <c r="I70" t="inlineStr">
        <is>
          <t>150000</t>
        </is>
      </c>
      <c r="J70" t="inlineStr">
        <is>
          <t>https://marches.maximilien.fr/?page=Entreprise.EntrepriseAdvancedSearch&amp;AllCons&amp;id=944029&amp;orgAcronyme=v8x</t>
        </is>
      </c>
      <c r="K70" t="inlineStr">
        <is>
          <t>https://www.boamp.fr/pages/avis/?q=idweb:26-73883</t>
        </is>
      </c>
      <c r="L70" t="inlineStr">
        <is>
          <t>FROID</t>
        </is>
      </c>
      <c r="M70" t="inlineStr">
        <is>
          <t>15</t>
        </is>
      </c>
      <c r="N70" t="inlineStr">
        <is>
          <t>26-73883</t>
        </is>
      </c>
    </row>
    <row r="71">
      <c r="A71" t="inlineStr">
        <is>
          <t>Location et entretien de linge de restauration et de maison pour le compte des Ministères sociaux</t>
        </is>
      </c>
      <c r="B71" t="inlineStr">
        <is>
          <t>Ministères sociaux, DFAS/SDADD</t>
        </is>
      </c>
      <c r="C71" t="inlineStr">
        <is>
          <t>Autre</t>
        </is>
      </c>
      <c r="D71" t="inlineStr">
        <is>
          <t>Mixte/Autre</t>
        </is>
      </c>
      <c r="E71" t="inlineStr"/>
      <c r="F71" t="inlineStr"/>
      <c r="G71" t="inlineStr">
        <is>
          <t>2026-07-17</t>
        </is>
      </c>
      <c r="H71" t="inlineStr">
        <is>
          <t>2026-08-07T12:00:00+00:00</t>
        </is>
      </c>
      <c r="I71" t="inlineStr">
        <is>
          <t>5112000</t>
        </is>
      </c>
      <c r="J71" t="inlineStr">
        <is>
          <t>https://www.marches-publics.gouv.fr/</t>
        </is>
      </c>
      <c r="K71" t="inlineStr">
        <is>
          <t>https://www.boamp.fr/pages/avis/?q=idweb:26-70598</t>
        </is>
      </c>
      <c r="L71" t="inlineStr">
        <is>
          <t>FROID</t>
        </is>
      </c>
      <c r="M71" t="inlineStr">
        <is>
          <t>15</t>
        </is>
      </c>
      <c r="N71" t="inlineStr">
        <is>
          <t>26-70598</t>
        </is>
      </c>
    </row>
    <row r="72">
      <c r="A72" t="inlineStr">
        <is>
          <t>Confection et fourniture de vêtements de travail pour les agents d'accueil et agents d'entretien sanitaires de la tour Eiffel</t>
        </is>
      </c>
      <c r="B72" t="inlineStr">
        <is>
          <t>Société d'Exploitation de la Tour Eiffel</t>
        </is>
      </c>
      <c r="C72" t="inlineStr">
        <is>
          <t>Autre</t>
        </is>
      </c>
      <c r="D72" t="inlineStr">
        <is>
          <t>Personnel</t>
        </is>
      </c>
      <c r="E72" t="inlineStr"/>
      <c r="F72" t="inlineStr"/>
      <c r="G72" t="inlineStr">
        <is>
          <t>2026-08-12</t>
        </is>
      </c>
      <c r="H72" t="inlineStr"/>
      <c r="I72" t="inlineStr"/>
      <c r="J72" t="inlineStr">
        <is>
          <t>https://www.achatpublic.com/sdm/ent/gen/ent_detail.do?PCSLID=CSL_2026_lNMqePOVGB</t>
        </is>
      </c>
      <c r="K72" t="inlineStr">
        <is>
          <t>https://www.boamp.fr/pages/avis/?q=idweb:26-79560</t>
        </is>
      </c>
      <c r="L72" t="inlineStr">
        <is>
          <t>FROID</t>
        </is>
      </c>
      <c r="M72" t="inlineStr">
        <is>
          <t>11.5</t>
        </is>
      </c>
      <c r="N72" t="inlineStr">
        <is>
          <t>26-79560</t>
        </is>
      </c>
    </row>
    <row r="73">
      <c r="A73" t="inlineStr">
        <is>
          <t>ACCORD CADRE N°26066-S-AC
DE PRESTATIONS DE SURETE, SECURITE ET MULTI-MAINTENANCE POUR LES SITES :
- JARDIN DES PLANTES
- MUSEE DE L'HOMME
- PARC ZOOLOGIQUE DE PARIS
POUR LE COMPTE DU MUSEUM MNHN</t>
        </is>
      </c>
      <c r="B73" t="inlineStr">
        <is>
          <t>Museum National d'Histoire Naturelle</t>
        </is>
      </c>
      <c r="C73" t="inlineStr">
        <is>
          <t>Autre</t>
        </is>
      </c>
      <c r="D73" t="inlineStr">
        <is>
          <t>Personnel</t>
        </is>
      </c>
      <c r="E73" t="inlineStr"/>
      <c r="F73" t="inlineStr"/>
      <c r="G73" t="inlineStr">
        <is>
          <t>2026-08-02</t>
        </is>
      </c>
      <c r="H73" t="inlineStr"/>
      <c r="I73" t="inlineStr"/>
      <c r="J73" t="inlineStr">
        <is>
          <t>https://mnhn.e-marchespublics.com</t>
        </is>
      </c>
      <c r="K73" t="inlineStr">
        <is>
          <t>https://www.boamp.fr/pages/avis/?q=idweb:26-76712</t>
        </is>
      </c>
      <c r="L73" t="inlineStr">
        <is>
          <t>FROID</t>
        </is>
      </c>
      <c r="M73" t="inlineStr">
        <is>
          <t>11.5</t>
        </is>
      </c>
      <c r="N73" t="inlineStr">
        <is>
          <t>26-76712</t>
        </is>
      </c>
    </row>
    <row r="74">
      <c r="A74" t="inlineStr">
        <is>
          <t>La présente consultation a pour objet des prestations de sécurité incendie, de gardiennage des locaux et d’assistance aux personnels et usagers de l’arrondissement judiciaire de Paris.</t>
        </is>
      </c>
      <c r="B74" t="inlineStr">
        <is>
          <t>Cour d'appel de Paris - SAR</t>
        </is>
      </c>
      <c r="C74" t="inlineStr">
        <is>
          <t>Autre</t>
        </is>
      </c>
      <c r="D74" t="inlineStr">
        <is>
          <t>Personnel</t>
        </is>
      </c>
      <c r="E74" t="inlineStr"/>
      <c r="F74" t="inlineStr"/>
      <c r="G74" t="inlineStr">
        <is>
          <t>2026-07-23</t>
        </is>
      </c>
      <c r="H74" t="inlineStr"/>
      <c r="I74" t="inlineStr"/>
      <c r="J74" t="inlineStr">
        <is>
          <t>https://www.marches-publics.gouv.fr/entreprise</t>
        </is>
      </c>
      <c r="K74" t="inlineStr">
        <is>
          <t>https://www.boamp.fr/pages/avis/?q=idweb:26-72867</t>
        </is>
      </c>
      <c r="L74" t="inlineStr">
        <is>
          <t>FROID</t>
        </is>
      </c>
      <c r="M74" t="inlineStr">
        <is>
          <t>10</t>
        </is>
      </c>
      <c r="N74" t="inlineStr">
        <is>
          <t>26-72867</t>
        </is>
      </c>
    </row>
    <row r="75">
      <c r="A75" t="inlineStr">
        <is>
          <t>Nettoyage des zones nécessitant des exigences techniques et habilitations spécifiques</t>
        </is>
      </c>
      <c r="B75" t="inlineStr">
        <is>
          <t>EFS ILE-DE-FRANCE</t>
        </is>
      </c>
      <c r="C75" t="inlineStr">
        <is>
          <t>Autre</t>
        </is>
      </c>
      <c r="D75" t="inlineStr">
        <is>
          <t>Batiments</t>
        </is>
      </c>
      <c r="E75" t="inlineStr"/>
      <c r="F75" t="inlineStr"/>
      <c r="G75" t="inlineStr">
        <is>
          <t>2026-08-05</t>
        </is>
      </c>
      <c r="H75" t="inlineStr">
        <is>
          <t>2026-09-03T16:00:00+00:00</t>
        </is>
      </c>
      <c r="I75" t="inlineStr">
        <is>
          <t>450000</t>
        </is>
      </c>
      <c r="J75" t="inlineStr">
        <is>
          <t>https://www.marches-publics.gouv.fr/?page=entreprise.EntrepriseHome</t>
        </is>
      </c>
      <c r="K75" t="inlineStr">
        <is>
          <t>https://www.boamp.fr/pages/avis/?q=idweb:26-77508</t>
        </is>
      </c>
      <c r="L75" t="inlineStr">
        <is>
          <t>FROID</t>
        </is>
      </c>
      <c r="M75" t="inlineStr">
        <is>
          <t>8.8</t>
        </is>
      </c>
      <c r="N75" t="inlineStr">
        <is>
          <t>26-77508</t>
        </is>
      </c>
    </row>
    <row r="76">
      <c r="A76" t="inlineStr">
        <is>
          <t>Accord-cadre relatif à la mise à disposition de personnel intérimaire</t>
        </is>
      </c>
      <c r="B76" t="inlineStr">
        <is>
          <t>ANRU.</t>
        </is>
      </c>
      <c r="C76" t="inlineStr">
        <is>
          <t>Autre</t>
        </is>
      </c>
      <c r="D76" t="inlineStr">
        <is>
          <t>Personnel</t>
        </is>
      </c>
      <c r="E76" t="inlineStr"/>
      <c r="F76" t="inlineStr"/>
      <c r="G76" t="inlineStr">
        <is>
          <t>2026-08-09</t>
        </is>
      </c>
      <c r="H76" t="inlineStr">
        <is>
          <t>2026-09-07T16:00:00+00:00</t>
        </is>
      </c>
      <c r="I76" t="inlineStr"/>
      <c r="J76" t="inlineStr">
        <is>
          <t>https://www.marches-publics.gouv.fr/entreprise</t>
        </is>
      </c>
      <c r="K76" t="inlineStr">
        <is>
          <t>https://www.boamp.fr/pages/avis/?q=idweb:26-79004</t>
        </is>
      </c>
      <c r="L76" t="inlineStr">
        <is>
          <t>FROID</t>
        </is>
      </c>
      <c r="M76" t="inlineStr">
        <is>
          <t>8.5</t>
        </is>
      </c>
      <c r="N76" t="inlineStr">
        <is>
          <t>26-79004</t>
        </is>
      </c>
    </row>
    <row r="77">
      <c r="A77" t="inlineStr">
        <is>
          <t>Prestations d'accompagnement au recrutement et de mise à disposition de personnel intérimaire et prestations associées</t>
        </is>
      </c>
      <c r="B77" t="inlineStr">
        <is>
          <t>Conseil National Ordre Des Pharmaciens</t>
        </is>
      </c>
      <c r="C77" t="inlineStr">
        <is>
          <t>Autre</t>
        </is>
      </c>
      <c r="D77" t="inlineStr">
        <is>
          <t>Personnel</t>
        </is>
      </c>
      <c r="E77" t="inlineStr"/>
      <c r="F77" t="inlineStr"/>
      <c r="G77" t="inlineStr">
        <is>
          <t>2026-08-21</t>
        </is>
      </c>
      <c r="H77" t="inlineStr">
        <is>
          <t>2026-09-28T12:00:00+00:00</t>
        </is>
      </c>
      <c r="I77" t="inlineStr">
        <is>
          <t>2500000.0</t>
        </is>
      </c>
      <c r="J77" t="inlineStr">
        <is>
          <t>https://ordre-pharmacien.e-marchespublics.com</t>
        </is>
      </c>
      <c r="K77" t="inlineStr">
        <is>
          <t>https://www.boamp.fr/pages/avis/?q=idweb:26-81752</t>
        </is>
      </c>
      <c r="L77" t="inlineStr">
        <is>
          <t>FROID</t>
        </is>
      </c>
      <c r="M77" t="inlineStr">
        <is>
          <t>0.0</t>
        </is>
      </c>
      <c r="N77" t="inlineStr">
        <is>
          <t>26-81752</t>
        </is>
      </c>
    </row>
    <row r="78">
      <c r="A78" t="inlineStr">
        <is>
          <t>ACCORD-CADRE RELATIF AUX PRESTATIONS DE SECURITE DES PERSONNES ET DE SURVEILLANCE DES BIENS POUR LES SITES DES CIRCONSCRIPTIONS DES DELEGATIONS REGIONALES D’ILE-DE-FRANCE DU CNRS</t>
        </is>
      </c>
      <c r="B78" t="inlineStr">
        <is>
          <t>CNRS VILLEJUIF</t>
        </is>
      </c>
      <c r="C78" t="inlineStr">
        <is>
          <t>Autre</t>
        </is>
      </c>
      <c r="D78" t="inlineStr">
        <is>
          <t>Personnel</t>
        </is>
      </c>
      <c r="E78" t="inlineStr"/>
      <c r="F78" t="inlineStr"/>
      <c r="G78" t="inlineStr">
        <is>
          <t>2026-08-16</t>
        </is>
      </c>
      <c r="H78" t="inlineStr">
        <is>
          <t>2026-08-18T16:00:00+00:00</t>
        </is>
      </c>
      <c r="I78" t="inlineStr">
        <is>
          <t>112800000</t>
        </is>
      </c>
      <c r="J78" t="inlineStr">
        <is>
          <t>https://www.marches-publics.gouv.fr/entreprise</t>
        </is>
      </c>
      <c r="K78" t="inlineStr">
        <is>
          <t>https://www.boamp.fr/pages/avis/?q=idweb:26-80563</t>
        </is>
      </c>
      <c r="L78" t="inlineStr">
        <is>
          <t>FROID</t>
        </is>
      </c>
      <c r="M78" t="inlineStr">
        <is>
          <t>0.0</t>
        </is>
      </c>
      <c r="N78" t="inlineStr">
        <is>
          <t>26-80563</t>
        </is>
      </c>
    </row>
    <row r="79">
      <c r="A79" t="inlineStr">
        <is>
          <t>ENTRETIEN DES ESPACES VERTS</t>
        </is>
      </c>
      <c r="B79" t="inlineStr">
        <is>
          <t>COMMUNE DE FONTENAY-SOUS-BOIS</t>
        </is>
      </c>
      <c r="C79" t="inlineStr">
        <is>
          <t>Mairie</t>
        </is>
      </c>
      <c r="D79" t="inlineStr">
        <is>
          <t>Personnel</t>
        </is>
      </c>
      <c r="E79" t="inlineStr"/>
      <c r="F79" t="inlineStr"/>
      <c r="G79" t="inlineStr">
        <is>
          <t>2026-08-16</t>
        </is>
      </c>
      <c r="H79" t="inlineStr">
        <is>
          <t>2026-09-18T10:00:00+00:00</t>
        </is>
      </c>
      <c r="I79" t="inlineStr">
        <is>
          <t>1500000.0</t>
        </is>
      </c>
      <c r="J79" t="inlineStr">
        <is>
          <t>https://www.fontenay.fr/index.html</t>
        </is>
      </c>
      <c r="K79" t="inlineStr">
        <is>
          <t>https://www.boamp.fr/pages/avis/?q=idweb:26-80651</t>
        </is>
      </c>
      <c r="L79" t="inlineStr">
        <is>
          <t>FROID</t>
        </is>
      </c>
      <c r="M79" t="inlineStr">
        <is>
          <t>0.0</t>
        </is>
      </c>
      <c r="N79" t="inlineStr">
        <is>
          <t>26-80651</t>
        </is>
      </c>
    </row>
    <row r="80">
      <c r="A80" t="inlineStr">
        <is>
          <t>Mise à disposition de professionnels paramédicaux et éducatifs pour la Direction de la protection de l'enfance et de la jeunesse.</t>
        </is>
      </c>
      <c r="B80" t="inlineStr">
        <is>
          <t>Département du Val-de-Marne</t>
        </is>
      </c>
      <c r="C80" t="inlineStr">
        <is>
          <t>Autre</t>
        </is>
      </c>
      <c r="D80" t="inlineStr">
        <is>
          <t>Personnel</t>
        </is>
      </c>
      <c r="E80" t="inlineStr"/>
      <c r="F80" t="inlineStr"/>
      <c r="G80" t="inlineStr">
        <is>
          <t>2026-07-23</t>
        </is>
      </c>
      <c r="H80" t="inlineStr">
        <is>
          <t>2026-09-11T14:00:00+00:00</t>
        </is>
      </c>
      <c r="I80" t="inlineStr">
        <is>
          <t>2800000</t>
        </is>
      </c>
      <c r="J80" t="inlineStr">
        <is>
          <t>https://marches.maximilien.fr/?page=Entreprise.EntrepriseAdvancedSearch&amp;AllCons&amp;id=943156&amp;orgAcronyme=a8z</t>
        </is>
      </c>
      <c r="K80" t="inlineStr">
        <is>
          <t>https://www.boamp.fr/pages/avis/?q=idweb:26-73122</t>
        </is>
      </c>
      <c r="L80" t="inlineStr">
        <is>
          <t>FROID</t>
        </is>
      </c>
      <c r="M80" t="inlineStr">
        <is>
          <t>0</t>
        </is>
      </c>
      <c r="N80" t="inlineStr">
        <is>
          <t>26-73122</t>
        </is>
      </c>
    </row>
    <row r="81">
      <c r="A81" t="inlineStr">
        <is>
          <t>prestations de gestion de l'entretien et des réparations des flottes de véhicules terrestres d’un PTAC ≤ 3,5 tonnes et des prestations d’assistance pour les véhicules en auto assurance</t>
        </is>
      </c>
      <c r="B81" t="inlineStr">
        <is>
          <t>Direction des Achats de l'Etat (DAE)</t>
        </is>
      </c>
      <c r="C81" t="inlineStr">
        <is>
          <t>Autre</t>
        </is>
      </c>
      <c r="D81" t="inlineStr">
        <is>
          <t>Personnel</t>
        </is>
      </c>
      <c r="E81" t="inlineStr"/>
      <c r="F81" t="inlineStr"/>
      <c r="G81" t="inlineStr">
        <is>
          <t>2026-07-17</t>
        </is>
      </c>
      <c r="H81" t="inlineStr">
        <is>
          <t>2026-07-30T11:30:00+00:00</t>
        </is>
      </c>
      <c r="I81" t="inlineStr">
        <is>
          <t>1160000000</t>
        </is>
      </c>
      <c r="J81" t="inlineStr">
        <is>
          <t>https://www.marches-publics.gouv.fr</t>
        </is>
      </c>
      <c r="K81" t="inlineStr">
        <is>
          <t>https://www.boamp.fr/pages/avis/?q=idweb:26-70414</t>
        </is>
      </c>
      <c r="L81" t="inlineStr">
        <is>
          <t>FROID</t>
        </is>
      </c>
      <c r="M81" t="inlineStr">
        <is>
          <t>0</t>
        </is>
      </c>
      <c r="N81" t="inlineStr">
        <is>
          <t>26-70414</t>
        </is>
      </c>
    </row>
    <row r="82">
      <c r="A82" t="inlineStr">
        <is>
          <t>GARDIENNAGE ET SURVEILLANCE DU CENTRE DE FORMATION DE GURCY-LE-CHATEL</t>
        </is>
      </c>
      <c r="B82" t="inlineStr">
        <is>
          <t>SDIS 77 de Seine-et-Marne</t>
        </is>
      </c>
      <c r="C82" t="inlineStr">
        <is>
          <t>Autre</t>
        </is>
      </c>
      <c r="D82" t="inlineStr">
        <is>
          <t>Personnel</t>
        </is>
      </c>
      <c r="E82" t="inlineStr"/>
      <c r="F82" t="inlineStr"/>
      <c r="G82" t="inlineStr">
        <is>
          <t>2026-07-17</t>
        </is>
      </c>
      <c r="H82" t="inlineStr"/>
      <c r="I82" t="inlineStr">
        <is>
          <t>500000</t>
        </is>
      </c>
      <c r="J82" t="inlineStr">
        <is>
          <t>http://melun.tribunal-administratif.fr</t>
        </is>
      </c>
      <c r="K82" t="inlineStr">
        <is>
          <t>https://www.boamp.fr/pages/avis/?q=idweb:26-70509</t>
        </is>
      </c>
      <c r="L82" t="inlineStr">
        <is>
          <t>FROID</t>
        </is>
      </c>
      <c r="M82" t="inlineStr">
        <is>
          <t>0</t>
        </is>
      </c>
      <c r="N82" t="inlineStr">
        <is>
          <t>26-70509</t>
        </is>
      </c>
    </row>
    <row r="83">
      <c r="A83" t="inlineStr">
        <is>
          <t>Mise en propreté des abords du site principal du Centre National d’Art et de Culture Georges Pompidou et des bâtiments annexes (CNAC-GP) (2 lots) - Vague 2 : lot 2 (26-CP04-044-AC)</t>
        </is>
      </c>
      <c r="B83" t="inlineStr">
        <is>
          <t>CENTRE POMPIDOU</t>
        </is>
      </c>
      <c r="C83" t="inlineStr">
        <is>
          <t>Autre</t>
        </is>
      </c>
      <c r="D83" t="inlineStr">
        <is>
          <t>Batiments</t>
        </is>
      </c>
      <c r="E83" t="inlineStr"/>
      <c r="F83" t="inlineStr"/>
      <c r="G83" t="inlineStr">
        <is>
          <t>2026-07-17</t>
        </is>
      </c>
      <c r="H83" t="inlineStr">
        <is>
          <t>2026-07-20T12:00:00+00:00</t>
        </is>
      </c>
      <c r="I83" t="inlineStr">
        <is>
          <t>600000.0</t>
        </is>
      </c>
      <c r="J83" t="inlineStr">
        <is>
          <t>https://www.marches-publics.gouv.fr/</t>
        </is>
      </c>
      <c r="K83" t="inlineStr">
        <is>
          <t>https://www.boamp.fr/pages/avis/?q=idweb:26-70374</t>
        </is>
      </c>
      <c r="L83" t="inlineStr">
        <is>
          <t>FROID</t>
        </is>
      </c>
      <c r="M83" t="inlineStr">
        <is>
          <t>0</t>
        </is>
      </c>
      <c r="N83" t="inlineStr">
        <is>
          <t>26-70374</t>
        </is>
      </c>
    </row>
  </sheetData>
  <pageMargins left="0.7" right="0.7" top="0.75" bottom="0.75" header="0.3" footer="0.3"/>
  <legacyDrawing xmlns:r="http://schemas.openxmlformats.org/officeDocument/2006/relationships" r:id="anysvml"/>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BM8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5" customWidth="1" min="9" max="9"/>
    <col width="15" customWidth="1" min="10" max="10"/>
    <col width="55" customWidth="1" min="11" max="11"/>
    <col width="13" customWidth="1" min="12" max="12"/>
    <col width="25"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55" customWidth="1" min="39" max="39"/>
    <col width="52" customWidth="1" min="40" max="40"/>
    <col width="55" customWidth="1" min="41" max="41"/>
    <col width="55"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26-82960</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46260</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NC</t>
        </is>
      </c>
      <c r="AA2" t="inlineStr">
        <is>
          <t>Avis de marché</t>
        </is>
      </c>
      <c r="AB2" t="inlineStr">
        <is>
          <t>Formation, Nettoyage de locaux</t>
        </is>
      </c>
      <c r="AC2" t="inlineStr"/>
      <c r="AD2" s="11" t="inlineStr">
        <is>
          <t>https://www.boamp.fr/pages/avis/?q=idweb:26-82960</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89.8</t>
        </is>
      </c>
      <c r="AL2" s="13" t="inlineStr">
        <is>
          <t>CHAUD</t>
        </is>
      </c>
      <c r="AM2">
        <f>MIN(100,MAX(0,IF(OR(ISNUMBER(SEARCH("nettoyage",C2)),ISNUMBER(SEARCH("proprete",C2)),ISNUMBER(SEARCH("entretien",C2)),ISNUMBER(SEARCH("hygiene",C2))),35,0)+IF(SUM(--(N2="75")+--(O2="75"),--(N2="77")+--(O2="77"),--(N2="78")+--(O2="78"),--(N2="91")+--(O2="91"),--(N2="92")+--(O2="92"),--(N2="93")+--(O2="93"),--(N2="94")+--(O2="94"),--(N2="95")+--(O2="95"))&gt;0,25,4)+IF(S2="",10,IF(S2&lt;=50000,25,IF(S2&lt;=100000,20,IF(S2&lt;=200000,5,IF(S2&lt;=500000,-10,-20)))))+IF(I2&lt;&gt;"",4,0)+IF(J2&lt;&gt;"",4,0)+IF(E2&lt;&gt;"",3,0)+IF(K2&lt;&gt;"",2,0)+IF(M2&lt;&gt;"",1,0)+IF(AD2&lt;&gt;"",1,0)+IF(R2="",0,IF(R2&lt;TODAY(),-30,IF(R2&lt;TODAY()+5,-15,IF(R2&lt;=TODAY()+15,5,10))))))</f>
        <v/>
      </c>
      <c r="AN2">
        <f>IF(AM2&gt;=65,"CHAUD",IF(AM2&gt;=40,"TIEDE","FROID"))</f>
        <v/>
      </c>
      <c r="AO2">
        <f>IF((IF(I2&lt;&gt;"",1,0)+IF(J2&lt;&gt;"",1,0)+IF(E2&lt;&gt;"",1,0)+IF(K2&lt;&gt;"",1,0))&gt;=4,"Complet",IF((IF(I2&lt;&gt;"",1,0)+IF(J2&lt;&gt;"",1,0)+IF(E2&lt;&gt;"",1,0)+IF(K2&lt;&gt;"",1,0))&gt;=2,"Partiel","Vide"))</f>
        <v/>
      </c>
      <c r="AP2">
        <f>IF(AJ2="DCE_A_TELECHARGER","Telecharger DCE",IF(T2="A_VERIFIER_BUDGET","Verifier budget",IF(AN2="CHAUD","Contacter maintenant",IF(AN2="TIEDE","Surveiller / relancer","Basse priorite"))))</f>
        <v/>
      </c>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26-82960. Objet: Accord cadre de missions de formation de lutte contre la discrimination et de lutte contre les violences sexistes et sexuelles à destination du tissu associatif en deux lots séparés.. Acheteur: VILLE de PARIS - DFA - SDA. Lien: https://www.boamp.fr/pages/avis/?q=idweb:26-82960.</t>
        </is>
      </c>
      <c r="AU2" t="inlineStr">
        <is>
          <t>Verifier url_avis et DCE si disponible</t>
        </is>
      </c>
      <c r="AV2" t="inlineStr"/>
      <c r="AW2" t="inlineStr"/>
      <c r="AX2" t="inlineStr"/>
      <c r="AY2" t="inlineStr"/>
      <c r="AZ2" t="inlineStr"/>
      <c r="BA2" t="inlineStr"/>
      <c r="BB2" t="inlineStr">
        <is>
          <t>+33.5 nettoyage + categorie claire (1 termes) | +23.5 budget annualise 40 000 EUR | +15 procedure adaptee / MAPA / allotissement | +10 secteur cible Mairie | +6.2 delai 15 j | +1.5 dossier renseigne (3/4)</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2026-W35</t>
        </is>
      </c>
    </row>
    <row r="3">
      <c r="A3" t="inlineStr">
        <is>
          <t>BOAMP</t>
        </is>
      </c>
      <c r="B3" t="inlineStr">
        <is>
          <t>26-83419</t>
        </is>
      </c>
      <c r="C3" t="inlineStr">
        <is>
          <t>Prestations d'entretien ménager</t>
        </is>
      </c>
      <c r="D3" t="inlineStr">
        <is>
          <t>VILLE DE LOUVRES</t>
        </is>
      </c>
      <c r="E3" t="inlineStr">
        <is>
          <t>21950351300018</t>
        </is>
      </c>
      <c r="F3" t="inlineStr">
        <is>
          <t>219503513</t>
        </is>
      </c>
      <c r="G3" t="inlineStr"/>
      <c r="H3" t="inlineStr"/>
      <c r="I3" t="inlineStr">
        <is>
          <t>ireydant@ville-louvres.fr</t>
        </is>
      </c>
      <c r="J3" t="inlineStr">
        <is>
          <t>0351300018</t>
        </is>
      </c>
      <c r="K3" t="inlineStr"/>
      <c r="L3" t="inlineStr"/>
      <c r="M3" t="inlineStr"/>
      <c r="N3" t="inlineStr">
        <is>
          <t>95</t>
        </is>
      </c>
      <c r="O3" t="inlineStr"/>
      <c r="P3" t="inlineStr">
        <is>
          <t>Ile-de-France</t>
        </is>
      </c>
      <c r="Q3" s="15" t="n">
        <v>46261</v>
      </c>
      <c r="R3" s="15" t="n">
        <v>46300</v>
      </c>
      <c r="S3" s="14" t="n">
        <v>10000</v>
      </c>
      <c r="T3" t="inlineStr">
        <is>
          <t>BUDGET_SOUS_SEUIL</t>
        </is>
      </c>
      <c r="U3" t="inlineStr">
        <is>
          <t>10000.0</t>
        </is>
      </c>
      <c r="V3" t="inlineStr">
        <is>
          <t>non</t>
        </is>
      </c>
      <c r="W3" t="inlineStr">
        <is>
          <t>Vitres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https://www.boamp.fr/pages/avis/?q=idweb:26-83419</t>
        </is>
      </c>
      <c r="AE3" t="inlineStr">
        <is>
          <t>https://mairie-de-louvres.e-marchespublics.com</t>
        </is>
      </c>
      <c r="AF3" t="inlineStr">
        <is>
          <t>https://mairie-de-louvres.e-marchespublics.com</t>
        </is>
      </c>
      <c r="AG3" t="inlineStr">
        <is>
          <t>nettoyage, nettoyage de vitres, entretien menager</t>
        </is>
      </c>
      <c r="AH3" t="inlineStr">
        <is>
          <t>3</t>
        </is>
      </c>
      <c r="AI3" t="inlineStr">
        <is>
          <t>80</t>
        </is>
      </c>
      <c r="AJ3" t="inlineStr">
        <is>
          <t>INFO_PARTIELLE</t>
        </is>
      </c>
      <c r="AK3" t="inlineStr">
        <is>
          <t>80.5</t>
        </is>
      </c>
      <c r="AL3" s="13" t="inlineStr">
        <is>
          <t>CHAUD</t>
        </is>
      </c>
      <c r="AM3">
        <f>MIN(100,MAX(0,IF(OR(ISNUMBER(SEARCH("nettoyage",C3)),ISNUMBER(SEARCH("proprete",C3)),ISNUMBER(SEARCH("entretien",C3)),ISNUMBER(SEARCH("hygiene",C3))),35,0)+IF(SUM(--(N3="75")+--(O3="75"),--(N3="77")+--(O3="77"),--(N3="78")+--(O3="78"),--(N3="91")+--(O3="91"),--(N3="92")+--(O3="92"),--(N3="93")+--(O3="93"),--(N3="94")+--(O3="94"),--(N3="95")+--(O3="95"))&gt;0,25,4)+IF(S3="",10,IF(S3&lt;=50000,25,IF(S3&lt;=100000,20,IF(S3&lt;=200000,5,IF(S3&lt;=500000,-10,-20)))))+IF(I3&lt;&gt;"",4,0)+IF(J3&lt;&gt;"",4,0)+IF(E3&lt;&gt;"",3,0)+IF(K3&lt;&gt;"",2,0)+IF(M3&lt;&gt;"",1,0)+IF(AD3&lt;&gt;"",1,0)+IF(R3="",0,IF(R3&lt;TODAY(),-30,IF(R3&lt;TODAY()+5,-15,IF(R3&lt;=TODAY()+15,5,10))))))</f>
        <v/>
      </c>
      <c r="AN3">
        <f>IF(AM3&gt;=65,"CHAUD",IF(AM3&gt;=40,"TIEDE","FROID"))</f>
        <v/>
      </c>
      <c r="AO3">
        <f>IF((IF(I3&lt;&gt;"",1,0)+IF(J3&lt;&gt;"",1,0)+IF(E3&lt;&gt;"",1,0)+IF(K3&lt;&gt;"",1,0))&gt;=4,"Complet",IF((IF(I3&lt;&gt;"",1,0)+IF(J3&lt;&gt;"",1,0)+IF(E3&lt;&gt;"",1,0)+IF(K3&lt;&gt;"",1,0))&gt;=2,"Partiel","Vide"))</f>
        <v/>
      </c>
      <c r="AP3">
        <f>IF(AJ3="DCE_A_TELECHARGER","Telecharger DCE",IF(T3="A_VERIFIER_BUDGET","Verifier budget",IF(AN3="CHAUD","Contacter maintenant",IF(AN3="TIEDE","Surveiller / relancer","Basse priorite"))))</f>
        <v/>
      </c>
      <c r="AQ3" t="inlineStr">
        <is>
          <t>IA_CONTACT_A_COMPLETER</t>
        </is>
      </c>
      <c r="AR3" t="inlineStr">
        <is>
          <t>Completer les champs manquants depuis l'avis source, le site acheteur ou le DCE.</t>
        </is>
      </c>
      <c r="AS3" t="inlineStr">
        <is>
          <t>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26-83419. Objet: Prestations d'entretien ménager. Acheteur: VILLE DE LOUVRES. Lien: https://www.boamp.fr/pages/avis/?q=idweb:26-83419.</t>
        </is>
      </c>
      <c r="AU3" t="inlineStr">
        <is>
          <t>Verifier url_avis et DCE si disponible</t>
        </is>
      </c>
      <c r="AV3" t="inlineStr"/>
      <c r="AW3" t="inlineStr"/>
      <c r="AX3" t="inlineStr"/>
      <c r="AY3" t="inlineStr"/>
      <c r="AZ3" t="inlineStr"/>
      <c r="BA3" t="inlineStr"/>
      <c r="BB3" t="inlineStr">
        <is>
          <t>+34.0 nettoyage + categorie claire (2 termes) | +25.0 budget annualise 10 000 EUR | +10 secteur cible Mairie | +10.0 delai 35 j | +1.5 dossier renseigne (3/4)</t>
        </is>
      </c>
      <c r="BC3" t="inlineStr">
        <is>
          <t>VILLE DE LOUVRES publie un AO potentiellement pertinent pour CHRUTH : Prestations d'entretien ménager. Zone : 95. Budget detecte environ 10 000 EUR. Verifier le lien source avant contact.</t>
        </is>
      </c>
      <c r="BD3" t="inlineStr">
        <is>
          <t>Bonjour,
Je me permets de vous contacter au sujet de votre appel d'offres : Prestations d'entretien ménager.
CHRUTH accompagne les structures publiques et privées sur les besoins de nettoyage, d'entretien des locaux et d'organisation de prestations de service.
Serait-il possible d'échanger rapidement afin de vérifier les modalités de réponse et les attentes de VILLE DE LOUVRES ?
Cordialement,</t>
        </is>
      </c>
      <c r="BE3" t="inlineStr">
        <is>
          <t>Bonjour, je vous appelle concernant un appel d'offres publié par VILLE DE LOUVRES.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26-73275</t>
        </is>
      </c>
      <c r="C4" t="inlineStr">
        <is>
          <t>ENTRETIEN, REMISE EN ETAT ET AMENAGEMENT D'ESPACES VERTS POUR LA VILLE DE GENNEVILLIERS
LOT N°1 : Entretien des secteurs d'habitation Nord et du cimetière, remise en état et aménagement d'e</t>
        </is>
      </c>
      <c r="D4" t="inlineStr">
        <is>
          <t>Ville de Gennevilliers</t>
        </is>
      </c>
      <c r="E4" t="inlineStr"/>
      <c r="F4" t="inlineStr"/>
      <c r="G4" t="inlineStr"/>
      <c r="H4" t="inlineStr"/>
      <c r="I4" t="inlineStr">
        <is>
          <t>publications-joue@aws-france.com</t>
        </is>
      </c>
      <c r="J4" t="inlineStr">
        <is>
          <t>+33480041260</t>
        </is>
      </c>
      <c r="K4" t="inlineStr"/>
      <c r="L4" t="inlineStr"/>
      <c r="M4" t="inlineStr"/>
      <c r="N4" t="inlineStr">
        <is>
          <t>92</t>
        </is>
      </c>
      <c r="O4" t="inlineStr"/>
      <c r="P4" t="inlineStr">
        <is>
          <t>Ile-de-France</t>
        </is>
      </c>
      <c r="Q4" s="15" t="n">
        <v>46227</v>
      </c>
      <c r="R4" s="15" t="n">
        <v>46261</v>
      </c>
      <c r="S4" t="inlineStr"/>
      <c r="T4" t="inlineStr">
        <is>
          <t>A_VERIFIER_BUDGET</t>
        </is>
      </c>
      <c r="U4" t="inlineStr"/>
      <c r="V4" t="inlineStr">
        <is>
          <t>non</t>
        </is>
      </c>
      <c r="W4" t="inlineStr">
        <is>
          <t>Personnel</t>
        </is>
      </c>
      <c r="X4" t="inlineStr">
        <is>
          <t>Mairie</t>
        </is>
      </c>
      <c r="Y4" t="inlineStr">
        <is>
          <t>SERVICES</t>
        </is>
      </c>
      <c r="Z4" t="inlineStr">
        <is>
          <t>Procédure Ouverte</t>
        </is>
      </c>
      <c r="AA4" t="inlineStr">
        <is>
          <t>Avis de marché</t>
        </is>
      </c>
      <c r="AB4" t="inlineStr">
        <is>
          <t>Espaces verts, Prestations de services</t>
        </is>
      </c>
      <c r="AC4" t="inlineStr">
        <is>
          <t>['environnementaux']</t>
        </is>
      </c>
      <c r="AD4" s="11" t="inlineStr">
        <is>
          <t>https://www.boamp.fr/pages/avis/?q=idweb:26-73275</t>
        </is>
      </c>
      <c r="AE4" t="inlineStr">
        <is>
          <t>https://www.marches-publics.info/mpiaws/index.cfm?fuseaction=dematEnt.login&amp;amp;type=DCE&amp;amp;IDM=1848323</t>
        </is>
      </c>
      <c r="AF4" t="inlineStr">
        <is>
          <t>https://www.marches-publics.info/mpiaws/index.cfm?fuseaction=dematEnt.login&amp;amp;type=DCE&amp;amp;IDM=1848323</t>
        </is>
      </c>
      <c r="AG4" t="inlineStr">
        <is>
          <t>nettoyage</t>
        </is>
      </c>
      <c r="AH4" t="inlineStr">
        <is>
          <t>2</t>
        </is>
      </c>
      <c r="AI4" t="inlineStr">
        <is>
          <t>58</t>
        </is>
      </c>
      <c r="AJ4" t="inlineStr">
        <is>
          <t>INFO_PARTIELLE</t>
        </is>
      </c>
      <c r="AK4" t="inlineStr">
        <is>
          <t>80</t>
        </is>
      </c>
      <c r="AL4" s="13" t="inlineStr">
        <is>
          <t>CHAUD</t>
        </is>
      </c>
      <c r="AM4">
        <f>MIN(100,MAX(0,IF(OR(ISNUMBER(SEARCH("nettoyage",C4)),ISNUMBER(SEARCH("proprete",C4)),ISNUMBER(SEARCH("entretien",C4)),ISNUMBER(SEARCH("hygiene",C4))),35,0)+IF(SUM(--(N4="75")+--(O4="75"),--(N4="77")+--(O4="77"),--(N4="78")+--(O4="78"),--(N4="91")+--(O4="91"),--(N4="92")+--(O4="92"),--(N4="93")+--(O4="93"),--(N4="94")+--(O4="94"),--(N4="95")+--(O4="95"))&gt;0,25,4)+IF(S4="",10,IF(S4&lt;=50000,25,IF(S4&lt;=100000,20,IF(S4&lt;=200000,5,IF(S4&lt;=500000,-10,-20)))))+IF(I4&lt;&gt;"",4,0)+IF(J4&lt;&gt;"",4,0)+IF(E4&lt;&gt;"",3,0)+IF(K4&lt;&gt;"",2,0)+IF(M4&lt;&gt;"",1,0)+IF(AD4&lt;&gt;"",1,0)+IF(R4="",0,IF(R4&lt;TODAY(),-30,IF(R4&lt;TODAY()+5,-15,IF(R4&lt;=TODAY()+15,5,10))))))</f>
        <v/>
      </c>
      <c r="AN4">
        <f>IF(AM4&gt;=65,"CHAUD",IF(AM4&gt;=40,"TIEDE","FROID"))</f>
        <v/>
      </c>
      <c r="AO4">
        <f>IF((IF(I4&lt;&gt;"",1,0)+IF(J4&lt;&gt;"",1,0)+IF(E4&lt;&gt;"",1,0)+IF(K4&lt;&gt;"",1,0))&gt;=4,"Complet",IF((IF(I4&lt;&gt;"",1,0)+IF(J4&lt;&gt;"",1,0)+IF(E4&lt;&gt;"",1,0)+IF(K4&lt;&gt;"",1,0))&gt;=2,"Partiel","Vide"))</f>
        <v/>
      </c>
      <c r="AP4">
        <f>IF(AJ4="DCE_A_TELECHARGER","Telecharger DCE",IF(T4="A_VERIFIER_BUDGET","Verifier budget",IF(AN4="CHAUD","Contacter maintenant",IF(AN4="TIEDE","Surveiller / relancer","Basse priorite"))))</f>
        <v/>
      </c>
      <c r="AQ4" t="inlineStr">
        <is>
          <t>IA_BUDGET_A_VERIFIER</t>
        </is>
      </c>
      <c r="AR4" t="inlineStr">
        <is>
          <t>Verifier le budget dans l'avis source ou le DCE avant decision commerciale.</t>
        </is>
      </c>
      <c r="AS4" t="inlineStr">
        <is>
          <t>SIRET, 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4" t="inlineStr">
        <is>
          <t>Verifier url_avis et DCE si disponible</t>
        </is>
      </c>
      <c r="AV4" t="inlineStr">
        <is>
          <t>LIEN_SEUL</t>
        </is>
      </c>
      <c r="AW4" t="inlineStr"/>
      <c r="AX4" t="inlineStr"/>
      <c r="AY4" t="inlineStr"/>
      <c r="AZ4" t="inlineStr"/>
      <c r="BA4" t="inlineStr"/>
      <c r="BB4" t="inlineStr">
        <is>
          <t>+35 nettoyage + categorie claire | +10 budget non affiche (a verifier) | +15 procedure adaptee / MAPA / allotissement | +10 secteur cible Mairie | +10 delai confortable 30j</t>
        </is>
      </c>
      <c r="BC4"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4"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4"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26-82168</t>
        </is>
      </c>
      <c r="C5" t="inlineStr">
        <is>
          <t>Capture et ramassage d’animaux errants, et/ou dangereux, et/ou blessés, et/ou morts et leur mise en fourrière</t>
        </is>
      </c>
      <c r="D5" t="inlineStr">
        <is>
          <t>COMMUNE DE SAINT-DENIS</t>
        </is>
      </c>
      <c r="E5" t="inlineStr">
        <is>
          <t>92993941100013</t>
        </is>
      </c>
      <c r="F5" t="inlineStr">
        <is>
          <t>929939411</t>
        </is>
      </c>
      <c r="G5" t="inlineStr"/>
      <c r="H5" t="inlineStr"/>
      <c r="I5" t="inlineStr">
        <is>
          <t>mp_achats@saint-denis.fr</t>
        </is>
      </c>
      <c r="J5" t="inlineStr">
        <is>
          <t>0149336605</t>
        </is>
      </c>
      <c r="K5" t="inlineStr"/>
      <c r="L5" t="inlineStr"/>
      <c r="M5" t="inlineStr"/>
      <c r="N5" t="inlineStr">
        <is>
          <t>93,75,94,95</t>
        </is>
      </c>
      <c r="O5" t="inlineStr"/>
      <c r="P5" t="inlineStr">
        <is>
          <t>Ile-de-France</t>
        </is>
      </c>
      <c r="Q5" s="15" t="n">
        <v>46256</v>
      </c>
      <c r="R5" s="15" t="n">
        <v>46290</v>
      </c>
      <c r="S5" s="14" t="n">
        <v>90000</v>
      </c>
      <c r="T5" t="inlineStr">
        <is>
          <t>BUDGET_SOUS_SEUIL</t>
        </is>
      </c>
      <c r="U5" t="inlineStr">
        <is>
          <t>22500</t>
        </is>
      </c>
      <c r="V5" t="inlineStr">
        <is>
          <t>oui</t>
        </is>
      </c>
      <c r="W5" t="inlineStr">
        <is>
          <t>Batiments</t>
        </is>
      </c>
      <c r="X5" t="inlineStr">
        <is>
          <t>Mairie</t>
        </is>
      </c>
      <c r="Y5" t="inlineStr">
        <is>
          <t>SERVICES</t>
        </is>
      </c>
      <c r="Z5" t="inlineStr">
        <is>
          <t>Procédure Ouverte</t>
        </is>
      </c>
      <c r="AA5" t="inlineStr">
        <is>
          <t>Avis de marché</t>
        </is>
      </c>
      <c r="AB5" t="inlineStr">
        <is>
          <t>Prestations de services</t>
        </is>
      </c>
      <c r="AC5" t="inlineStr">
        <is>
          <t>['environnementaux']</t>
        </is>
      </c>
      <c r="AD5" s="11" t="inlineStr">
        <is>
          <t>https://www.boamp.fr/pages/avis/?q=idweb:26-82168</t>
        </is>
      </c>
      <c r="AE5" t="inlineStr">
        <is>
          <t>https://marches.maximilien.fr</t>
        </is>
      </c>
      <c r="AF5" t="inlineStr">
        <is>
          <t>https://marches.maximilien.fr</t>
        </is>
      </c>
      <c r="AG5" t="inlineStr">
        <is>
          <t>nettoyage</t>
        </is>
      </c>
      <c r="AH5" t="inlineStr">
        <is>
          <t>3</t>
        </is>
      </c>
      <c r="AI5" t="inlineStr">
        <is>
          <t>68</t>
        </is>
      </c>
      <c r="AJ5" t="inlineStr">
        <is>
          <t>INFO_PARTIELLE</t>
        </is>
      </c>
      <c r="AK5" t="inlineStr">
        <is>
          <t>78.8</t>
        </is>
      </c>
      <c r="AL5" s="13" t="inlineStr">
        <is>
          <t>CHAUD</t>
        </is>
      </c>
      <c r="AM5">
        <f>MIN(100,MAX(0,IF(OR(ISNUMBER(SEARCH("nettoyage",C5)),ISNUMBER(SEARCH("proprete",C5)),ISNUMBER(SEARCH("entretien",C5)),ISNUMBER(SEARCH("hygiene",C5))),35,0)+IF(SUM(--(N5="75")+--(O5="75"),--(N5="77")+--(O5="77"),--(N5="78")+--(O5="78"),--(N5="91")+--(O5="91"),--(N5="92")+--(O5="92"),--(N5="93")+--(O5="93"),--(N5="94")+--(O5="94"),--(N5="95")+--(O5="95"))&gt;0,25,4)+IF(S5="",10,IF(S5&lt;=50000,25,IF(S5&lt;=100000,20,IF(S5&lt;=200000,5,IF(S5&lt;=500000,-10,-20)))))+IF(I5&lt;&gt;"",4,0)+IF(J5&lt;&gt;"",4,0)+IF(E5&lt;&gt;"",3,0)+IF(K5&lt;&gt;"",2,0)+IF(M5&lt;&gt;"",1,0)+IF(AD5&lt;&gt;"",1,0)+IF(R5="",0,IF(R5&lt;TODAY(),-30,IF(R5&lt;TODAY()+5,-15,IF(R5&lt;=TODAY()+15,5,10))))))</f>
        <v/>
      </c>
      <c r="AN5">
        <f>IF(AM5&gt;=65,"CHAUD",IF(AM5&gt;=40,"TIEDE","FROID"))</f>
        <v/>
      </c>
      <c r="AO5">
        <f>IF((IF(I5&lt;&gt;"",1,0)+IF(J5&lt;&gt;"",1,0)+IF(E5&lt;&gt;"",1,0)+IF(K5&lt;&gt;"",1,0))&gt;=4,"Complet",IF((IF(I5&lt;&gt;"",1,0)+IF(J5&lt;&gt;"",1,0)+IF(E5&lt;&gt;"",1,0)+IF(K5&lt;&gt;"",1,0))&gt;=2,"Partiel","Vide"))</f>
        <v/>
      </c>
      <c r="AP5">
        <f>IF(AJ5="DCE_A_TELECHARGER","Telecharger DCE",IF(T5="A_VERIFIER_BUDGET","Verifier budget",IF(AN5="CHAUD","Contacter maintenant",IF(AN5="TIEDE","Surveiller / relancer","Basse priorite"))))</f>
        <v/>
      </c>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26-82168. Objet: Capture et ramassage d’animaux errants, et/ou dangereux, et/ou blessés, et/ou morts et leur mise en fourrière. Acheteur: COMMUNE DE SAINT-DENIS. Lien: https://www.boamp.fr/pages/avis/?q=idweb:26-82168.</t>
        </is>
      </c>
      <c r="AU5" t="inlineStr">
        <is>
          <t>Verifier url_avis et DCE si disponible</t>
        </is>
      </c>
      <c r="AV5" t="inlineStr"/>
      <c r="AW5" t="inlineStr"/>
      <c r="AX5" t="inlineStr"/>
      <c r="AY5" t="inlineStr"/>
      <c r="AZ5" t="inlineStr"/>
      <c r="BA5" t="inlineStr"/>
      <c r="BB5" t="inlineStr">
        <is>
          <t>+33.5 nettoyage + categorie claire (1 termes) | +25.0 budget annualise 22 500 EUR | +10 secteur cible Mairie | +8.8 delai 25 j | +1.5 dossier renseigne (3/4)</t>
        </is>
      </c>
      <c r="BC5" t="inlineStr">
        <is>
          <t>COMMUNE DE SAINT-DENIS publie un AO potentiellement pertinent pour CHRUTH : Capture et ramassage d’animaux errants, et/ou dangereux, et/ou blessés, et/ou morts et leur mise en fourrière. Zone : 93,75,94,95. Budget detecte environ 90 000 EUR. Verifier le lien source avant contact.</t>
        </is>
      </c>
      <c r="BD5" t="inlineStr">
        <is>
          <t>Bonjour,
Je me permets de vous contacter au sujet de votre appel d'offres : Capture et ramassage d’animaux errants, et/ou dangereux, et/ou blessés, et/ou morts et leur mise en fourrière.
CHRUTH accompagne les structures publiques et privées sur les besoins de nettoyage, d'entretien des locaux et d'organisation de prestations de service.
Serait-il possible d'échanger rapidement afin de vérifier les modalités de réponse et les attentes de COMMUNE DE SAINT-DENIS ?
Cordialement,</t>
        </is>
      </c>
      <c r="BE5" t="inlineStr">
        <is>
          <t>Bonjour, je vous appelle concernant un appel d'offres publié par COMMUNE DE SAINT-DENIS.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2026-W34</t>
        </is>
      </c>
    </row>
    <row r="6">
      <c r="A6" t="inlineStr">
        <is>
          <t>BOAMP</t>
        </is>
      </c>
      <c r="B6" t="inlineStr">
        <is>
          <t>26-82885</t>
        </is>
      </c>
      <c r="C6" t="inlineStr">
        <is>
          <t>Balayage des voies, trottoirs et caniveaux</t>
        </is>
      </c>
      <c r="D6" t="inlineStr">
        <is>
          <t>Mairie de Maule</t>
        </is>
      </c>
      <c r="E6" t="inlineStr"/>
      <c r="F6" t="inlineStr"/>
      <c r="G6" t="inlineStr">
        <is>
          <t>SERENA</t>
        </is>
      </c>
      <c r="H6" t="inlineStr"/>
      <c r="I6" t="inlineStr">
        <is>
          <t>dserena@maule.fr</t>
        </is>
      </c>
      <c r="J6" t="inlineStr">
        <is>
          <t>0130904900</t>
        </is>
      </c>
      <c r="K6" t="inlineStr"/>
      <c r="L6" t="inlineStr">
        <is>
          <t>78580</t>
        </is>
      </c>
      <c r="M6" t="inlineStr">
        <is>
          <t>Maule</t>
        </is>
      </c>
      <c r="N6" t="inlineStr">
        <is>
          <t>78</t>
        </is>
      </c>
      <c r="O6" t="inlineStr"/>
      <c r="P6" t="inlineStr">
        <is>
          <t>Ile-de-France</t>
        </is>
      </c>
      <c r="Q6" s="15" t="n">
        <v>46259</v>
      </c>
      <c r="R6" s="15" t="n">
        <v>46295</v>
      </c>
      <c r="S6" t="inlineStr"/>
      <c r="T6" t="inlineStr">
        <is>
          <t>A_VERIFIER_BUDGET</t>
        </is>
      </c>
      <c r="U6" t="inlineStr"/>
      <c r="V6" t="inlineStr">
        <is>
          <t>non</t>
        </is>
      </c>
      <c r="W6" t="inlineStr">
        <is>
          <t>Mixte/Autre</t>
        </is>
      </c>
      <c r="X6" t="inlineStr">
        <is>
          <t>Mairie</t>
        </is>
      </c>
      <c r="Y6" t="inlineStr">
        <is>
          <t>SERVICES</t>
        </is>
      </c>
      <c r="Z6" t="inlineStr">
        <is>
          <t>Procédure Adaptée</t>
        </is>
      </c>
      <c r="AA6" t="inlineStr">
        <is>
          <t>Avis de marché</t>
        </is>
      </c>
      <c r="AB6" t="inlineStr">
        <is>
          <t>Nettoyage urbain</t>
        </is>
      </c>
      <c r="AC6" t="inlineStr"/>
      <c r="AD6" s="11" t="inlineStr">
        <is>
          <t>https://www.boamp.fr/pages/avis/?q=idweb:26-82885</t>
        </is>
      </c>
      <c r="AE6" t="inlineStr">
        <is>
          <t>https://www.achatpublic.com/sdm/ent2/gen/index.jsp</t>
        </is>
      </c>
      <c r="AF6" t="inlineStr">
        <is>
          <t>https://www.achatpublic.com/sdm/ent2/gen/index.jsp</t>
        </is>
      </c>
      <c r="AG6" t="inlineStr">
        <is>
          <t>nettoyage</t>
        </is>
      </c>
      <c r="AH6" t="inlineStr">
        <is>
          <t>4</t>
        </is>
      </c>
      <c r="AI6" t="inlineStr">
        <is>
          <t>78</t>
        </is>
      </c>
      <c r="AJ6" t="inlineStr">
        <is>
          <t>INFO_PARTIELLE</t>
        </is>
      </c>
      <c r="AK6" t="inlineStr">
        <is>
          <t>75.5</t>
        </is>
      </c>
      <c r="AL6" s="13" t="inlineStr">
        <is>
          <t>CHAUD</t>
        </is>
      </c>
      <c r="AM6">
        <f>MIN(100,MAX(0,IF(OR(ISNUMBER(SEARCH("nettoyage",C6)),ISNUMBER(SEARCH("proprete",C6)),ISNUMBER(SEARCH("entretien",C6)),ISNUMBER(SEARCH("hygiene",C6))),35,0)+IF(SUM(--(N6="75")+--(O6="75"),--(N6="77")+--(O6="77"),--(N6="78")+--(O6="78"),--(N6="91")+--(O6="91"),--(N6="92")+--(O6="92"),--(N6="93")+--(O6="93"),--(N6="94")+--(O6="94"),--(N6="95")+--(O6="95"))&gt;0,25,4)+IF(S6="",10,IF(S6&lt;=50000,25,IF(S6&lt;=100000,20,IF(S6&lt;=200000,5,IF(S6&lt;=500000,-10,-20)))))+IF(I6&lt;&gt;"",4,0)+IF(J6&lt;&gt;"",4,0)+IF(E6&lt;&gt;"",3,0)+IF(K6&lt;&gt;"",2,0)+IF(M6&lt;&gt;"",1,0)+IF(AD6&lt;&gt;"",1,0)+IF(R6="",0,IF(R6&lt;TODAY(),-30,IF(R6&lt;TODAY()+5,-15,IF(R6&lt;=TODAY()+15,5,10))))))</f>
        <v/>
      </c>
      <c r="AN6">
        <f>IF(AM6&gt;=65,"CHAUD",IF(AM6&gt;=40,"TIEDE","FROID"))</f>
        <v/>
      </c>
      <c r="AO6">
        <f>IF((IF(I6&lt;&gt;"",1,0)+IF(J6&lt;&gt;"",1,0)+IF(E6&lt;&gt;"",1,0)+IF(K6&lt;&gt;"",1,0))&gt;=4,"Complet",IF((IF(I6&lt;&gt;"",1,0)+IF(J6&lt;&gt;"",1,0)+IF(E6&lt;&gt;"",1,0)+IF(K6&lt;&gt;"",1,0))&gt;=2,"Partiel","Vide"))</f>
        <v/>
      </c>
      <c r="AP6">
        <f>IF(AJ6="DCE_A_TELECHARGER","Telecharger DCE",IF(T6="A_VERIFIER_BUDGET","Verifier budget",IF(AN6="CHAUD","Contacter maintenant",IF(AN6="TIEDE","Surveiller / relancer","Basse priorite"))))</f>
        <v/>
      </c>
      <c r="AQ6" t="inlineStr">
        <is>
          <t>IA_BUDGET_A_VERIFIER</t>
        </is>
      </c>
      <c r="AR6" t="inlineStr">
        <is>
          <t>Verifier le budget dans l'avis source ou le DCE avant decision commerciale.</t>
        </is>
      </c>
      <c r="AS6" t="inlineStr">
        <is>
          <t>SIRET, adresse,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6" t="inlineStr">
        <is>
          <t>Verifier url_avis et DCE si disponible</t>
        </is>
      </c>
      <c r="AV6" t="inlineStr">
        <is>
          <t>LIEN_SEUL</t>
        </is>
      </c>
      <c r="AW6" t="inlineStr"/>
      <c r="AX6" t="inlineStr"/>
      <c r="AY6" t="inlineStr"/>
      <c r="AZ6" t="inlineStr"/>
      <c r="BA6" t="inlineStr"/>
      <c r="BB6" t="inlineStr">
        <is>
          <t>+28.5 mots-cles nettoyage forts (1 termes) | +10 budget non affiche (a verifier) | +15 procedure adaptee / MAPA / allotissement | +10 secteur cible Mairie | +10.0 delai 30 j | +2.0 dossier renseigne (4/4)</t>
        </is>
      </c>
      <c r="BC6" t="inlineStr">
        <is>
          <t>Mairie de Maule publie un AO potentiellement pertinent pour CHRUTH : Balayage des voies, trottoirs et caniveaux. Zone : Maule. Budget a verifier. Verifier le lien source avant contact.</t>
        </is>
      </c>
      <c r="BD6"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6"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2026-W35</t>
        </is>
      </c>
    </row>
    <row r="7">
      <c r="A7" t="inlineStr">
        <is>
          <t>BOAMP</t>
        </is>
      </c>
      <c r="B7" t="inlineStr">
        <is>
          <t>26-74949</t>
        </is>
      </c>
      <c r="C7" t="inlineStr">
        <is>
          <t>Prestations D'Entretien Ménager Des Gymnases De La Ville De Roissy-En-Brie</t>
        </is>
      </c>
      <c r="D7" t="inlineStr">
        <is>
          <t>Mairie de Roissy-en-Brie</t>
        </is>
      </c>
      <c r="E7" t="inlineStr">
        <is>
          <t>21770390900010</t>
        </is>
      </c>
      <c r="F7" t="inlineStr">
        <is>
          <t>217703909</t>
        </is>
      </c>
      <c r="G7" t="inlineStr">
        <is>
          <t>Service Commande Publique</t>
        </is>
      </c>
      <c r="H7" t="inlineStr"/>
      <c r="I7" t="inlineStr"/>
      <c r="J7" t="inlineStr">
        <is>
          <t>0390900010</t>
        </is>
      </c>
      <c r="K7" t="inlineStr">
        <is>
          <t>77680 - ROISSY-EN-BRIE</t>
        </is>
      </c>
      <c r="L7" t="inlineStr">
        <is>
          <t>77680</t>
        </is>
      </c>
      <c r="M7" t="inlineStr">
        <is>
          <t>ROISSY EN BRIE</t>
        </is>
      </c>
      <c r="N7" t="inlineStr">
        <is>
          <t>77</t>
        </is>
      </c>
      <c r="O7" t="inlineStr"/>
      <c r="P7" t="inlineStr">
        <is>
          <t>Ile-de-France</t>
        </is>
      </c>
      <c r="Q7" s="15" t="n">
        <v>46230</v>
      </c>
      <c r="R7" s="15" t="n">
        <v>46262</v>
      </c>
      <c r="S7" s="14" t="n">
        <v>77680</v>
      </c>
      <c r="T7" t="inlineStr">
        <is>
          <t>BUDGET_SOUS_SEUIL</t>
        </is>
      </c>
      <c r="U7" t="inlineStr">
        <is>
          <t>77680.0</t>
        </is>
      </c>
      <c r="V7" t="inlineStr">
        <is>
          <t>non</t>
        </is>
      </c>
      <c r="W7" t="inlineStr">
        <is>
          <t>Batiments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https://www.boamp.fr/pages/avis/?q=idweb:26-74949</t>
        </is>
      </c>
      <c r="AE7" t="inlineStr">
        <is>
          <t>https://www.marches-publics.info/mpiaws/index.cfm?fuseaction=dematent.login&amp;type=Dce&amp;Idm=1855543</t>
        </is>
      </c>
      <c r="AF7" t="inlineStr">
        <is>
          <t>https://www.marches-publics.info/mpiaws/index.cfm?fuseaction=dematent.login&amp;type=Dce&amp;Idm=1855543</t>
        </is>
      </c>
      <c r="AG7" t="inlineStr">
        <is>
          <t>nettoyage, entretien menager</t>
        </is>
      </c>
      <c r="AH7" t="inlineStr">
        <is>
          <t>5</t>
        </is>
      </c>
      <c r="AI7" t="inlineStr">
        <is>
          <t>92</t>
        </is>
      </c>
      <c r="AJ7" t="inlineStr">
        <is>
          <t>INFO_PARTIELLE</t>
        </is>
      </c>
      <c r="AK7" t="inlineStr">
        <is>
          <t>75</t>
        </is>
      </c>
      <c r="AL7" s="13" t="inlineStr">
        <is>
          <t>CHAUD</t>
        </is>
      </c>
      <c r="AM7">
        <f>MIN(100,MAX(0,IF(OR(ISNUMBER(SEARCH("nettoyage",C7)),ISNUMBER(SEARCH("proprete",C7)),ISNUMBER(SEARCH("entretien",C7)),ISNUMBER(SEARCH("hygiene",C7))),35,0)+IF(SUM(--(N7="75")+--(O7="75"),--(N7="77")+--(O7="77"),--(N7="78")+--(O7="78"),--(N7="91")+--(O7="91"),--(N7="92")+--(O7="92"),--(N7="93")+--(O7="93"),--(N7="94")+--(O7="94"),--(N7="95")+--(O7="95"))&gt;0,25,4)+IF(S7="",10,IF(S7&lt;=50000,25,IF(S7&lt;=100000,20,IF(S7&lt;=200000,5,IF(S7&lt;=500000,-10,-20)))))+IF(I7&lt;&gt;"",4,0)+IF(J7&lt;&gt;"",4,0)+IF(E7&lt;&gt;"",3,0)+IF(K7&lt;&gt;"",2,0)+IF(M7&lt;&gt;"",1,0)+IF(AD7&lt;&gt;"",1,0)+IF(R7="",0,IF(R7&lt;TODAY(),-30,IF(R7&lt;TODAY()+5,-15,IF(R7&lt;=TODAY()+15,5,10))))))</f>
        <v/>
      </c>
      <c r="AN7">
        <f>IF(AM7&gt;=65,"CHAUD",IF(AM7&gt;=40,"TIEDE","FROID"))</f>
        <v/>
      </c>
      <c r="AO7">
        <f>IF((IF(I7&lt;&gt;"",1,0)+IF(J7&lt;&gt;"",1,0)+IF(E7&lt;&gt;"",1,0)+IF(K7&lt;&gt;"",1,0))&gt;=4,"Complet",IF((IF(I7&lt;&gt;"",1,0)+IF(J7&lt;&gt;"",1,0)+IF(E7&lt;&gt;"",1,0)+IF(K7&lt;&gt;"",1,0))&gt;=2,"Partiel","Vide"))</f>
        <v/>
      </c>
      <c r="AP7">
        <f>IF(AJ7="DCE_A_TELECHARGER","Telecharger DCE",IF(T7="A_VERIFIER_BUDGET","Verifier budget",IF(AN7="CHAUD","Contacter maintenant",IF(AN7="TIEDE","Surveiller / relancer","Basse priorite"))))</f>
        <v/>
      </c>
      <c r="AQ7" t="inlineStr">
        <is>
          <t>IA_CONTACT_A_COMPLETER</t>
        </is>
      </c>
      <c r="AR7" t="inlineStr">
        <is>
          <t>Completer les champs manquants depuis l'avis source, le site acheteur ou le DCE.</t>
        </is>
      </c>
      <c r="AS7" t="inlineStr">
        <is>
          <t>email</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7" t="inlineStr">
        <is>
          <t>Verifier url_avis et DCE si disponible</t>
        </is>
      </c>
      <c r="AV7" t="inlineStr">
        <is>
          <t>LIEN_SEUL</t>
        </is>
      </c>
      <c r="AW7" t="inlineStr"/>
      <c r="AX7" t="inlineStr"/>
      <c r="AY7" t="inlineStr"/>
      <c r="AZ7" t="inlineStr"/>
      <c r="BA7" t="inlineStr"/>
      <c r="BB7" t="inlineStr">
        <is>
          <t>+35 nettoyage + categorie claire | +20 budget annualise &lt;= 100 000 EUR | +10 secteur cible Mairie | +10 delai confortable 31j</t>
        </is>
      </c>
      <c r="BC7" t="inlineStr">
        <is>
          <t>Mairie de Roissy-en-Brie publie un AO potentiellement pertinent pour CHRUTH : Prestations D'Entretien Ménager Des Gymnases De La Ville De Roissy-En-Brie. Zone : ROISSY EN BRIE. Budget detecte environ 77 680 EUR. Verifier le lien source avant contact.</t>
        </is>
      </c>
      <c r="BD7"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7"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2026-W31</t>
        </is>
      </c>
    </row>
    <row r="8">
      <c r="A8" t="inlineStr">
        <is>
          <t>BOAMP</t>
        </is>
      </c>
      <c r="B8" t="inlineStr">
        <is>
          <t>26-74013</t>
        </is>
      </c>
      <c r="C8" t="inlineStr">
        <is>
          <t>Prestations de nettoyage des locaux de l'École nationale supérieure d’architecture de Paris-La Villette</t>
        </is>
      </c>
      <c r="D8" t="inlineStr">
        <is>
          <t>ENSA Paris-La Villette</t>
        </is>
      </c>
      <c r="E8" t="inlineStr">
        <is>
          <t>19751875600014</t>
        </is>
      </c>
      <c r="F8" t="inlineStr">
        <is>
          <t>197518756</t>
        </is>
      </c>
      <c r="G8" t="inlineStr">
        <is>
          <t>ACHOUR</t>
        </is>
      </c>
      <c r="H8" t="inlineStr"/>
      <c r="I8" t="inlineStr">
        <is>
          <t>safae.achour@paris-lavillette.archi.fr</t>
        </is>
      </c>
      <c r="J8" t="inlineStr">
        <is>
          <t>07-23 2026-09</t>
        </is>
      </c>
      <c r="K8" t="inlineStr">
        <is>
          <t>75019</t>
        </is>
      </c>
      <c r="L8" t="inlineStr">
        <is>
          <t>75019</t>
        </is>
      </c>
      <c r="M8" t="inlineStr">
        <is>
          <t>Paris</t>
        </is>
      </c>
      <c r="N8" t="inlineStr">
        <is>
          <t>75,92,93,91,95,77,94</t>
        </is>
      </c>
      <c r="O8" t="inlineStr"/>
      <c r="P8" t="inlineStr">
        <is>
          <t>Ile-de-France</t>
        </is>
      </c>
      <c r="Q8" s="15" t="n">
        <v>46226</v>
      </c>
      <c r="R8" s="15" t="n">
        <v>46293</v>
      </c>
      <c r="S8" s="14" t="n">
        <v>75019</v>
      </c>
      <c r="T8" t="inlineStr">
        <is>
          <t>BUDGET_SOUS_SEUIL</t>
        </is>
      </c>
      <c r="U8" t="inlineStr">
        <is>
          <t>75019.0</t>
        </is>
      </c>
      <c r="V8" t="inlineStr">
        <is>
          <t>non</t>
        </is>
      </c>
      <c r="W8" t="inlineStr">
        <is>
          <t>Batiments</t>
        </is>
      </c>
      <c r="X8" t="inlineStr">
        <is>
          <t>Ecole</t>
        </is>
      </c>
      <c r="Y8" t="inlineStr">
        <is>
          <t>SERVICES</t>
        </is>
      </c>
      <c r="Z8" t="inlineStr">
        <is>
          <t>Procédure Ouverte</t>
        </is>
      </c>
      <c r="AA8" t="inlineStr">
        <is>
          <t>Avis de marché</t>
        </is>
      </c>
      <c r="AB8" t="inlineStr">
        <is>
          <t>Nettoyage de locaux</t>
        </is>
      </c>
      <c r="AC8" t="inlineStr"/>
      <c r="AD8" s="11" t="inlineStr">
        <is>
          <t>https://www.boamp.fr/pages/avis/?q=idweb:26-74013</t>
        </is>
      </c>
      <c r="AE8" t="inlineStr">
        <is>
          <t>https://www.marches-publics.gouv.fr/entreprise/consultation/3044724?orgAcronyme=f5j</t>
        </is>
      </c>
      <c r="AF8" t="inlineStr">
        <is>
          <t>https://www.marches-publics.gouv.fr/entreprise/consultation/3044724?orgAcronyme=f5j</t>
        </is>
      </c>
      <c r="AG8" t="inlineStr">
        <is>
          <t>nettoyage</t>
        </is>
      </c>
      <c r="AH8" t="inlineStr">
        <is>
          <t>6</t>
        </is>
      </c>
      <c r="AI8" t="inlineStr">
        <is>
          <t>98</t>
        </is>
      </c>
      <c r="AJ8" t="inlineStr">
        <is>
          <t>INFO_PARTIELLE</t>
        </is>
      </c>
      <c r="AK8" t="inlineStr">
        <is>
          <t>75</t>
        </is>
      </c>
      <c r="AL8" s="13" t="inlineStr">
        <is>
          <t>CHAUD</t>
        </is>
      </c>
      <c r="AM8">
        <f>MIN(100,MAX(0,IF(OR(ISNUMBER(SEARCH("nettoyage",C8)),ISNUMBER(SEARCH("proprete",C8)),ISNUMBER(SEARCH("entretien",C8)),ISNUMBER(SEARCH("hygiene",C8))),35,0)+IF(SUM(--(N8="75")+--(O8="75"),--(N8="77")+--(O8="77"),--(N8="78")+--(O8="78"),--(N8="91")+--(O8="91"),--(N8="92")+--(O8="92"),--(N8="93")+--(O8="93"),--(N8="94")+--(O8="94"),--(N8="95")+--(O8="95"))&gt;0,25,4)+IF(S8="",10,IF(S8&lt;=50000,25,IF(S8&lt;=100000,20,IF(S8&lt;=200000,5,IF(S8&lt;=500000,-10,-20)))))+IF(I8&lt;&gt;"",4,0)+IF(J8&lt;&gt;"",4,0)+IF(E8&lt;&gt;"",3,0)+IF(K8&lt;&gt;"",2,0)+IF(M8&lt;&gt;"",1,0)+IF(AD8&lt;&gt;"",1,0)+IF(R8="",0,IF(R8&lt;TODAY(),-30,IF(R8&lt;TODAY()+5,-15,IF(R8&lt;=TODAY()+15,5,10))))))</f>
        <v/>
      </c>
      <c r="AN8">
        <f>IF(AM8&gt;=65,"CHAUD",IF(AM8&gt;=40,"TIEDE","FROID"))</f>
        <v/>
      </c>
      <c r="AO8">
        <f>IF((IF(I8&lt;&gt;"",1,0)+IF(J8&lt;&gt;"",1,0)+IF(E8&lt;&gt;"",1,0)+IF(K8&lt;&gt;"",1,0))&gt;=4,"Complet",IF((IF(I8&lt;&gt;"",1,0)+IF(J8&lt;&gt;"",1,0)+IF(E8&lt;&gt;"",1,0)+IF(K8&lt;&gt;"",1,0))&gt;=2,"Partiel","Vide"))</f>
        <v/>
      </c>
      <c r="AP8">
        <f>IF(AJ8="DCE_A_TELECHARGER","Telecharger DCE",IF(T8="A_VERIFIER_BUDGET","Verifier budget",IF(AN8="CHAUD","Contacter maintenant",IF(AN8="TIEDE","Surveiller / relancer","Basse priorite"))))</f>
        <v/>
      </c>
      <c r="AQ8" t="inlineStr">
        <is>
          <t>IA_CONTROLE_SOURCE</t>
        </is>
      </c>
      <c r="AR8" t="inlineStr">
        <is>
          <t>Verifier rapidement la source avant contact.</t>
        </is>
      </c>
      <c r="AS8" t="inlineStr">
        <is>
          <t>Aucun champ critique manquant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8" t="inlineStr">
        <is>
          <t>Verifier url_avis et DCE si disponible</t>
        </is>
      </c>
      <c r="AV8" t="inlineStr"/>
      <c r="AW8" t="inlineStr"/>
      <c r="AX8" t="inlineStr"/>
      <c r="AY8" t="inlineStr"/>
      <c r="AZ8" t="inlineStr"/>
      <c r="BA8" t="inlineStr"/>
      <c r="BB8" t="inlineStr">
        <is>
          <t>+35 nettoyage + categorie claire | +20 budget annualise &lt;= 100 000 EUR | +10 secteur cible Ecole | +10 delai confortable 62j</t>
        </is>
      </c>
      <c r="BC8"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8"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8"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26-72283</t>
        </is>
      </c>
      <c r="C9" t="inlineStr">
        <is>
          <t>Prestation d'écrivains publics interprètes à Montreuil</t>
        </is>
      </c>
      <c r="D9" t="inlineStr">
        <is>
          <t>Mairie de Montreuil</t>
        </is>
      </c>
      <c r="E9" t="inlineStr">
        <is>
          <t>21930048000015</t>
        </is>
      </c>
      <c r="F9" t="inlineStr">
        <is>
          <t>219300480</t>
        </is>
      </c>
      <c r="G9" t="inlineStr">
        <is>
          <t>Service des achats et de la commande publique</t>
        </is>
      </c>
      <c r="H9" t="inlineStr"/>
      <c r="I9" t="inlineStr">
        <is>
          <t>sacop@montreuil.fr</t>
        </is>
      </c>
      <c r="J9" t="inlineStr">
        <is>
          <t>+33 331487060</t>
        </is>
      </c>
      <c r="K9" t="inlineStr">
        <is>
          <t>(93) Seine-Saint-Denis</t>
        </is>
      </c>
      <c r="L9" t="inlineStr">
        <is>
          <t>93100</t>
        </is>
      </c>
      <c r="M9" t="inlineStr">
        <is>
          <t>Montreuil</t>
        </is>
      </c>
      <c r="N9" t="inlineStr">
        <is>
          <t>93</t>
        </is>
      </c>
      <c r="O9" t="inlineStr"/>
      <c r="P9" t="inlineStr">
        <is>
          <t>Ile-de-France</t>
        </is>
      </c>
      <c r="Q9" s="15" t="n">
        <v>46223</v>
      </c>
      <c r="R9" s="15" t="n">
        <v>46276</v>
      </c>
      <c r="S9" s="14" t="n">
        <v>93100</v>
      </c>
      <c r="T9" t="inlineStr">
        <is>
          <t>BUDGET_SOUS_SEUIL</t>
        </is>
      </c>
      <c r="U9" t="inlineStr">
        <is>
          <t>93100.0</t>
        </is>
      </c>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https://www.boamp.fr/pages/avis/?q=idweb:26-72283</t>
        </is>
      </c>
      <c r="AE9" t="inlineStr">
        <is>
          <t>https://marches.maximilien.fr/entreprise/consultation/943753?orgAcronyme=d6a</t>
        </is>
      </c>
      <c r="AF9" t="inlineStr">
        <is>
          <t>https://marches.maximilien.fr/entreprise/consultation/943753?orgAcronyme=d6a</t>
        </is>
      </c>
      <c r="AG9" t="inlineStr">
        <is>
          <t>nettoyage</t>
        </is>
      </c>
      <c r="AH9" t="inlineStr">
        <is>
          <t>6</t>
        </is>
      </c>
      <c r="AI9" t="inlineStr">
        <is>
          <t>98</t>
        </is>
      </c>
      <c r="AJ9" t="inlineStr">
        <is>
          <t>INFO_PARTIELLE</t>
        </is>
      </c>
      <c r="AK9" t="inlineStr">
        <is>
          <t>75</t>
        </is>
      </c>
      <c r="AL9" s="13" t="inlineStr">
        <is>
          <t>CHAUD</t>
        </is>
      </c>
      <c r="AM9">
        <f>MIN(100,MAX(0,IF(OR(ISNUMBER(SEARCH("nettoyage",C9)),ISNUMBER(SEARCH("proprete",C9)),ISNUMBER(SEARCH("entretien",C9)),ISNUMBER(SEARCH("hygiene",C9))),35,0)+IF(SUM(--(N9="75")+--(O9="75"),--(N9="77")+--(O9="77"),--(N9="78")+--(O9="78"),--(N9="91")+--(O9="91"),--(N9="92")+--(O9="92"),--(N9="93")+--(O9="93"),--(N9="94")+--(O9="94"),--(N9="95")+--(O9="95"))&gt;0,25,4)+IF(S9="",10,IF(S9&lt;=50000,25,IF(S9&lt;=100000,20,IF(S9&lt;=200000,5,IF(S9&lt;=500000,-10,-20)))))+IF(I9&lt;&gt;"",4,0)+IF(J9&lt;&gt;"",4,0)+IF(E9&lt;&gt;"",3,0)+IF(K9&lt;&gt;"",2,0)+IF(M9&lt;&gt;"",1,0)+IF(AD9&lt;&gt;"",1,0)+IF(R9="",0,IF(R9&lt;TODAY(),-30,IF(R9&lt;TODAY()+5,-15,IF(R9&lt;=TODAY()+15,5,10))))))</f>
        <v/>
      </c>
      <c r="AN9">
        <f>IF(AM9&gt;=65,"CHAUD",IF(AM9&gt;=40,"TIEDE","FROID"))</f>
        <v/>
      </c>
      <c r="AO9">
        <f>IF((IF(I9&lt;&gt;"",1,0)+IF(J9&lt;&gt;"",1,0)+IF(E9&lt;&gt;"",1,0)+IF(K9&lt;&gt;"",1,0))&gt;=4,"Complet",IF((IF(I9&lt;&gt;"",1,0)+IF(J9&lt;&gt;"",1,0)+IF(E9&lt;&gt;"",1,0)+IF(K9&lt;&gt;"",1,0))&gt;=2,"Partiel","Vide"))</f>
        <v/>
      </c>
      <c r="AP9">
        <f>IF(AJ9="DCE_A_TELECHARGER","Telecharger DCE",IF(T9="A_VERIFIER_BUDGET","Verifier budget",IF(AN9="CHAUD","Contacter maintenant",IF(AN9="TIEDE","Surveiller / relancer","Basse priorite"))))</f>
        <v/>
      </c>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9" t="inlineStr">
        <is>
          <t>Verifier url_avis et DCE si disponible</t>
        </is>
      </c>
      <c r="AV9" t="inlineStr"/>
      <c r="AW9" t="inlineStr"/>
      <c r="AX9" t="inlineStr"/>
      <c r="AY9" t="inlineStr"/>
      <c r="AZ9" t="inlineStr"/>
      <c r="BA9" t="inlineStr"/>
      <c r="BB9" t="inlineStr">
        <is>
          <t>+35 nettoyage + categorie claire | +20 budget annualise &lt;= 100 000 EUR | +10 secteur cible Mairie | +10 delai confortable 45j</t>
        </is>
      </c>
      <c r="BC9" t="inlineStr">
        <is>
          <t>Mairie de Montreuil publie un AO potentiellement pertinent pour CHRUTH : Prestation d'écrivains publics interprètes à Montreuil. Zone : Montreuil. Budget detecte environ 93 100 EUR. Verifier le lien source avant contact.</t>
        </is>
      </c>
      <c r="BD9"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9"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2026-W30</t>
        </is>
      </c>
    </row>
    <row r="10">
      <c r="A10" t="inlineStr">
        <is>
          <t>BOAMP</t>
        </is>
      </c>
      <c r="B10" t="inlineStr">
        <is>
          <t>26-80939</t>
        </is>
      </c>
      <c r="C10" t="inlineStr">
        <is>
          <t>Plantation et entretien du patrimoine arboré des propriétés communales</t>
        </is>
      </c>
      <c r="D10" t="inlineStr">
        <is>
          <t>Ville de Longjumeau</t>
        </is>
      </c>
      <c r="E10" t="inlineStr">
        <is>
          <t>21910345400225</t>
        </is>
      </c>
      <c r="F10" t="inlineStr">
        <is>
          <t>219103454</t>
        </is>
      </c>
      <c r="G10" t="inlineStr"/>
      <c r="H10" t="inlineStr"/>
      <c r="I10" t="inlineStr">
        <is>
          <t>achatpublic@longjumeau.fr</t>
        </is>
      </c>
      <c r="J10" t="inlineStr">
        <is>
          <t>0345400225</t>
        </is>
      </c>
      <c r="K10" t="inlineStr"/>
      <c r="L10" t="inlineStr"/>
      <c r="M10" t="inlineStr"/>
      <c r="N10" t="inlineStr">
        <is>
          <t>91</t>
        </is>
      </c>
      <c r="O10" t="inlineStr"/>
      <c r="P10" t="inlineStr">
        <is>
          <t>Ile-de-France</t>
        </is>
      </c>
      <c r="Q10" s="15" t="n">
        <v>46252</v>
      </c>
      <c r="R10" s="15" t="n">
        <v>46289</v>
      </c>
      <c r="S10" s="14" t="n">
        <v>85000</v>
      </c>
      <c r="T10" t="inlineStr">
        <is>
          <t>BUDGET_SOUS_SEUIL</t>
        </is>
      </c>
      <c r="U10" t="inlineStr">
        <is>
          <t>21250</t>
        </is>
      </c>
      <c r="V10" t="inlineStr">
        <is>
          <t>oui</t>
        </is>
      </c>
      <c r="W10" t="inlineStr">
        <is>
          <t>Mixte/Autre</t>
        </is>
      </c>
      <c r="X10" t="inlineStr">
        <is>
          <t>Mairie</t>
        </is>
      </c>
      <c r="Y10" t="inlineStr">
        <is>
          <t>SERVICES</t>
        </is>
      </c>
      <c r="Z10" t="inlineStr">
        <is>
          <t>Procédure Ouverte</t>
        </is>
      </c>
      <c r="AA10" t="inlineStr">
        <is>
          <t>Avis de marché</t>
        </is>
      </c>
      <c r="AB10" t="inlineStr">
        <is>
          <t>Matériel agricole, horticole</t>
        </is>
      </c>
      <c r="AC10" t="inlineStr"/>
      <c r="AD10" s="11" t="inlineStr">
        <is>
          <t>https://www.boamp.fr/pages/avis/?q=idweb:26-80939</t>
        </is>
      </c>
      <c r="AE10" t="inlineStr">
        <is>
          <t>http://longjumeau.e-marchespublics.com</t>
        </is>
      </c>
      <c r="AF10" t="inlineStr">
        <is>
          <t>http://longjumeau.e-marchespublics.com</t>
        </is>
      </c>
      <c r="AG10" t="inlineStr">
        <is>
          <t>nettoyage</t>
        </is>
      </c>
      <c r="AH10" t="inlineStr">
        <is>
          <t>3</t>
        </is>
      </c>
      <c r="AI10" t="inlineStr">
        <is>
          <t>68</t>
        </is>
      </c>
      <c r="AJ10" t="inlineStr">
        <is>
          <t>INFO_PARTIELLE</t>
        </is>
      </c>
      <c r="AK10" t="inlineStr">
        <is>
          <t>73.5</t>
        </is>
      </c>
      <c r="AL10" s="13" t="inlineStr">
        <is>
          <t>CHAUD</t>
        </is>
      </c>
      <c r="AM10">
        <f>MIN(100,MAX(0,IF(OR(ISNUMBER(SEARCH("nettoyage",C10)),ISNUMBER(SEARCH("proprete",C10)),ISNUMBER(SEARCH("entretien",C10)),ISNUMBER(SEARCH("hygiene",C10))),35,0)+IF(SUM(--(N10="75")+--(O10="75"),--(N10="77")+--(O10="77"),--(N10="78")+--(O10="78"),--(N10="91")+--(O10="91"),--(N10="92")+--(O10="92"),--(N10="93")+--(O10="93"),--(N10="94")+--(O10="94"),--(N10="95")+--(O10="95"))&gt;0,25,4)+IF(S10="",10,IF(S10&lt;=50000,25,IF(S10&lt;=100000,20,IF(S10&lt;=200000,5,IF(S10&lt;=500000,-10,-20)))))+IF(I10&lt;&gt;"",4,0)+IF(J10&lt;&gt;"",4,0)+IF(E10&lt;&gt;"",3,0)+IF(K10&lt;&gt;"",2,0)+IF(M10&lt;&gt;"",1,0)+IF(AD10&lt;&gt;"",1,0)+IF(R10="",0,IF(R10&lt;TODAY(),-30,IF(R10&lt;TODAY()+5,-15,IF(R10&lt;=TODAY()+15,5,10))))))</f>
        <v/>
      </c>
      <c r="AN10">
        <f>IF(AM10&gt;=65,"CHAUD",IF(AM10&gt;=40,"TIEDE","FROID"))</f>
        <v/>
      </c>
      <c r="AO10">
        <f>IF((IF(I10&lt;&gt;"",1,0)+IF(J10&lt;&gt;"",1,0)+IF(E10&lt;&gt;"",1,0)+IF(K10&lt;&gt;"",1,0))&gt;=4,"Complet",IF((IF(I10&lt;&gt;"",1,0)+IF(J10&lt;&gt;"",1,0)+IF(E10&lt;&gt;"",1,0)+IF(K10&lt;&gt;"",1,0))&gt;=2,"Partiel","Vide"))</f>
        <v/>
      </c>
      <c r="AP10">
        <f>IF(AJ10="DCE_A_TELECHARGER","Telecharger DCE",IF(T10="A_VERIFIER_BUDGET","Verifier budget",IF(AN10="CHAUD","Contacter maintenant",IF(AN10="TIEDE","Surveiller / relancer","Basse priorite"))))</f>
        <v/>
      </c>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26-80939. Objet: Plantation et entretien du patrimoine arboré des propriétés communales. Acheteur: Ville de Longjumeau. Lien: https://www.boamp.fr/pages/avis/?q=idweb:26-80939.</t>
        </is>
      </c>
      <c r="AU10" t="inlineStr">
        <is>
          <t>Verifier url_avis et DCE si disponible</t>
        </is>
      </c>
      <c r="AV10" t="inlineStr"/>
      <c r="AW10" t="inlineStr"/>
      <c r="AX10" t="inlineStr"/>
      <c r="AY10" t="inlineStr"/>
      <c r="AZ10" t="inlineStr"/>
      <c r="BA10" t="inlineStr"/>
      <c r="BB10" t="inlineStr">
        <is>
          <t>+28.5 mots-cles nettoyage forts (1 termes) | +25.0 budget annualise 21 250 EUR | +10 secteur cible Mairie | +8.5 delai 24 j | +1.5 dossier renseigne (3/4)</t>
        </is>
      </c>
      <c r="BC10" t="inlineStr">
        <is>
          <t>Ville de Longjumeau publie un AO potentiellement pertinent pour CHRUTH : Plantation et entretien du patrimoine arboré des propriétés communales. Zone : 91. Budget detecte environ 85 000 EUR. Verifier le lien source avant contact.</t>
        </is>
      </c>
      <c r="BD10" t="inlineStr">
        <is>
          <t>Bonjour,
Je me permets de vous contacter au sujet de votre appel d'offres : Plantation et entretien du patrimoine arboré des propriétés communales.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10"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2026-W34</t>
        </is>
      </c>
    </row>
    <row r="11">
      <c r="A11" t="inlineStr">
        <is>
          <t>BOAMP</t>
        </is>
      </c>
      <c r="B11" t="inlineStr">
        <is>
          <t>26-80740</t>
        </is>
      </c>
      <c r="C11" t="inlineStr">
        <is>
          <t>Entretien Ménager - Service Ordures Ménagères -</t>
        </is>
      </c>
      <c r="D11" t="inlineStr">
        <is>
          <t>SAEM de construction Maisons-Laffitte</t>
        </is>
      </c>
      <c r="E11" t="inlineStr"/>
      <c r="F11" t="inlineStr"/>
      <c r="G11" t="inlineStr">
        <is>
          <t>VEGAS M.JUAN CARLOS</t>
        </is>
      </c>
      <c r="H11" t="inlineStr"/>
      <c r="I11" t="inlineStr">
        <is>
          <t>service.saem@maisonslaffitte.fr</t>
        </is>
      </c>
      <c r="J11" t="inlineStr">
        <is>
          <t>0134937166</t>
        </is>
      </c>
      <c r="K11" t="inlineStr"/>
      <c r="L11" t="inlineStr">
        <is>
          <t>78605</t>
        </is>
      </c>
      <c r="M11" t="inlineStr">
        <is>
          <t>Maisons-Laffitte Cedex</t>
        </is>
      </c>
      <c r="N11" t="inlineStr">
        <is>
          <t>78</t>
        </is>
      </c>
      <c r="O11" t="inlineStr"/>
      <c r="P11" t="inlineStr">
        <is>
          <t>Ile-de-France</t>
        </is>
      </c>
      <c r="Q11" s="15" t="n">
        <v>46248</v>
      </c>
      <c r="R11" s="15" t="n">
        <v>46326</v>
      </c>
      <c r="S11" t="inlineStr"/>
      <c r="T11" t="inlineStr">
        <is>
          <t>A_VERIFIER_BUDGET</t>
        </is>
      </c>
      <c r="U11" t="inlineStr"/>
      <c r="V11" t="inlineStr">
        <is>
          <t>non</t>
        </is>
      </c>
      <c r="W11" t="inlineStr">
        <is>
          <t>Vitres</t>
        </is>
      </c>
      <c r="X11" t="inlineStr">
        <is>
          <t>Autre</t>
        </is>
      </c>
      <c r="Y11" t="inlineStr">
        <is>
          <t>SERVICES</t>
        </is>
      </c>
      <c r="Z11" t="inlineStr">
        <is>
          <t>Procédure Adaptée</t>
        </is>
      </c>
      <c r="AA11" t="inlineStr">
        <is>
          <t>Avis de marché</t>
        </is>
      </c>
      <c r="AB11" t="inlineStr">
        <is>
          <t>Nettoyage de locaux</t>
        </is>
      </c>
      <c r="AC11" t="inlineStr"/>
      <c r="AD11" s="11" t="inlineStr">
        <is>
          <t>https://www.boamp.fr/pages/avis/?q=idweb:26-80740</t>
        </is>
      </c>
      <c r="AE11" t="inlineStr">
        <is>
          <t>https://www.e-marchespublics.com/appel-offre/1178203</t>
        </is>
      </c>
      <c r="AF11" t="inlineStr">
        <is>
          <t>https://www.e-marchespublics.com/appel-offre/1178203</t>
        </is>
      </c>
      <c r="AG11" t="inlineStr">
        <is>
          <t>nettoyage, menage, entretien menager</t>
        </is>
      </c>
      <c r="AH11" t="inlineStr">
        <is>
          <t>4</t>
        </is>
      </c>
      <c r="AI11" t="inlineStr">
        <is>
          <t>90</t>
        </is>
      </c>
      <c r="AJ11" t="inlineStr">
        <is>
          <t>INFO_PARTIELLE</t>
        </is>
      </c>
      <c r="AK11" t="inlineStr">
        <is>
          <t>71.0</t>
        </is>
      </c>
      <c r="AL11" s="13" t="inlineStr">
        <is>
          <t>CHAUD</t>
        </is>
      </c>
      <c r="AM11">
        <f>MIN(100,MAX(0,IF(OR(ISNUMBER(SEARCH("nettoyage",C11)),ISNUMBER(SEARCH("proprete",C11)),ISNUMBER(SEARCH("entretien",C11)),ISNUMBER(SEARCH("hygiene",C11))),35,0)+IF(SUM(--(N11="75")+--(O11="75"),--(N11="77")+--(O11="77"),--(N11="78")+--(O11="78"),--(N11="91")+--(O11="91"),--(N11="92")+--(O11="92"),--(N11="93")+--(O11="93"),--(N11="94")+--(O11="94"),--(N11="95")+--(O11="95"))&gt;0,25,4)+IF(S11="",10,IF(S11&lt;=50000,25,IF(S11&lt;=100000,20,IF(S11&lt;=200000,5,IF(S11&lt;=500000,-10,-20)))))+IF(I11&lt;&gt;"",4,0)+IF(J11&lt;&gt;"",4,0)+IF(E11&lt;&gt;"",3,0)+IF(K11&lt;&gt;"",2,0)+IF(M11&lt;&gt;"",1,0)+IF(AD11&lt;&gt;"",1,0)+IF(R11="",0,IF(R11&lt;TODAY(),-30,IF(R11&lt;TODAY()+5,-15,IF(R11&lt;=TODAY()+15,5,10))))))</f>
        <v/>
      </c>
      <c r="AN11">
        <f>IF(AM11&gt;=65,"CHAUD",IF(AM11&gt;=40,"TIEDE","FROID"))</f>
        <v/>
      </c>
      <c r="AO11">
        <f>IF((IF(I11&lt;&gt;"",1,0)+IF(J11&lt;&gt;"",1,0)+IF(E11&lt;&gt;"",1,0)+IF(K11&lt;&gt;"",1,0))&gt;=4,"Complet",IF((IF(I11&lt;&gt;"",1,0)+IF(J11&lt;&gt;"",1,0)+IF(E11&lt;&gt;"",1,0)+IF(K11&lt;&gt;"",1,0))&gt;=2,"Partiel","Vide"))</f>
        <v/>
      </c>
      <c r="AP11">
        <f>IF(AJ11="DCE_A_TELECHARGER","Telecharger DCE",IF(T11="A_VERIFIER_BUDGET","Verifier budget",IF(AN11="CHAUD","Contacter maintenant",IF(AN11="TIEDE","Surveiller / relancer","Basse priorite"))))</f>
        <v/>
      </c>
      <c r="AQ11" t="inlineStr">
        <is>
          <t>IA_BUDGET_A_VERIFIER</t>
        </is>
      </c>
      <c r="AR11" t="inlineStr">
        <is>
          <t>Verifier le budget dans l'avis source ou le DCE avant decision commerciale.</t>
        </is>
      </c>
      <c r="AS11" t="inlineStr">
        <is>
          <t>SIRET, adresse,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+15 procedure adaptee / MAPA / allotissement | +10.0 delai 61 j | +2.0 dossier renseigne (4/4)</t>
        </is>
      </c>
      <c r="BC11" t="inlineStr">
        <is>
          <t>SAEM de construction Maisons-Laffitte publie un AO potentiellement pertinent pour CHRUTH : Entretien Ménager - Service Ordures Ménagères -. Zone : Maisons-Laffitte Cedex. Budget a verifier. Verifier le lien source avant contact.</t>
        </is>
      </c>
      <c r="BD11"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11"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26-78436</t>
        </is>
      </c>
      <c r="C12" t="inlineStr">
        <is>
          <t>Nettoyage Des Batiments Communaux Et Nettoyage Des Vitres</t>
        </is>
      </c>
      <c r="D12" t="inlineStr">
        <is>
          <t>Mairie De Gouvernes</t>
        </is>
      </c>
      <c r="E12" t="inlineStr">
        <is>
          <t>21770209100018</t>
        </is>
      </c>
      <c r="F12" t="inlineStr">
        <is>
          <t>217702091</t>
        </is>
      </c>
      <c r="G12" t="inlineStr">
        <is>
          <t>Service Commande publique</t>
        </is>
      </c>
      <c r="H12" t="inlineStr"/>
      <c r="I12" t="inlineStr"/>
      <c r="J12" t="inlineStr">
        <is>
          <t>0209100018</t>
        </is>
      </c>
      <c r="K12" t="inlineStr">
        <is>
          <t>FR102 - Seine-et-Marne</t>
        </is>
      </c>
      <c r="L12" t="inlineStr">
        <is>
          <t>77400</t>
        </is>
      </c>
      <c r="M12" t="inlineStr">
        <is>
          <t>GOUVERNES</t>
        </is>
      </c>
      <c r="N12" t="inlineStr">
        <is>
          <t>77</t>
        </is>
      </c>
      <c r="O12" t="inlineStr"/>
      <c r="P12" t="inlineStr">
        <is>
          <t>Ile-de-France</t>
        </is>
      </c>
      <c r="Q12" s="15" t="n">
        <v>46240</v>
      </c>
      <c r="R12" s="15" t="n">
        <v>46279</v>
      </c>
      <c r="S12" s="14" t="n">
        <v>77400</v>
      </c>
      <c r="T12" t="inlineStr">
        <is>
          <t>BUDGET_SOUS_SEUIL</t>
        </is>
      </c>
      <c r="U12" t="inlineStr">
        <is>
          <t>77400.0</t>
        </is>
      </c>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https://www.boamp.fr/pages/avis/?q=idweb:26-78436</t>
        </is>
      </c>
      <c r="AE12" t="inlineStr">
        <is>
          <t>https://www.marches-publics.info/mpiaws/index.cfm?fuseaction=dematent.login&amp;type=Dce&amp;Idm=1859473</t>
        </is>
      </c>
      <c r="AF12" t="inlineStr">
        <is>
          <t>https://www.marches-publics.info/mpiaws/index.cfm?fuseaction=dematent.login&amp;type=Dce&amp;Idm=1859473</t>
        </is>
      </c>
      <c r="AG12" t="inlineStr">
        <is>
          <t>nettoyage</t>
        </is>
      </c>
      <c r="AH12" t="inlineStr">
        <is>
          <t>5</t>
        </is>
      </c>
      <c r="AI12" t="inlineStr">
        <is>
          <t>88</t>
        </is>
      </c>
      <c r="AJ12" t="inlineStr">
        <is>
          <t>INFO_PARTIELLE</t>
        </is>
      </c>
      <c r="AK12" t="inlineStr">
        <is>
          <t>70.5</t>
        </is>
      </c>
      <c r="AL12" s="13" t="inlineStr">
        <is>
          <t>CHAUD</t>
        </is>
      </c>
      <c r="AM12">
        <f>MIN(100,MAX(0,IF(OR(ISNUMBER(SEARCH("nettoyage",C12)),ISNUMBER(SEARCH("proprete",C12)),ISNUMBER(SEARCH("entretien",C12)),ISNUMBER(SEARCH("hygiene",C12))),35,0)+IF(SUM(--(N12="75")+--(O12="75"),--(N12="77")+--(O12="77"),--(N12="78")+--(O12="78"),--(N12="91")+--(O12="91"),--(N12="92")+--(O12="92"),--(N12="93")+--(O12="93"),--(N12="94")+--(O12="94"),--(N12="95")+--(O12="95"))&gt;0,25,4)+IF(S12="",10,IF(S12&lt;=50000,25,IF(S12&lt;=100000,20,IF(S12&lt;=200000,5,IF(S12&lt;=500000,-10,-20)))))+IF(I12&lt;&gt;"",4,0)+IF(J12&lt;&gt;"",4,0)+IF(E12&lt;&gt;"",3,0)+IF(K12&lt;&gt;"",2,0)+IF(M12&lt;&gt;"",1,0)+IF(AD12&lt;&gt;"",1,0)+IF(R12="",0,IF(R12&lt;TODAY(),-30,IF(R12&lt;TODAY()+5,-15,IF(R12&lt;=TODAY()+15,5,10))))))</f>
        <v/>
      </c>
      <c r="AN12">
        <f>IF(AM12&gt;=65,"CHAUD",IF(AM12&gt;=40,"TIEDE","FROID"))</f>
        <v/>
      </c>
      <c r="AO12">
        <f>IF((IF(I12&lt;&gt;"",1,0)+IF(J12&lt;&gt;"",1,0)+IF(E12&lt;&gt;"",1,0)+IF(K12&lt;&gt;"",1,0))&gt;=4,"Complet",IF((IF(I12&lt;&gt;"",1,0)+IF(J12&lt;&gt;"",1,0)+IF(E12&lt;&gt;"",1,0)+IF(K12&lt;&gt;"",1,0))&gt;=2,"Partiel","Vide"))</f>
        <v/>
      </c>
      <c r="AP12">
        <f>IF(AJ12="DCE_A_TELECHARGER","Telecharger DCE",IF(T12="A_VERIFIER_BUDGET","Verifier budget",IF(AN12="CHAUD","Contacter maintenant",IF(AN12="TIEDE","Surveiller / relancer","Basse priorite"))))</f>
        <v/>
      </c>
      <c r="AQ12" t="inlineStr">
        <is>
          <t>IA_CONTACT_A_COMPLETER</t>
        </is>
      </c>
      <c r="AR12" t="inlineStr">
        <is>
          <t>Completer les champs manquants depuis l'avis source, le site acheteur ou le DCE.</t>
        </is>
      </c>
      <c r="AS12" t="inlineStr">
        <is>
          <t>email</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26-78436. Objet: Nettoyage Des Batiments Communaux Et Nettoyage Des Vitres. Acheteur: Mairie De Gouvernes. Lien: https://www.boamp.fr/pages/avis/?q=idweb:26-78436.</t>
        </is>
      </c>
      <c r="AU12" t="inlineStr">
        <is>
          <t>Verifier url_avis et DCE si disponible</t>
        </is>
      </c>
      <c r="AV12" t="inlineStr">
        <is>
          <t>LIEN_SEUL</t>
        </is>
      </c>
      <c r="AW12" t="inlineStr"/>
      <c r="AX12" t="inlineStr"/>
      <c r="AY12" t="inlineStr"/>
      <c r="AZ12" t="inlineStr"/>
      <c r="BA12" t="inlineStr"/>
      <c r="BB12" t="inlineStr">
        <is>
          <t>+33.5 nettoyage + categorie claire (1 termes) | +19.5 budget annualise 77 400 EUR | +10 secteur cible Mairie | +6.0 delai 14 j | +1.5 dossier renseigne (3/4)</t>
        </is>
      </c>
      <c r="BC12" t="inlineStr">
        <is>
          <t>Mairie De Gouvernes publie un AO potentiellement pertinent pour CHRUTH : Nettoyage Des Batiments Communaux Et Nettoyage Des Vitres. Zone : GOUVERNES. Budget detecte environ 77 400 EUR. Verifier le lien source avant contact.</t>
        </is>
      </c>
      <c r="BD12" t="inlineStr">
        <is>
          <t>Bonjour,
Je me permets de vous contacter au sujet de votre appel d'offres : Nettoyage Des Batiments Communaux Et Nettoyage Des Vitres.
CHRUTH accompagne les structures publiques et privées sur les besoins de nettoyage, d'entretien des locaux et d'organisation de prestations de service.
Serait-il possible d'échanger rapidement afin de vérifier les modalités de réponse et les attentes de Mairie De Gouvernes ?
Cordialement,</t>
        </is>
      </c>
      <c r="BE12" t="inlineStr">
        <is>
          <t>Bonjour, je vous appelle concernant un appel d'offres publié par Mairie De Gouvernes.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2026-W32</t>
        </is>
      </c>
    </row>
    <row r="13">
      <c r="A13" t="inlineStr">
        <is>
          <t>BOAMP</t>
        </is>
      </c>
      <c r="B13" t="inlineStr">
        <is>
          <t>26-70858</t>
        </is>
      </c>
      <c r="C13" t="inlineStr">
        <is>
          <t>Nettoyage des locaux de l'EPAMSA</t>
        </is>
      </c>
      <c r="D13" t="inlineStr">
        <is>
          <t>EPAMSA</t>
        </is>
      </c>
      <c r="E13" t="inlineStr">
        <is>
          <t>41063810000033</t>
        </is>
      </c>
      <c r="F13" t="inlineStr">
        <is>
          <t>410638100</t>
        </is>
      </c>
      <c r="G13" t="inlineStr">
        <is>
          <t>Courteille</t>
        </is>
      </c>
      <c r="H13" t="inlineStr"/>
      <c r="I13" t="inlineStr">
        <is>
          <t>t.courteille@epamsa.fr</t>
        </is>
      </c>
      <c r="J13" t="inlineStr">
        <is>
          <t>0638100000</t>
        </is>
      </c>
      <c r="K13" t="inlineStr">
        <is>
          <t>Mantes-la-Jolie</t>
        </is>
      </c>
      <c r="L13" t="inlineStr">
        <is>
          <t>78200</t>
        </is>
      </c>
      <c r="M13" t="inlineStr">
        <is>
          <t>MANTES-LA-JOLIE</t>
        </is>
      </c>
      <c r="N13" t="inlineStr">
        <is>
          <t>78</t>
        </is>
      </c>
      <c r="O13" t="inlineStr"/>
      <c r="P13" t="inlineStr">
        <is>
          <t>Ile-de-France</t>
        </is>
      </c>
      <c r="Q13" s="15" t="n">
        <v>46219</v>
      </c>
      <c r="R13" s="15" t="n">
        <v>46269</v>
      </c>
      <c r="S13" s="14" t="n">
        <v>78200</v>
      </c>
      <c r="T13" t="inlineStr">
        <is>
          <t>BUDGET_SOUS_SEUIL</t>
        </is>
      </c>
      <c r="U13" t="inlineStr">
        <is>
          <t>19550</t>
        </is>
      </c>
      <c r="V13" t="inlineStr">
        <is>
          <t>oui</t>
        </is>
      </c>
      <c r="W13" t="inlineStr">
        <is>
          <t>Batiments</t>
        </is>
      </c>
      <c r="X13" t="inlineStr">
        <is>
          <t>Autre</t>
        </is>
      </c>
      <c r="Y13" t="inlineStr">
        <is>
          <t>SERVICES</t>
        </is>
      </c>
      <c r="Z13" t="inlineStr">
        <is>
          <t>Procédure Ouverte</t>
        </is>
      </c>
      <c r="AA13" t="inlineStr">
        <is>
          <t>Avis de marché</t>
        </is>
      </c>
      <c r="AB13" t="inlineStr">
        <is>
          <t>Nettoyage de locaux</t>
        </is>
      </c>
      <c r="AC13" t="inlineStr">
        <is>
          <t>['sociaux', 'environnementaux']</t>
        </is>
      </c>
      <c r="AD13" s="11" t="inlineStr">
        <is>
          <t>https://www.boamp.fr/pages/avis/?q=idweb:26-70858</t>
        </is>
      </c>
      <c r="AE13" t="inlineStr">
        <is>
          <t>https://www.marches-publics.gouv.fr/entreprise/consultation/3039334?orgAcronyme=d4t</t>
        </is>
      </c>
      <c r="AF13" t="inlineStr">
        <is>
          <t>https://www.marches-publics.gouv.fr/entreprise/consultation/3039334?orgAcronyme=d4t</t>
        </is>
      </c>
      <c r="AG13" t="inlineStr">
        <is>
          <t>nettoyage</t>
        </is>
      </c>
      <c r="AH13" t="inlineStr">
        <is>
          <t>6</t>
        </is>
      </c>
      <c r="AI13" t="inlineStr">
        <is>
          <t>98</t>
        </is>
      </c>
      <c r="AJ13" t="inlineStr">
        <is>
          <t>INFO_PARTIELLE</t>
        </is>
      </c>
      <c r="AK13" t="inlineStr">
        <is>
          <t>70</t>
        </is>
      </c>
      <c r="AL13" s="13" t="inlineStr">
        <is>
          <t>CHAUD</t>
        </is>
      </c>
      <c r="AM13">
        <f>MIN(100,MAX(0,IF(OR(ISNUMBER(SEARCH("nettoyage",C13)),ISNUMBER(SEARCH("proprete",C13)),ISNUMBER(SEARCH("entretien",C13)),ISNUMBER(SEARCH("hygiene",C13))),35,0)+IF(SUM(--(N13="75")+--(O13="75"),--(N13="77")+--(O13="77"),--(N13="78")+--(O13="78"),--(N13="91")+--(O13="91"),--(N13="92")+--(O13="92"),--(N13="93")+--(O13="93"),--(N13="94")+--(O13="94"),--(N13="95")+--(O13="95"))&gt;0,25,4)+IF(S13="",10,IF(S13&lt;=50000,25,IF(S13&lt;=100000,20,IF(S13&lt;=200000,5,IF(S13&lt;=500000,-10,-20)))))+IF(I13&lt;&gt;"",4,0)+IF(J13&lt;&gt;"",4,0)+IF(E13&lt;&gt;"",3,0)+IF(K13&lt;&gt;"",2,0)+IF(M13&lt;&gt;"",1,0)+IF(AD13&lt;&gt;"",1,0)+IF(R13="",0,IF(R13&lt;TODAY(),-30,IF(R13&lt;TODAY()+5,-15,IF(R13&lt;=TODAY()+15,5,10))))))</f>
        <v/>
      </c>
      <c r="AN13">
        <f>IF(AM13&gt;=65,"CHAUD",IF(AM13&gt;=40,"TIEDE","FROID"))</f>
        <v/>
      </c>
      <c r="AO13">
        <f>IF((IF(I13&lt;&gt;"",1,0)+IF(J13&lt;&gt;"",1,0)+IF(E13&lt;&gt;"",1,0)+IF(K13&lt;&gt;"",1,0))&gt;=4,"Complet",IF((IF(I13&lt;&gt;"",1,0)+IF(J13&lt;&gt;"",1,0)+IF(E13&lt;&gt;"",1,0)+IF(K13&lt;&gt;"",1,0))&gt;=2,"Partiel","Vide"))</f>
        <v/>
      </c>
      <c r="AP13">
        <f>IF(AJ13="DCE_A_TELECHARGER","Telecharger DCE",IF(T13="A_VERIFIER_BUDGET","Verifier budget",IF(AN13="CHAUD","Contacter maintenant",IF(AN13="TIEDE","Surveiller / relancer","Basse priorite"))))</f>
        <v/>
      </c>
      <c r="AQ13" t="inlineStr">
        <is>
          <t>IA_CONTROLE_SOURCE</t>
        </is>
      </c>
      <c r="AR13" t="inlineStr">
        <is>
          <t>Verifier rapidement la source avant contact.</t>
        </is>
      </c>
      <c r="AS13" t="inlineStr">
        <is>
          <t>Aucun champ critique manquant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13" t="inlineStr">
        <is>
          <t>Verifier url_avis et DCE si disponible</t>
        </is>
      </c>
      <c r="AV13" t="inlineStr"/>
      <c r="AW13" t="inlineStr"/>
      <c r="AX13" t="inlineStr"/>
      <c r="AY13" t="inlineStr"/>
      <c r="AZ13" t="inlineStr"/>
      <c r="BA13" t="inlineStr"/>
      <c r="BB13" t="inlineStr">
        <is>
          <t>+35 nettoyage + categorie claire | +25 budget annualise &lt;= 50 000 EUR | +10 delai confortable 38j</t>
        </is>
      </c>
      <c r="BC13" t="inlineStr">
        <is>
          <t>EPAMSA publie un AO potentiellement pertinent pour CHRUTH : Nettoyage des locaux de l'EPAMSA. Zone : MANTES-LA-JOLIE. Budget detecte environ 78 200 EUR. Verifier le lien source avant contact.</t>
        </is>
      </c>
      <c r="BD13"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13"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26-70565</t>
        </is>
      </c>
      <c r="C14" t="inlineStr">
        <is>
          <t>TRAVAUX D'AMÉNAGEMENT INTÉRIEUR DU R+1 ET COMBLE DE LA FERME DURPÉ</t>
        </is>
      </c>
      <c r="D14" t="inlineStr">
        <is>
          <t>COMMUNE DE MAGNY LE HONGRE</t>
        </is>
      </c>
      <c r="E14" t="inlineStr">
        <is>
          <t>21770268700013</t>
        </is>
      </c>
      <c r="F14" t="inlineStr">
        <is>
          <t>217702687</t>
        </is>
      </c>
      <c r="G14" t="inlineStr">
        <is>
          <t>M. SOW LAMARANA</t>
        </is>
      </c>
      <c r="H14" t="inlineStr"/>
      <c r="I14" t="inlineStr">
        <is>
          <t>service-mp@magnylehongre.fr</t>
        </is>
      </c>
      <c r="J14" t="inlineStr">
        <is>
          <t>0268700013</t>
        </is>
      </c>
      <c r="K14" t="inlineStr">
        <is>
          <t>1 rue de l'Église - 77700 MAGNY LE HONGRE</t>
        </is>
      </c>
      <c r="L14" t="inlineStr">
        <is>
          <t>77700</t>
        </is>
      </c>
      <c r="M14" t="inlineStr">
        <is>
          <t>MAGNY LE HONGRE</t>
        </is>
      </c>
      <c r="N14" t="inlineStr">
        <is>
          <t>77,75,78,91</t>
        </is>
      </c>
      <c r="O14" t="inlineStr"/>
      <c r="P14" t="inlineStr">
        <is>
          <t>Ile-de-France</t>
        </is>
      </c>
      <c r="Q14" s="15" t="n">
        <v>46218</v>
      </c>
      <c r="R14" s="15" t="n">
        <v>46275</v>
      </c>
      <c r="S14" s="14" t="n">
        <v>77700</v>
      </c>
      <c r="T14" t="inlineStr">
        <is>
          <t>BUDGET_SOUS_SEUIL</t>
        </is>
      </c>
      <c r="U14" t="inlineStr">
        <is>
          <t>77700.0</t>
        </is>
      </c>
      <c r="V14" t="inlineStr">
        <is>
          <t>non</t>
        </is>
      </c>
      <c r="W14" t="inlineStr">
        <is>
          <t>Mixte/Autre</t>
        </is>
      </c>
      <c r="X14" t="inlineStr">
        <is>
          <t>Mairie</t>
        </is>
      </c>
      <c r="Y14" t="inlineStr">
        <is>
          <t>TRAVAUX</t>
        </is>
      </c>
      <c r="Z14" t="inlineStr">
        <is>
          <t>Procédure Ouverte</t>
        </is>
      </c>
      <c r="AA14" t="inlineStr">
        <is>
          <t>Avis de marché</t>
        </is>
      </c>
      <c r="AB14" t="inlineStr">
        <is>
          <t>Plomberie (travaux), Peinture (travaux), Electricité (travaux)</t>
        </is>
      </c>
      <c r="AC14" t="inlineStr">
        <is>
          <t>['environnementaux']</t>
        </is>
      </c>
      <c r="AD14" s="11" t="inlineStr">
        <is>
          <t>https://www.boamp.fr/pages/avis/?q=idweb:26-70565</t>
        </is>
      </c>
      <c r="AE14" t="inlineStr">
        <is>
          <t>https://marches.maximilien.fr/?page=Entreprise.EntrepriseAdvancedSearch&amp;AllCons&amp;id=942965&amp;orgAcronyme=a4d</t>
        </is>
      </c>
      <c r="AF14" t="inlineStr">
        <is>
          <t>https://marches.maximilien.fr/?page=Entreprise.EntrepriseAdvancedSearch&amp;AllCons&amp;id=942965&amp;orgAcronyme=a4d</t>
        </is>
      </c>
      <c r="AG14" t="inlineStr">
        <is>
          <t>nettoyage</t>
        </is>
      </c>
      <c r="AH14" t="inlineStr">
        <is>
          <t>6</t>
        </is>
      </c>
      <c r="AI14" t="inlineStr">
        <is>
          <t>98</t>
        </is>
      </c>
      <c r="AJ14" t="inlineStr">
        <is>
          <t>INFO_PARTIELLE</t>
        </is>
      </c>
      <c r="AK14" t="inlineStr">
        <is>
          <t>70</t>
        </is>
      </c>
      <c r="AL14" s="13" t="inlineStr">
        <is>
          <t>CHAUD</t>
        </is>
      </c>
      <c r="AM14">
        <f>MIN(100,MAX(0,IF(OR(ISNUMBER(SEARCH("nettoyage",C14)),ISNUMBER(SEARCH("proprete",C14)),ISNUMBER(SEARCH("entretien",C14)),ISNUMBER(SEARCH("hygiene",C14))),35,0)+IF(SUM(--(N14="75")+--(O14="75"),--(N14="77")+--(O14="77"),--(N14="78")+--(O14="78"),--(N14="91")+--(O14="91"),--(N14="92")+--(O14="92"),--(N14="93")+--(O14="93"),--(N14="94")+--(O14="94"),--(N14="95")+--(O14="95"))&gt;0,25,4)+IF(S14="",10,IF(S14&lt;=50000,25,IF(S14&lt;=100000,20,IF(S14&lt;=200000,5,IF(S14&lt;=500000,-10,-20)))))+IF(I14&lt;&gt;"",4,0)+IF(J14&lt;&gt;"",4,0)+IF(E14&lt;&gt;"",3,0)+IF(K14&lt;&gt;"",2,0)+IF(M14&lt;&gt;"",1,0)+IF(AD14&lt;&gt;"",1,0)+IF(R14="",0,IF(R14&lt;TODAY(),-30,IF(R14&lt;TODAY()+5,-15,IF(R14&lt;=TODAY()+15,5,10))))))</f>
        <v/>
      </c>
      <c r="AN14">
        <f>IF(AM14&gt;=65,"CHAUD",IF(AM14&gt;=40,"TIEDE","FROID"))</f>
        <v/>
      </c>
      <c r="AO14">
        <f>IF((IF(I14&lt;&gt;"",1,0)+IF(J14&lt;&gt;"",1,0)+IF(E14&lt;&gt;"",1,0)+IF(K14&lt;&gt;"",1,0))&gt;=4,"Complet",IF((IF(I14&lt;&gt;"",1,0)+IF(J14&lt;&gt;"",1,0)+IF(E14&lt;&gt;"",1,0)+IF(K14&lt;&gt;"",1,0))&gt;=2,"Partiel","Vide"))</f>
        <v/>
      </c>
      <c r="AP14">
        <f>IF(AJ14="DCE_A_TELECHARGER","Telecharger DCE",IF(T14="A_VERIFIER_BUDGET","Verifier budget",IF(AN14="CHAUD","Contacter maintenant",IF(AN14="TIEDE","Surveiller / relancer","Basse priorite"))))</f>
        <v/>
      </c>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14" t="inlineStr">
        <is>
          <t>Verifier url_avis et DCE si disponible</t>
        </is>
      </c>
      <c r="AV14" t="inlineStr"/>
      <c r="AW14" t="inlineStr"/>
      <c r="AX14" t="inlineStr"/>
      <c r="AY14" t="inlineStr"/>
      <c r="AZ14" t="inlineStr"/>
      <c r="BA14" t="inlineStr"/>
      <c r="BB14" t="inlineStr">
        <is>
          <t>+30 mots-cles nettoyage forts | +20 budget annualise &lt;= 100 000 EUR | +10 secteur cible Mairie | +10 delai confortable 44j</t>
        </is>
      </c>
      <c r="BC14" t="inlineStr">
        <is>
          <t>COMMUNE DE MAGNY LE HONGRE publie un AO potentiellement pertinent pour CHRUTH : TRAVAUX D'AMÉNAGEMENT INTÉRIEUR DU R+1 ET COMBLE DE LA FERME DURPÉ. Zone : MAGNY LE HONGRE. Budget detecte environ 77 700 EUR. Verifier le lien source avant contact.</t>
        </is>
      </c>
      <c r="BD14"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14"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2026-W29</t>
        </is>
      </c>
    </row>
    <row r="15">
      <c r="A15" t="inlineStr">
        <is>
          <t>BOAMP</t>
        </is>
      </c>
      <c r="B15" t="inlineStr">
        <is>
          <t>26-83338</t>
        </is>
      </c>
      <c r="C15" t="inlineStr">
        <is>
          <t>Nettoyage Des Vitres Dans Les Batiments Communaux</t>
        </is>
      </c>
      <c r="D15" t="inlineStr">
        <is>
          <t>Mairie de Bonneuil sur Marne</t>
        </is>
      </c>
      <c r="E15" t="inlineStr">
        <is>
          <t>21940011600014</t>
        </is>
      </c>
      <c r="F15" t="inlineStr">
        <is>
          <t>219400116</t>
        </is>
      </c>
      <c r="G15" t="inlineStr">
        <is>
          <t>Ville de Bonneuil sur Marne</t>
        </is>
      </c>
      <c r="H15" t="inlineStr"/>
      <c r="I15" t="inlineStr"/>
      <c r="J15" t="inlineStr">
        <is>
          <t>+33 145143880</t>
        </is>
      </c>
      <c r="K15" t="inlineStr">
        <is>
          <t>FR107 - Val-de-Marne, Bâtiments communaux de la ville de Bonneuil sur Marne</t>
        </is>
      </c>
      <c r="L15" t="inlineStr">
        <is>
          <t>94380</t>
        </is>
      </c>
      <c r="M15" t="inlineStr">
        <is>
          <t>Bonneuil-sur-Marne</t>
        </is>
      </c>
      <c r="N15" t="inlineStr">
        <is>
          <t>94</t>
        </is>
      </c>
      <c r="O15" t="inlineStr"/>
      <c r="P15" t="inlineStr">
        <is>
          <t>Ile-de-France</t>
        </is>
      </c>
      <c r="Q15" s="15" t="n">
        <v>46260</v>
      </c>
      <c r="R15" s="15" t="n">
        <v>46290</v>
      </c>
      <c r="S15" s="14" t="n">
        <v>94380</v>
      </c>
      <c r="T15" t="inlineStr">
        <is>
          <t>BUDGET_SOUS_SEUIL</t>
        </is>
      </c>
      <c r="U15" t="inlineStr">
        <is>
          <t>94380.0</t>
        </is>
      </c>
      <c r="V15" t="inlineStr">
        <is>
          <t>non</t>
        </is>
      </c>
      <c r="W15" t="inlineStr">
        <is>
          <t>Vitres</t>
        </is>
      </c>
      <c r="X15" t="inlineStr">
        <is>
          <t>Mairie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https://www.boamp.fr/pages/avis/?q=idweb:26-83338</t>
        </is>
      </c>
      <c r="AE15" t="inlineStr">
        <is>
          <t>https://www.marches-publics.info/mpiaws/index.cfm?fuseaction=dematent.login&amp;type=Dce&amp;Idm=1864838</t>
        </is>
      </c>
      <c r="AF15" t="inlineStr">
        <is>
          <t>https://www.marches-publics.info/mpiaws/index.cfm?fuseaction=dematent.login&amp;type=Dce&amp;Idm=1864838</t>
        </is>
      </c>
      <c r="AG15" t="inlineStr">
        <is>
          <t>nettoyage</t>
        </is>
      </c>
      <c r="AH15" t="inlineStr">
        <is>
          <t>5</t>
        </is>
      </c>
      <c r="AI15" t="inlineStr">
        <is>
          <t>88</t>
        </is>
      </c>
      <c r="AJ15" t="inlineStr">
        <is>
          <t>INFO_PARTIELLE</t>
        </is>
      </c>
      <c r="AK15" t="inlineStr">
        <is>
          <t>69.9</t>
        </is>
      </c>
      <c r="AL15" s="13" t="inlineStr">
        <is>
          <t>CHAUD</t>
        </is>
      </c>
      <c r="AM15">
        <f>MIN(100,MAX(0,IF(OR(ISNUMBER(SEARCH("nettoyage",C15)),ISNUMBER(SEARCH("proprete",C15)),ISNUMBER(SEARCH("entretien",C15)),ISNUMBER(SEARCH("hygiene",C15))),35,0)+IF(SUM(--(N15="75")+--(O15="75"),--(N15="77")+--(O15="77"),--(N15="78")+--(O15="78"),--(N15="91")+--(O15="91"),--(N15="92")+--(O15="92"),--(N15="93")+--(O15="93"),--(N15="94")+--(O15="94"),--(N15="95")+--(O15="95"))&gt;0,25,4)+IF(S15="",10,IF(S15&lt;=50000,25,IF(S15&lt;=100000,20,IF(S15&lt;=200000,5,IF(S15&lt;=500000,-10,-20)))))+IF(I15&lt;&gt;"",4,0)+IF(J15&lt;&gt;"",4,0)+IF(E15&lt;&gt;"",3,0)+IF(K15&lt;&gt;"",2,0)+IF(M15&lt;&gt;"",1,0)+IF(AD15&lt;&gt;"",1,0)+IF(R15="",0,IF(R15&lt;TODAY(),-30,IF(R15&lt;TODAY()+5,-15,IF(R15&lt;=TODAY()+15,5,10))))))</f>
        <v/>
      </c>
      <c r="AN15">
        <f>IF(AM15&gt;=65,"CHAUD",IF(AM15&gt;=40,"TIEDE","FROID"))</f>
        <v/>
      </c>
      <c r="AO15">
        <f>IF((IF(I15&lt;&gt;"",1,0)+IF(J15&lt;&gt;"",1,0)+IF(E15&lt;&gt;"",1,0)+IF(K15&lt;&gt;"",1,0))&gt;=4,"Complet",IF((IF(I15&lt;&gt;"",1,0)+IF(J15&lt;&gt;"",1,0)+IF(E15&lt;&gt;"",1,0)+IF(K15&lt;&gt;"",1,0))&gt;=2,"Partiel","Vide"))</f>
        <v/>
      </c>
      <c r="AP15">
        <f>IF(AJ15="DCE_A_TELECHARGER","Telecharger DCE",IF(T15="A_VERIFIER_BUDGET","Verifier budget",IF(AN15="CHAUD","Contacter maintenant",IF(AN15="TIEDE","Surveiller / relancer","Basse priorite"))))</f>
        <v/>
      </c>
      <c r="AQ15" t="inlineStr">
        <is>
          <t>IA_CONTACT_A_COMPLETER</t>
        </is>
      </c>
      <c r="AR15" t="inlineStr">
        <is>
          <t>Completer les champs manquants depuis l'avis source, le site acheteur ou le DCE.</t>
        </is>
      </c>
      <c r="AS15" t="inlineStr">
        <is>
          <t>email</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26-83338. Objet: Nettoyage Des Vitres Dans Les Batiments Communaux. Acheteur: Mairie de Bonneuil sur Marne. Lien: https://www.boamp.fr/pages/avis/?q=idweb:26-83338.</t>
        </is>
      </c>
      <c r="AU15" t="inlineStr">
        <is>
          <t>Verifier url_avis et DCE si disponible</t>
        </is>
      </c>
      <c r="AV15" t="inlineStr">
        <is>
          <t>LIEN_SEUL</t>
        </is>
      </c>
      <c r="AW15" t="inlineStr"/>
      <c r="AX15" t="inlineStr"/>
      <c r="AY15" t="inlineStr"/>
      <c r="AZ15" t="inlineStr"/>
      <c r="BA15" t="inlineStr"/>
      <c r="BB15" t="inlineStr">
        <is>
          <t>+33.5 nettoyage + categorie claire (1 termes) | +16.1 budget annualise 94 380 EUR | +10 secteur cible Mairie | +8.8 delai 25 j | +1.5 dossier renseigne (3/4)</t>
        </is>
      </c>
      <c r="BC15" t="inlineStr">
        <is>
          <t>Mairie de Bonneuil sur Marne publie un AO potentiellement pertinent pour CHRUTH : Nettoyage Des Vitres Dans Les Batiments Communaux. Zone : Bonneuil-sur-Marne. Budget detecte environ 94 380 EUR. Verifier le lien source avant contact.</t>
        </is>
      </c>
      <c r="BD15" t="inlineStr">
        <is>
          <t>Bonjour,
Je me permets de vous contacter au sujet de votre appel d'offres : Nettoyage Des Vitres Dans Les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Bonneuil sur Marne ?
Cordialement,</t>
        </is>
      </c>
      <c r="BE15" t="inlineStr">
        <is>
          <t>Bonjour, je vous appelle concernant un appel d'offres publié par Mairie de Bonneuil sur Marne.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2026-W35</t>
        </is>
      </c>
    </row>
    <row r="16">
      <c r="A16" t="inlineStr">
        <is>
          <t>BOAMP</t>
        </is>
      </c>
      <c r="B16" t="inlineStr">
        <is>
          <t>26-84191</t>
        </is>
      </c>
      <c r="C16" t="inlineStr">
        <is>
          <t>Nettoyage et entretien des locaux des bâtiments communaux</t>
        </is>
      </c>
      <c r="D16" t="inlineStr">
        <is>
          <t>Mairie d'Emerainville</t>
        </is>
      </c>
      <c r="E16" t="inlineStr">
        <is>
          <t>21770169700013</t>
        </is>
      </c>
      <c r="F16" t="inlineStr">
        <is>
          <t>217701697</t>
        </is>
      </c>
      <c r="G16" t="inlineStr"/>
      <c r="H16" t="inlineStr"/>
      <c r="I16" t="inlineStr">
        <is>
          <t>maire@mairie-emerainville.fr</t>
        </is>
      </c>
      <c r="J16" t="inlineStr">
        <is>
          <t>0169700013</t>
        </is>
      </c>
      <c r="K16" t="inlineStr"/>
      <c r="L16" t="inlineStr"/>
      <c r="M16" t="inlineStr"/>
      <c r="N16" t="inlineStr">
        <is>
          <t>77</t>
        </is>
      </c>
      <c r="O16" t="inlineStr"/>
      <c r="P16" t="inlineStr">
        <is>
          <t>Ile-de-France</t>
        </is>
      </c>
      <c r="Q16" s="15" t="n">
        <v>46264</v>
      </c>
      <c r="R16" s="15" t="n">
        <v>46293</v>
      </c>
      <c r="S16" t="inlineStr"/>
      <c r="T16" t="inlineStr">
        <is>
          <t>A_VERIFIER_BUDGET</t>
        </is>
      </c>
      <c r="U16" t="inlineStr"/>
      <c r="V16" t="inlineStr">
        <is>
          <t>non</t>
        </is>
      </c>
      <c r="W16" t="inlineStr">
        <is>
          <t>Bureaux</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https://www.boamp.fr/pages/avis/?q=idweb:26-84191</t>
        </is>
      </c>
      <c r="AE16" t="inlineStr">
        <is>
          <t>https://www.mairie-emerainville.fr/</t>
        </is>
      </c>
      <c r="AF16" t="inlineStr"/>
      <c r="AG16" t="inlineStr">
        <is>
          <t>nettoyage, proprete, entretien des locaux, hygiene des locaux</t>
        </is>
      </c>
      <c r="AH16" t="inlineStr">
        <is>
          <t>3</t>
        </is>
      </c>
      <c r="AI16" t="inlineStr">
        <is>
          <t>92</t>
        </is>
      </c>
      <c r="AJ16" t="inlineStr">
        <is>
          <t>INFO_PARTIELLE</t>
        </is>
      </c>
      <c r="AK16" t="inlineStr">
        <is>
          <t>66.0</t>
        </is>
      </c>
      <c r="AL16" s="13" t="inlineStr">
        <is>
          <t>CHAUD</t>
        </is>
      </c>
      <c r="AM16">
        <f>MIN(100,MAX(0,IF(OR(ISNUMBER(SEARCH("nettoyage",C16)),ISNUMBER(SEARCH("proprete",C16)),ISNUMBER(SEARCH("entretien",C16)),ISNUMBER(SEARCH("hygiene",C16))),35,0)+IF(SUM(--(N16="75")+--(O16="75"),--(N16="77")+--(O16="77"),--(N16="78")+--(O16="78"),--(N16="91")+--(O16="91"),--(N16="92")+--(O16="92"),--(N16="93")+--(O16="93"),--(N16="94")+--(O16="94"),--(N16="95")+--(O16="95"))&gt;0,25,4)+IF(S16="",10,IF(S16&lt;=50000,25,IF(S16&lt;=100000,20,IF(S16&lt;=200000,5,IF(S16&lt;=500000,-10,-20)))))+IF(I16&lt;&gt;"",4,0)+IF(J16&lt;&gt;"",4,0)+IF(E16&lt;&gt;"",3,0)+IF(K16&lt;&gt;"",2,0)+IF(M16&lt;&gt;"",1,0)+IF(AD16&lt;&gt;"",1,0)+IF(R16="",0,IF(R16&lt;TODAY(),-30,IF(R16&lt;TODAY()+5,-15,IF(R16&lt;=TODAY()+15,5,10))))))</f>
        <v/>
      </c>
      <c r="AN16">
        <f>IF(AM16&gt;=65,"CHAUD",IF(AM16&gt;=40,"TIEDE","FROID"))</f>
        <v/>
      </c>
      <c r="AO16">
        <f>IF((IF(I16&lt;&gt;"",1,0)+IF(J16&lt;&gt;"",1,0)+IF(E16&lt;&gt;"",1,0)+IF(K16&lt;&gt;"",1,0))&gt;=4,"Complet",IF((IF(I16&lt;&gt;"",1,0)+IF(J16&lt;&gt;"",1,0)+IF(E16&lt;&gt;"",1,0)+IF(K16&lt;&gt;"",1,0))&gt;=2,"Partiel","Vide"))</f>
        <v/>
      </c>
      <c r="AP16">
        <f>IF(AJ16="DCE_A_TELECHARGER","Telecharger DCE",IF(T16="A_VERIFIER_BUDGET","Verifier budget",IF(AN16="CHAUD","Contacter maintenant",IF(AN16="TIEDE","Surveiller / relancer","Basse priorite"))))</f>
        <v/>
      </c>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16" t="inlineStr">
        <is>
          <t>Verifier url_avis et DCE si disponible</t>
        </is>
      </c>
      <c r="AV16" t="inlineStr">
        <is>
          <t>LIEN_SEUL</t>
        </is>
      </c>
      <c r="AW16" t="inlineStr"/>
      <c r="AX16" t="inlineStr"/>
      <c r="AY16" t="inlineStr"/>
      <c r="AZ16" t="inlineStr"/>
      <c r="BA16" t="inlineStr"/>
      <c r="BB16" t="inlineStr">
        <is>
          <t>+35.0 nettoyage + categorie claire (4 termes) | +10 budget non affiche (a verifier) | +10 secteur cible Mairie | +9.5 delai 28 j | +1.5 dossier renseigne (3/4)</t>
        </is>
      </c>
      <c r="BC16" t="inlineStr">
        <is>
          <t>Mairie d'Emerainville publie un AO potentiellement pertinent pour CHRUTH : Nettoyage et entretien des locaux des bâtiments communaux. Zone : 77. Budget a verifier. Verifier le lien source avant contact.</t>
        </is>
      </c>
      <c r="BD16"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16"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2026-W35</t>
        </is>
      </c>
    </row>
    <row r="17">
      <c r="A17" t="inlineStr">
        <is>
          <t>BOAMP</t>
        </is>
      </c>
      <c r="B17" t="inlineStr">
        <is>
          <t>26-78821</t>
        </is>
      </c>
      <c r="C17" t="inlineStr">
        <is>
          <t>Prestations de nettoyage des locaux et des vitreries du Complexe Sportif et Culturel Camille Muffat.</t>
        </is>
      </c>
      <c r="D17" t="inlineStr">
        <is>
          <t>Seine Spport Culture</t>
        </is>
      </c>
      <c r="E17" t="inlineStr">
        <is>
          <t>99057630800011</t>
        </is>
      </c>
      <c r="F17" t="inlineStr">
        <is>
          <t>990576308</t>
        </is>
      </c>
      <c r="G17" t="inlineStr"/>
      <c r="H17" t="inlineStr"/>
      <c r="I17" t="inlineStr">
        <is>
          <t>fabien.lague@clichyhall.com</t>
        </is>
      </c>
      <c r="J17" t="inlineStr">
        <is>
          <t>0576308000</t>
        </is>
      </c>
      <c r="K17" t="inlineStr"/>
      <c r="L17" t="inlineStr"/>
      <c r="M17" t="inlineStr"/>
      <c r="N17" t="inlineStr">
        <is>
          <t>92</t>
        </is>
      </c>
      <c r="O17" t="inlineStr"/>
      <c r="P17" t="inlineStr">
        <is>
          <t>Ile-de-France</t>
        </is>
      </c>
      <c r="Q17" s="15" t="n">
        <v>46242</v>
      </c>
      <c r="R17" s="15" t="n">
        <v>46295</v>
      </c>
      <c r="S17" t="inlineStr"/>
      <c r="T17" t="inlineStr">
        <is>
          <t>A_VERIFIER_BUDGET</t>
        </is>
      </c>
      <c r="U17" t="inlineStr"/>
      <c r="V17" t="inlineStr">
        <is>
          <t>non</t>
        </is>
      </c>
      <c r="W17" t="inlineStr">
        <is>
          <t>Vitres</t>
        </is>
      </c>
      <c r="X17" t="inlineStr">
        <is>
          <t>Gymnase</t>
        </is>
      </c>
      <c r="Y17" t="inlineStr">
        <is>
          <t>SERVICES</t>
        </is>
      </c>
      <c r="Z17" t="inlineStr">
        <is>
          <t>Procédure Ouverte</t>
        </is>
      </c>
      <c r="AA17" t="inlineStr">
        <is>
          <t>Avis de marché</t>
        </is>
      </c>
      <c r="AB17" t="inlineStr">
        <is>
          <t>Nettoyage de locaux</t>
        </is>
      </c>
      <c r="AC17" t="inlineStr"/>
      <c r="AD17" s="11" t="inlineStr">
        <is>
          <t>https://www.boamp.fr/pages/avis/?q=idweb:26-78821</t>
        </is>
      </c>
      <c r="AE17" t="inlineStr">
        <is>
          <t>https://marches.maximilien.fr/entreprise/consultation/945004?orgAcronyme=a7k</t>
        </is>
      </c>
      <c r="AF17" t="inlineStr">
        <is>
          <t>https://marches.maximilien.fr/entreprise/consultation/945004?orgAcronyme=a7k</t>
        </is>
      </c>
      <c r="AG17" t="inlineStr">
        <is>
          <t>nettoyage, menage, desinfection</t>
        </is>
      </c>
      <c r="AH17" t="inlineStr">
        <is>
          <t>3</t>
        </is>
      </c>
      <c r="AI17" t="inlineStr">
        <is>
          <t>80</t>
        </is>
      </c>
      <c r="AJ17" t="inlineStr">
        <is>
          <t>INFO_PARTIELLE</t>
        </is>
      </c>
      <c r="AK17" t="inlineStr">
        <is>
          <t>65.5</t>
        </is>
      </c>
      <c r="AL17" s="13" t="inlineStr">
        <is>
          <t>CHAUD</t>
        </is>
      </c>
      <c r="AM17">
        <f>MIN(100,MAX(0,IF(OR(ISNUMBER(SEARCH("nettoyage",C17)),ISNUMBER(SEARCH("proprete",C17)),ISNUMBER(SEARCH("entretien",C17)),ISNUMBER(SEARCH("hygiene",C17))),35,0)+IF(SUM(--(N17="75")+--(O17="75"),--(N17="77")+--(O17="77"),--(N17="78")+--(O17="78"),--(N17="91")+--(O17="91"),--(N17="92")+--(O17="92"),--(N17="93")+--(O17="93"),--(N17="94")+--(O17="94"),--(N17="95")+--(O17="95"))&gt;0,25,4)+IF(S17="",10,IF(S17&lt;=50000,25,IF(S17&lt;=100000,20,IF(S17&lt;=200000,5,IF(S17&lt;=500000,-10,-20)))))+IF(I17&lt;&gt;"",4,0)+IF(J17&lt;&gt;"",4,0)+IF(E17&lt;&gt;"",3,0)+IF(K17&lt;&gt;"",2,0)+IF(M17&lt;&gt;"",1,0)+IF(AD17&lt;&gt;"",1,0)+IF(R17="",0,IF(R17&lt;TODAY(),-30,IF(R17&lt;TODAY()+5,-15,IF(R17&lt;=TODAY()+15,5,10))))))</f>
        <v/>
      </c>
      <c r="AN17">
        <f>IF(AM17&gt;=65,"CHAUD",IF(AM17&gt;=40,"TIEDE","FROID"))</f>
        <v/>
      </c>
      <c r="AO17">
        <f>IF((IF(I17&lt;&gt;"",1,0)+IF(J17&lt;&gt;"",1,0)+IF(E17&lt;&gt;"",1,0)+IF(K17&lt;&gt;"",1,0))&gt;=4,"Complet",IF((IF(I17&lt;&gt;"",1,0)+IF(J17&lt;&gt;"",1,0)+IF(E17&lt;&gt;"",1,0)+IF(K17&lt;&gt;"",1,0))&gt;=2,"Partiel","Vide"))</f>
        <v/>
      </c>
      <c r="AP17">
        <f>IF(AJ17="DCE_A_TELECHARGER","Telecharger DCE",IF(T17="A_VERIFIER_BUDGET","Verifier budget",IF(AN17="CHAUD","Contacter maintenant",IF(AN17="TIEDE","Surveiller / relancer","Basse priorite"))))</f>
        <v/>
      </c>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17" t="inlineStr">
        <is>
          <t>Verifier url_avis et DCE si disponible</t>
        </is>
      </c>
      <c r="AV17" t="inlineStr">
        <is>
          <t>LIEN_SEUL</t>
        </is>
      </c>
      <c r="AW17" t="inlineStr"/>
      <c r="AX17" t="inlineStr"/>
      <c r="AY17" t="inlineStr"/>
      <c r="AZ17" t="inlineStr"/>
      <c r="BA17" t="inlineStr"/>
      <c r="BB17" t="inlineStr">
        <is>
          <t>+34.0 nettoyage + categorie claire (2 termes) | +10 budget non affiche (a verifier) | +10 secteur cible Gymnase | +10.0 delai 30 j | +1.5 dossier renseigne (3/4)</t>
        </is>
      </c>
      <c r="BC17" t="inlineStr">
        <is>
          <t>Seine Spport Culture publie un AO potentiellement pertinent pour CHRUTH : Prestations de nettoyage des locaux et des vitreries du Complexe Sportif et Culturel Camille Muffat.. Zone : 92. Budget a verifier. Verifier le lien source avant contact.</t>
        </is>
      </c>
      <c r="BD17"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17"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2026-W32</t>
        </is>
      </c>
    </row>
    <row r="18">
      <c r="A18" t="inlineStr">
        <is>
          <t>BOAMP</t>
        </is>
      </c>
      <c r="B18" t="inlineStr">
        <is>
          <t>26-80807</t>
        </is>
      </c>
      <c r="C18" t="inlineStr">
        <is>
          <t>PRESTATION DE NETTOYAGE, D’ENTRETIEN COURANT ET DE BLANCHISSERIE : STRUCTURES PETITE ENFANCE - MAISON DE L’ENFANCE « NICOLE CHAPEL », CRECHE COLLECTIVE « LES DAUPHINS » ET HALTE-GARDERIE « LES POUS...</t>
        </is>
      </c>
      <c r="D18" t="inlineStr">
        <is>
          <t>VILLE DE MELUN, Pôle ressources, Services à la population et Transition Ecologique</t>
        </is>
      </c>
      <c r="E18" t="inlineStr">
        <is>
          <t>21770288500013</t>
        </is>
      </c>
      <c r="F18" t="inlineStr">
        <is>
          <t>217702885</t>
        </is>
      </c>
      <c r="G18" t="inlineStr"/>
      <c r="H18" t="inlineStr"/>
      <c r="I18" t="inlineStr">
        <is>
          <t>Commande.publique@ville-melun.fr</t>
        </is>
      </c>
      <c r="J18" t="inlineStr">
        <is>
          <t>0288500013</t>
        </is>
      </c>
      <c r="K18" t="inlineStr"/>
      <c r="L18" t="inlineStr"/>
      <c r="M18" t="inlineStr"/>
      <c r="N18" t="inlineStr">
        <is>
          <t>77,91,93,75</t>
        </is>
      </c>
      <c r="O18" t="inlineStr"/>
      <c r="P18" t="inlineStr">
        <is>
          <t>Ile-de-France</t>
        </is>
      </c>
      <c r="Q18" s="15" t="n">
        <v>46250</v>
      </c>
      <c r="R18" s="15" t="n">
        <v>46294</v>
      </c>
      <c r="S18" t="inlineStr"/>
      <c r="T18" t="inlineStr">
        <is>
          <t>A_VERIFIER_BUDGET</t>
        </is>
      </c>
      <c r="U18" t="inlineStr"/>
      <c r="V18" t="inlineStr">
        <is>
          <t>non</t>
        </is>
      </c>
      <c r="W18" t="inlineStr">
        <is>
          <t>Batiments</t>
        </is>
      </c>
      <c r="X18" t="inlineStr">
        <is>
          <t>Ecole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https://www.boamp.fr/pages/avis/?q=idweb:26-80807</t>
        </is>
      </c>
      <c r="AE18" t="inlineStr">
        <is>
          <t>https://www.ville-melun.fr/la-ville/marches-publics</t>
        </is>
      </c>
      <c r="AF18" t="inlineStr"/>
      <c r="AG18" t="inlineStr">
        <is>
          <t>nettoyage, proprete</t>
        </is>
      </c>
      <c r="AH18" t="inlineStr">
        <is>
          <t>3</t>
        </is>
      </c>
      <c r="AI18" t="inlineStr">
        <is>
          <t>76</t>
        </is>
      </c>
      <c r="AJ18" t="inlineStr">
        <is>
          <t>INFO_PARTIELLE</t>
        </is>
      </c>
      <c r="AK18" t="inlineStr">
        <is>
          <t>65.2</t>
        </is>
      </c>
      <c r="AL18" s="13" t="inlineStr">
        <is>
          <t>CHAUD</t>
        </is>
      </c>
      <c r="AM18">
        <f>MIN(100,MAX(0,IF(OR(ISNUMBER(SEARCH("nettoyage",C18)),ISNUMBER(SEARCH("proprete",C18)),ISNUMBER(SEARCH("entretien",C18)),ISNUMBER(SEARCH("hygiene",C18))),35,0)+IF(SUM(--(N18="75")+--(O18="75"),--(N18="77")+--(O18="77"),--(N18="78")+--(O18="78"),--(N18="91")+--(O18="91"),--(N18="92")+--(O18="92"),--(N18="93")+--(O18="93"),--(N18="94")+--(O18="94"),--(N18="95")+--(O18="95"))&gt;0,25,4)+IF(S18="",10,IF(S18&lt;=50000,25,IF(S18&lt;=100000,20,IF(S18&lt;=200000,5,IF(S18&lt;=500000,-10,-20)))))+IF(I18&lt;&gt;"",4,0)+IF(J18&lt;&gt;"",4,0)+IF(E18&lt;&gt;"",3,0)+IF(K18&lt;&gt;"",2,0)+IF(M18&lt;&gt;"",1,0)+IF(AD18&lt;&gt;"",1,0)+IF(R18="",0,IF(R18&lt;TODAY(),-30,IF(R18&lt;TODAY()+5,-15,IF(R18&lt;=TODAY()+15,5,10))))))</f>
        <v/>
      </c>
      <c r="AN18">
        <f>IF(AM18&gt;=65,"CHAUD",IF(AM18&gt;=40,"TIEDE","FROID"))</f>
        <v/>
      </c>
      <c r="AO18">
        <f>IF((IF(I18&lt;&gt;"",1,0)+IF(J18&lt;&gt;"",1,0)+IF(E18&lt;&gt;"",1,0)+IF(K18&lt;&gt;"",1,0))&gt;=4,"Complet",IF((IF(I18&lt;&gt;"",1,0)+IF(J18&lt;&gt;"",1,0)+IF(E18&lt;&gt;"",1,0)+IF(K18&lt;&gt;"",1,0))&gt;=2,"Partiel","Vide"))</f>
        <v/>
      </c>
      <c r="AP18">
        <f>IF(AJ18="DCE_A_TELECHARGER","Telecharger DCE",IF(T18="A_VERIFIER_BUDGET","Verifier budget",IF(AN18="CHAUD","Contacter maintenant",IF(AN18="TIEDE","Surveiller / relancer","Basse priorite"))))</f>
        <v/>
      </c>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18" t="inlineStr">
        <is>
          <t>Verifier url_avis et DCE si disponible</t>
        </is>
      </c>
      <c r="AV18" t="inlineStr">
        <is>
          <t>LIEN_SEUL</t>
        </is>
      </c>
      <c r="AW18" t="inlineStr"/>
      <c r="AX18" t="inlineStr"/>
      <c r="AY18" t="inlineStr"/>
      <c r="AZ18" t="inlineStr"/>
      <c r="BA18" t="inlineStr"/>
      <c r="BB18" t="inlineStr">
        <is>
          <t>+34.0 nettoyage + categorie claire (2 termes) | +10 budget non affiche (a verifier) | +10 secteur cible Ecole | +9.8 delai 29 j | +1.5 dossier renseigne (3/4)</t>
        </is>
      </c>
      <c r="BC18"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18"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18"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2026-W33</t>
        </is>
      </c>
    </row>
    <row r="19">
      <c r="A19" t="inlineStr">
        <is>
          <t>BOAMP</t>
        </is>
      </c>
      <c r="B19" t="inlineStr">
        <is>
          <t>26-82481</t>
        </is>
      </c>
      <c r="C19" t="inlineStr">
        <is>
          <t>NETTOYAGE DES LOCAUX DANS LES ETABLISSMENTS DE LA PETITE ENFANCE</t>
        </is>
      </c>
      <c r="D19" t="inlineStr">
        <is>
          <t>Ville de Levallois</t>
        </is>
      </c>
      <c r="E19" t="inlineStr"/>
      <c r="F19" t="inlineStr"/>
      <c r="G19" t="inlineStr"/>
      <c r="H19" t="inlineStr"/>
      <c r="I19" t="inlineStr">
        <is>
          <t>publications-joue@aws-france.com</t>
        </is>
      </c>
      <c r="J19" t="inlineStr">
        <is>
          <t>+33480041260</t>
        </is>
      </c>
      <c r="K19" t="inlineStr"/>
      <c r="L19" t="inlineStr"/>
      <c r="M19" t="inlineStr"/>
      <c r="N19" t="inlineStr">
        <is>
          <t>92</t>
        </is>
      </c>
      <c r="O19" t="inlineStr"/>
      <c r="P19" t="inlineStr">
        <is>
          <t>Ile-de-France</t>
        </is>
      </c>
      <c r="Q19" s="15" t="n">
        <v>46257</v>
      </c>
      <c r="R19" s="15" t="n">
        <v>46297</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c r="AD19" s="11" t="inlineStr">
        <is>
          <t>https://www.boamp.fr/pages/avis/?q=idweb:26-82481</t>
        </is>
      </c>
      <c r="AE19" t="inlineStr">
        <is>
          <t>https://www.marches-publics.info/mpiaws/index.cfm?fuseaction=dematEnt.login&amp;amp;type=DCE&amp;amp;IDM=1863702</t>
        </is>
      </c>
      <c r="AF19" t="inlineStr">
        <is>
          <t>https://www.marches-publics.info/mpiaws/index.cfm?fuseaction=dematEnt.login&amp;amp;type=DCE&amp;amp;IDM=1863702</t>
        </is>
      </c>
      <c r="AG19" t="inlineStr">
        <is>
          <t>nettoyage</t>
        </is>
      </c>
      <c r="AH19" t="inlineStr">
        <is>
          <t>2</t>
        </is>
      </c>
      <c r="AI19" t="inlineStr">
        <is>
          <t>58</t>
        </is>
      </c>
      <c r="AJ19" t="inlineStr">
        <is>
          <t>INFO_PARTIELLE</t>
        </is>
      </c>
      <c r="AK19" t="inlineStr">
        <is>
          <t>65.0</t>
        </is>
      </c>
      <c r="AL19" s="13" t="inlineStr">
        <is>
          <t>CHAUD</t>
        </is>
      </c>
      <c r="AM19">
        <f>MIN(100,MAX(0,IF(OR(ISNUMBER(SEARCH("nettoyage",C19)),ISNUMBER(SEARCH("proprete",C19)),ISNUMBER(SEARCH("entretien",C19)),ISNUMBER(SEARCH("hygiene",C19))),35,0)+IF(SUM(--(N19="75")+--(O19="75"),--(N19="77")+--(O19="77"),--(N19="78")+--(O19="78"),--(N19="91")+--(O19="91"),--(N19="92")+--(O19="92"),--(N19="93")+--(O19="93"),--(N19="94")+--(O19="94"),--(N19="95")+--(O19="95"))&gt;0,25,4)+IF(S19="",10,IF(S19&lt;=50000,25,IF(S19&lt;=100000,20,IF(S19&lt;=200000,5,IF(S19&lt;=500000,-10,-20)))))+IF(I19&lt;&gt;"",4,0)+IF(J19&lt;&gt;"",4,0)+IF(E19&lt;&gt;"",3,0)+IF(K19&lt;&gt;"",2,0)+IF(M19&lt;&gt;"",1,0)+IF(AD19&lt;&gt;"",1,0)+IF(R19="",0,IF(R19&lt;TODAY(),-30,IF(R19&lt;TODAY()+5,-15,IF(R19&lt;=TODAY()+15,5,10))))))</f>
        <v/>
      </c>
      <c r="AN19">
        <f>IF(AM19&gt;=65,"CHAUD",IF(AM19&gt;=40,"TIEDE","FROID"))</f>
        <v/>
      </c>
      <c r="AO19">
        <f>IF((IF(I19&lt;&gt;"",1,0)+IF(J19&lt;&gt;"",1,0)+IF(E19&lt;&gt;"",1,0)+IF(K19&lt;&gt;"",1,0))&gt;=4,"Complet",IF((IF(I19&lt;&gt;"",1,0)+IF(J19&lt;&gt;"",1,0)+IF(E19&lt;&gt;"",1,0)+IF(K19&lt;&gt;"",1,0))&gt;=2,"Partiel","Vide"))</f>
        <v/>
      </c>
      <c r="AP19">
        <f>IF(AJ19="DCE_A_TELECHARGER","Telecharger DCE",IF(T19="A_VERIFIER_BUDGET","Verifier budget",IF(AN19="CHAUD","Contacter maintenant",IF(AN19="TIEDE","Surveiller / relancer","Basse priorite"))))</f>
        <v/>
      </c>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19" t="inlineStr">
        <is>
          <t>Verifier url_avis et DCE si disponible</t>
        </is>
      </c>
      <c r="AV19" t="inlineStr">
        <is>
          <t>LIEN_SEUL</t>
        </is>
      </c>
      <c r="AW19" t="inlineStr"/>
      <c r="AX19" t="inlineStr"/>
      <c r="AY19" t="inlineStr"/>
      <c r="AZ19" t="inlineStr"/>
      <c r="BA19" t="inlineStr"/>
      <c r="BB19" t="inlineStr">
        <is>
          <t>+33.5 nettoyage + categorie claire (1 termes) | +10 budget non affiche (a verifier) | +10 secteur cible Mairie | +10.0 delai 32 j | +1.5 dossier renseigne (3/4)</t>
        </is>
      </c>
      <c r="BC19" t="inlineStr">
        <is>
          <t>Ville de Levallois publie un AO potentiellement pertinent pour CHRUTH : NETTOYAGE DES LOCAUX DANS LES ETABLISSMENTS DE LA PETITE ENFANCE. Zone : 92. Budget a verifier. Verifier le lien source avant contact.</t>
        </is>
      </c>
      <c r="BD19"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19"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2026-W34</t>
        </is>
      </c>
    </row>
    <row r="20">
      <c r="A20" t="inlineStr">
        <is>
          <t>BOAMP</t>
        </is>
      </c>
      <c r="B20" t="inlineStr">
        <is>
          <t>26-72708</t>
        </is>
      </c>
      <c r="C20" t="inlineStr">
        <is>
          <t>Entretien ménager des locaux des sites mégalithiques de Carnac et Locmariaquer</t>
        </is>
      </c>
      <c r="D20" t="inlineStr">
        <is>
          <t>Centre Monuments Nationaux</t>
        </is>
      </c>
      <c r="E20" t="inlineStr">
        <is>
          <t>18004601300017</t>
        </is>
      </c>
      <c r="F20" t="inlineStr">
        <is>
          <t>180046013</t>
        </is>
      </c>
      <c r="G20" t="inlineStr"/>
      <c r="H20" t="inlineStr"/>
      <c r="I20" t="inlineStr">
        <is>
          <t>marches-publics@monuments-nationaux.fr</t>
        </is>
      </c>
      <c r="J20" t="inlineStr">
        <is>
          <t>0460130001</t>
        </is>
      </c>
      <c r="K20" t="inlineStr"/>
      <c r="L20" t="inlineStr"/>
      <c r="M20" t="inlineStr"/>
      <c r="N20" t="inlineStr">
        <is>
          <t>75,56</t>
        </is>
      </c>
      <c r="O20" t="inlineStr"/>
      <c r="P20" t="inlineStr">
        <is>
          <t>Ile-de-France</t>
        </is>
      </c>
      <c r="Q20" s="15" t="n">
        <v>46226</v>
      </c>
      <c r="R20" s="15" t="n">
        <v>46276</v>
      </c>
      <c r="S20" s="14" t="n">
        <v>60000</v>
      </c>
      <c r="T20" t="inlineStr">
        <is>
          <t>BUDGET_SOUS_SEUIL</t>
        </is>
      </c>
      <c r="U20" t="inlineStr">
        <is>
          <t>60000.0</t>
        </is>
      </c>
      <c r="V20" t="inlineStr">
        <is>
          <t>non</t>
        </is>
      </c>
      <c r="W20" t="inlineStr">
        <is>
          <t>Batiments</t>
        </is>
      </c>
      <c r="X20" t="inlineStr">
        <is>
          <t>Autre</t>
        </is>
      </c>
      <c r="Y20" t="inlineStr">
        <is>
          <t>SERVICES</t>
        </is>
      </c>
      <c r="Z20" t="inlineStr">
        <is>
          <t>Procédure Ouverte</t>
        </is>
      </c>
      <c r="AA20" t="inlineStr">
        <is>
          <t>Avis de marché</t>
        </is>
      </c>
      <c r="AB20" t="inlineStr">
        <is>
          <t>Nettoyage de locaux, Monuments historiques</t>
        </is>
      </c>
      <c r="AC20" t="inlineStr"/>
      <c r="AD20" s="11" t="inlineStr">
        <is>
          <t>https://www.boamp.fr/pages/avis/?q=idweb:26-72708</t>
        </is>
      </c>
      <c r="AE20" t="inlineStr">
        <is>
          <t>https://www.marches-publics.gouv.fr/entreprise</t>
        </is>
      </c>
      <c r="AF20" t="inlineStr">
        <is>
          <t>https://www.marches-publics.gouv.fr/entreprise</t>
        </is>
      </c>
      <c r="AG20" t="inlineStr">
        <is>
          <t>nettoyage, entretien menager</t>
        </is>
      </c>
      <c r="AH20" t="inlineStr">
        <is>
          <t>3</t>
        </is>
      </c>
      <c r="AI20" t="inlineStr">
        <is>
          <t>72</t>
        </is>
      </c>
      <c r="AJ20" t="inlineStr">
        <is>
          <t>INFO_PARTIELLE</t>
        </is>
      </c>
      <c r="AK20" t="inlineStr">
        <is>
          <t>65</t>
        </is>
      </c>
      <c r="AL20" s="13" t="inlineStr">
        <is>
          <t>CHAUD</t>
        </is>
      </c>
      <c r="AM20">
        <f>MIN(100,MAX(0,IF(OR(ISNUMBER(SEARCH("nettoyage",C20)),ISNUMBER(SEARCH("proprete",C20)),ISNUMBER(SEARCH("entretien",C20)),ISNUMBER(SEARCH("hygiene",C20))),35,0)+IF(SUM(--(N20="75")+--(O20="75"),--(N20="77")+--(O20="77"),--(N20="78")+--(O20="78"),--(N20="91")+--(O20="91"),--(N20="92")+--(O20="92"),--(N20="93")+--(O20="93"),--(N20="94")+--(O20="94"),--(N20="95")+--(O20="95"))&gt;0,25,4)+IF(S20="",10,IF(S20&lt;=50000,25,IF(S20&lt;=100000,20,IF(S20&lt;=200000,5,IF(S20&lt;=500000,-10,-20)))))+IF(I20&lt;&gt;"",4,0)+IF(J20&lt;&gt;"",4,0)+IF(E20&lt;&gt;"",3,0)+IF(K20&lt;&gt;"",2,0)+IF(M20&lt;&gt;"",1,0)+IF(AD20&lt;&gt;"",1,0)+IF(R20="",0,IF(R20&lt;TODAY(),-30,IF(R20&lt;TODAY()+5,-15,IF(R20&lt;=TODAY()+15,5,10))))))</f>
        <v/>
      </c>
      <c r="AN20">
        <f>IF(AM20&gt;=65,"CHAUD",IF(AM20&gt;=40,"TIEDE","FROID"))</f>
        <v/>
      </c>
      <c r="AO20">
        <f>IF((IF(I20&lt;&gt;"",1,0)+IF(J20&lt;&gt;"",1,0)+IF(E20&lt;&gt;"",1,0)+IF(K20&lt;&gt;"",1,0))&gt;=4,"Complet",IF((IF(I20&lt;&gt;"",1,0)+IF(J20&lt;&gt;"",1,0)+IF(E20&lt;&gt;"",1,0)+IF(K20&lt;&gt;"",1,0))&gt;=2,"Partiel","Vide"))</f>
        <v/>
      </c>
      <c r="AP20">
        <f>IF(AJ20="DCE_A_TELECHARGER","Telecharger DCE",IF(T20="A_VERIFIER_BUDGET","Verifier budget",IF(AN20="CHAUD","Contacter maintenant",IF(AN20="TIEDE","Surveiller / relancer","Basse priorite"))))</f>
        <v/>
      </c>
      <c r="AQ20" t="inlineStr">
        <is>
          <t>IA_CONTACT_A_COMPLETER</t>
        </is>
      </c>
      <c r="AR20" t="inlineStr">
        <is>
          <t>Completer les champs manquants depuis l'avis source, le site acheteur ou le DCE.</t>
        </is>
      </c>
      <c r="AS20" t="inlineStr">
        <is>
          <t>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45j</t>
        </is>
      </c>
      <c r="BC20" t="inlineStr">
        <is>
          <t>Centre Monuments Nationaux publie un AO potentiellement pertinent pour CHRUTH : Entretien ménager des locaux des sites mégalithiques de Carnac et Locmariaquer. Zone : 75,56. Budget detecte environ 60 000 EUR. Verifier le lien source avant contact.</t>
        </is>
      </c>
      <c r="BD20"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20"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26-71675</t>
        </is>
      </c>
      <c r="C21" t="inlineStr">
        <is>
          <t>Décontamination, dépoussiérage et reconditionnement des réserves documentaires n°2 et 3 du Château de Sceaux</t>
        </is>
      </c>
      <c r="D21" t="inlineStr">
        <is>
          <t>Département des Hauts-de-Seine</t>
        </is>
      </c>
      <c r="E21" t="inlineStr">
        <is>
          <t>22920050600611</t>
        </is>
      </c>
      <c r="F21" t="inlineStr">
        <is>
          <t>229200506</t>
        </is>
      </c>
      <c r="G21" t="inlineStr">
        <is>
          <t>cellulecontact.achats@hauts-de-seine.fr</t>
        </is>
      </c>
      <c r="H21" t="inlineStr"/>
      <c r="I21" t="inlineStr">
        <is>
          <t>cellulecontact.achats@hauts-de-seine.fr</t>
        </is>
      </c>
      <c r="J21" t="inlineStr">
        <is>
          <t>+33 806000092</t>
        </is>
      </c>
      <c r="K21" t="inlineStr">
        <is>
          <t>Château de Sceaux 92330 - SCEAUX</t>
        </is>
      </c>
      <c r="L21" t="inlineStr">
        <is>
          <t>92000</t>
        </is>
      </c>
      <c r="M21" t="inlineStr">
        <is>
          <t>NANTERRE</t>
        </is>
      </c>
      <c r="N21" t="inlineStr">
        <is>
          <t>92</t>
        </is>
      </c>
      <c r="O21" t="inlineStr"/>
      <c r="P21" t="inlineStr">
        <is>
          <t>Ile-de-France</t>
        </is>
      </c>
      <c r="Q21" s="15" t="n">
        <v>46220</v>
      </c>
      <c r="R21" s="15" t="n">
        <v>46276</v>
      </c>
      <c r="S21" s="14" t="n">
        <v>92000</v>
      </c>
      <c r="T21" t="inlineStr">
        <is>
          <t>BUDGET_SOUS_SEUIL</t>
        </is>
      </c>
      <c r="U21" t="inlineStr">
        <is>
          <t>92000.0</t>
        </is>
      </c>
      <c r="V21" t="inlineStr">
        <is>
          <t>non</t>
        </is>
      </c>
      <c r="W21" t="inlineStr">
        <is>
          <t>Batiments</t>
        </is>
      </c>
      <c r="X21" t="inlineStr">
        <is>
          <t>Autre</t>
        </is>
      </c>
      <c r="Y21" t="inlineStr">
        <is>
          <t>SERVICES</t>
        </is>
      </c>
      <c r="Z21" t="inlineStr">
        <is>
          <t>Procédure Ouverte</t>
        </is>
      </c>
      <c r="AA21" t="inlineStr">
        <is>
          <t>Avis de marché</t>
        </is>
      </c>
      <c r="AB21" t="inlineStr">
        <is>
          <t>Prestations de services</t>
        </is>
      </c>
      <c r="AC21" t="inlineStr">
        <is>
          <t>['environnementaux']</t>
        </is>
      </c>
      <c r="AD21" s="11" t="inlineStr">
        <is>
          <t>https://www.boamp.fr/pages/avis/?q=idweb:26-71675</t>
        </is>
      </c>
      <c r="AE21" t="inlineStr">
        <is>
          <t>https://www.marches-publics.info/mpiaws/index.cfm?fuseaction=dematent.login&amp;type=Dce&amp;Idm=1851815</t>
        </is>
      </c>
      <c r="AF21" t="inlineStr">
        <is>
          <t>https://www.marches-publics.info/mpiaws/index.cfm?fuseaction=dematent.login&amp;type=Dce&amp;Idm=1851815</t>
        </is>
      </c>
      <c r="AG21" t="inlineStr">
        <is>
          <t>nettoyage</t>
        </is>
      </c>
      <c r="AH21" t="inlineStr">
        <is>
          <t>6</t>
        </is>
      </c>
      <c r="AI21" t="inlineStr">
        <is>
          <t>98</t>
        </is>
      </c>
      <c r="AJ21" t="inlineStr">
        <is>
          <t>INFO_PARTIELLE</t>
        </is>
      </c>
      <c r="AK21" t="inlineStr">
        <is>
          <t>65</t>
        </is>
      </c>
      <c r="AL21" s="13" t="inlineStr">
        <is>
          <t>CHAUD</t>
        </is>
      </c>
      <c r="AM21">
        <f>MIN(100,MAX(0,IF(OR(ISNUMBER(SEARCH("nettoyage",C21)),ISNUMBER(SEARCH("proprete",C21)),ISNUMBER(SEARCH("entretien",C21)),ISNUMBER(SEARCH("hygiene",C21))),35,0)+IF(SUM(--(N21="75")+--(O21="75"),--(N21="77")+--(O21="77"),--(N21="78")+--(O21="78"),--(N21="91")+--(O21="91"),--(N21="92")+--(O21="92"),--(N21="93")+--(O21="93"),--(N21="94")+--(O21="94"),--(N21="95")+--(O21="95"))&gt;0,25,4)+IF(S21="",10,IF(S21&lt;=50000,25,IF(S21&lt;=100000,20,IF(S21&lt;=200000,5,IF(S21&lt;=500000,-10,-20)))))+IF(I21&lt;&gt;"",4,0)+IF(J21&lt;&gt;"",4,0)+IF(E21&lt;&gt;"",3,0)+IF(K21&lt;&gt;"",2,0)+IF(M21&lt;&gt;"",1,0)+IF(AD21&lt;&gt;"",1,0)+IF(R21="",0,IF(R21&lt;TODAY(),-30,IF(R21&lt;TODAY()+5,-15,IF(R21&lt;=TODAY()+15,5,10))))))</f>
        <v/>
      </c>
      <c r="AN21">
        <f>IF(AM21&gt;=65,"CHAUD",IF(AM21&gt;=40,"TIEDE","FROID"))</f>
        <v/>
      </c>
      <c r="AO21">
        <f>IF((IF(I21&lt;&gt;"",1,0)+IF(J21&lt;&gt;"",1,0)+IF(E21&lt;&gt;"",1,0)+IF(K21&lt;&gt;"",1,0))&gt;=4,"Complet",IF((IF(I21&lt;&gt;"",1,0)+IF(J21&lt;&gt;"",1,0)+IF(E21&lt;&gt;"",1,0)+IF(K21&lt;&gt;"",1,0))&gt;=2,"Partiel","Vide"))</f>
        <v/>
      </c>
      <c r="AP21">
        <f>IF(AJ21="DCE_A_TELECHARGER","Telecharger DCE",IF(T21="A_VERIFIER_BUDGET","Verifier budget",IF(AN21="CHAUD","Contacter maintenant",IF(AN21="TIEDE","Surveiller / relancer","Basse priorite"))))</f>
        <v/>
      </c>
      <c r="AQ21" t="inlineStr">
        <is>
          <t>IA_CONTROLE_SOURCE</t>
        </is>
      </c>
      <c r="AR21" t="inlineStr">
        <is>
          <t>Verifier rapidement la source avant contact.</t>
        </is>
      </c>
      <c r="AS21" t="inlineStr">
        <is>
          <t>Aucun champ critique manquant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21" t="inlineStr">
        <is>
          <t>Verifier url_avis et DCE si disponible</t>
        </is>
      </c>
      <c r="AV21" t="inlineStr"/>
      <c r="AW21" t="inlineStr"/>
      <c r="AX21" t="inlineStr"/>
      <c r="AY21" t="inlineStr"/>
      <c r="AZ21" t="inlineStr"/>
      <c r="BA21" t="inlineStr"/>
      <c r="BB21" t="inlineStr">
        <is>
          <t>+35 nettoyage + categorie claire | +20 budget annualise &lt;= 100 000 EUR | +10 delai confortable 45j</t>
        </is>
      </c>
      <c r="BC21"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21"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21"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26-71198</t>
        </is>
      </c>
      <c r="C22" t="inlineStr">
        <is>
          <t>CONCESSION DE SERVICE PUBLIC 
PORTANT SUR LA GESTION ET L'EXPLOITATION DES MARCHES FORAINS DE LA VILLE DE MONTROUGE</t>
        </is>
      </c>
      <c r="D22" t="inlineStr">
        <is>
          <t>Ville de Montrouge</t>
        </is>
      </c>
      <c r="E22" t="inlineStr"/>
      <c r="F22" t="inlineStr"/>
      <c r="G22" t="inlineStr">
        <is>
          <t>Le Bassard</t>
        </is>
      </c>
      <c r="H22" t="inlineStr"/>
      <c r="I22" t="inlineStr">
        <is>
          <t>marches@ville-montrouge.fr</t>
        </is>
      </c>
      <c r="J22" t="inlineStr">
        <is>
          <t>0146127303</t>
        </is>
      </c>
      <c r="K22" t="inlineStr"/>
      <c r="L22" t="inlineStr">
        <is>
          <t>92121</t>
        </is>
      </c>
      <c r="M22" t="inlineStr">
        <is>
          <t>Montrouge cedex</t>
        </is>
      </c>
      <c r="N22" t="inlineStr">
        <is>
          <t>92,75</t>
        </is>
      </c>
      <c r="O22" t="inlineStr"/>
      <c r="P22" t="inlineStr">
        <is>
          <t>Ile-de-France</t>
        </is>
      </c>
      <c r="Q22" s="15" t="n">
        <v>46219</v>
      </c>
      <c r="R22" s="15" t="n">
        <v>46295</v>
      </c>
      <c r="S22" t="inlineStr"/>
      <c r="T22" t="inlineStr">
        <is>
          <t>A_VERIFIER_BUDGET</t>
        </is>
      </c>
      <c r="U22" t="inlineStr"/>
      <c r="V22" t="inlineStr">
        <is>
          <t>non</t>
        </is>
      </c>
      <c r="W22" t="inlineStr">
        <is>
          <t>Batiments</t>
        </is>
      </c>
      <c r="X22" t="inlineStr">
        <is>
          <t>Mairie</t>
        </is>
      </c>
      <c r="Y22" t="inlineStr">
        <is>
          <t>SERVICES</t>
        </is>
      </c>
      <c r="Z22" t="inlineStr">
        <is>
          <t>Procédure NC</t>
        </is>
      </c>
      <c r="AA22" t="inlineStr">
        <is>
          <t>Avis de marché</t>
        </is>
      </c>
      <c r="AB22" t="inlineStr">
        <is>
          <t>Denrées alimentaires</t>
        </is>
      </c>
      <c r="AC22" t="inlineStr">
        <is>
          <t>['sociaux', 'environnementaux']</t>
        </is>
      </c>
      <c r="AD22" s="11" t="inlineStr">
        <is>
          <t>https://www.boamp.fr/pages/avis/?q=idweb:26-71198</t>
        </is>
      </c>
      <c r="AE22" t="inlineStr">
        <is>
          <t>https://www.achatpublic.com/sdm/ent2/gen/index.jsp</t>
        </is>
      </c>
      <c r="AF22" t="inlineStr">
        <is>
          <t>https://www.achatpublic.com/sdm/ent2/gen/index.jsp</t>
        </is>
      </c>
      <c r="AG22" t="inlineStr">
        <is>
          <t>nettoyage, proprete</t>
        </is>
      </c>
      <c r="AH22" t="inlineStr">
        <is>
          <t>4</t>
        </is>
      </c>
      <c r="AI22" t="inlineStr">
        <is>
          <t>86</t>
        </is>
      </c>
      <c r="AJ22" t="inlineStr">
        <is>
          <t>INFO_PARTIELLE</t>
        </is>
      </c>
      <c r="AK22" t="inlineStr">
        <is>
          <t>65</t>
        </is>
      </c>
      <c r="AL22" s="13" t="inlineStr">
        <is>
          <t>CHAUD</t>
        </is>
      </c>
      <c r="AM22">
        <f>MIN(100,MAX(0,IF(OR(ISNUMBER(SEARCH("nettoyage",C22)),ISNUMBER(SEARCH("proprete",C22)),ISNUMBER(SEARCH("entretien",C22)),ISNUMBER(SEARCH("hygiene",C22))),35,0)+IF(SUM(--(N22="75")+--(O22="75"),--(N22="77")+--(O22="77"),--(N22="78")+--(O22="78"),--(N22="91")+--(O22="91"),--(N22="92")+--(O22="92"),--(N22="93")+--(O22="93"),--(N22="94")+--(O22="94"),--(N22="95")+--(O22="95"))&gt;0,25,4)+IF(S22="",10,IF(S22&lt;=50000,25,IF(S22&lt;=100000,20,IF(S22&lt;=200000,5,IF(S22&lt;=500000,-10,-20)))))+IF(I22&lt;&gt;"",4,0)+IF(J22&lt;&gt;"",4,0)+IF(E22&lt;&gt;"",3,0)+IF(K22&lt;&gt;"",2,0)+IF(M22&lt;&gt;"",1,0)+IF(AD22&lt;&gt;"",1,0)+IF(R22="",0,IF(R22&lt;TODAY(),-30,IF(R22&lt;TODAY()+5,-15,IF(R22&lt;=TODAY()+15,5,10))))))</f>
        <v/>
      </c>
      <c r="AN22">
        <f>IF(AM22&gt;=65,"CHAUD",IF(AM22&gt;=40,"TIEDE","FROID"))</f>
        <v/>
      </c>
      <c r="AO22">
        <f>IF((IF(I22&lt;&gt;"",1,0)+IF(J22&lt;&gt;"",1,0)+IF(E22&lt;&gt;"",1,0)+IF(K22&lt;&gt;"",1,0))&gt;=4,"Complet",IF((IF(I22&lt;&gt;"",1,0)+IF(J22&lt;&gt;"",1,0)+IF(E22&lt;&gt;"",1,0)+IF(K22&lt;&gt;"",1,0))&gt;=2,"Partiel","Vide"))</f>
        <v/>
      </c>
      <c r="AP22">
        <f>IF(AJ22="DCE_A_TELECHARGER","Telecharger DCE",IF(T22="A_VERIFIER_BUDGET","Verifier budget",IF(AN22="CHAUD","Contacter maintenant",IF(AN22="TIEDE","Surveiller / relancer","Basse priorite"))))</f>
        <v/>
      </c>
      <c r="AQ22" t="inlineStr">
        <is>
          <t>IA_BUDGET_A_VERIFIER</t>
        </is>
      </c>
      <c r="AR22" t="inlineStr">
        <is>
          <t>Verifier le budget dans l'avis source ou le DCE avant decision commerciale.</t>
        </is>
      </c>
      <c r="AS22" t="inlineStr">
        <is>
          <t>SIRET, adresse,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secteur cible Mairie | +10 delai confortable 64j</t>
        </is>
      </c>
      <c r="BC22"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22"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22"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row r="23">
      <c r="A23" t="inlineStr">
        <is>
          <t>BOAMP</t>
        </is>
      </c>
      <c r="B23" t="inlineStr">
        <is>
          <t>26-83560</t>
        </is>
      </c>
      <c r="C23" t="inlineStr">
        <is>
          <t>Prestations de nettoyage des bâtiments communaux de la ville de Sceaux 2027-2030</t>
        </is>
      </c>
      <c r="D23" t="inlineStr">
        <is>
          <t>ville de sceaux</t>
        </is>
      </c>
      <c r="E23" t="inlineStr">
        <is>
          <t>21920071400018</t>
        </is>
      </c>
      <c r="F23" t="inlineStr">
        <is>
          <t>219200714</t>
        </is>
      </c>
      <c r="G23" t="inlineStr"/>
      <c r="H23" t="inlineStr"/>
      <c r="I23" t="inlineStr">
        <is>
          <t>achats@sceaux.fr</t>
        </is>
      </c>
      <c r="J23" t="inlineStr">
        <is>
          <t>+33 141133300</t>
        </is>
      </c>
      <c r="K23" t="inlineStr"/>
      <c r="L23" t="inlineStr"/>
      <c r="M23" t="inlineStr"/>
      <c r="N23" t="inlineStr">
        <is>
          <t>92</t>
        </is>
      </c>
      <c r="O23" t="inlineStr"/>
      <c r="P23" t="inlineStr">
        <is>
          <t>Ile-de-France</t>
        </is>
      </c>
      <c r="Q23" s="15" t="n">
        <v>46262</v>
      </c>
      <c r="R23" s="15" t="n">
        <v>46294</v>
      </c>
      <c r="S23" t="inlineStr"/>
      <c r="T23" t="inlineStr">
        <is>
          <t>A_VERIFIER_BUDGET</t>
        </is>
      </c>
      <c r="U23" t="inlineStr"/>
      <c r="V23" t="inlineStr">
        <is>
          <t>non</t>
        </is>
      </c>
      <c r="W23" t="inlineStr">
        <is>
          <t>Batiments</t>
        </is>
      </c>
      <c r="X23" t="inlineStr">
        <is>
          <t>Mairie</t>
        </is>
      </c>
      <c r="Y23" t="inlineStr">
        <is>
          <t>SERVICES</t>
        </is>
      </c>
      <c r="Z23" t="inlineStr">
        <is>
          <t>Procédure Ouverte</t>
        </is>
      </c>
      <c r="AA23" t="inlineStr">
        <is>
          <t>Avis de marché</t>
        </is>
      </c>
      <c r="AB23" t="inlineStr">
        <is>
          <t>Nettoyage de locaux</t>
        </is>
      </c>
      <c r="AC23" t="inlineStr"/>
      <c r="AD23" s="11" t="inlineStr">
        <is>
          <t>https://www.boamp.fr/pages/avis/?q=idweb:26-83560</t>
        </is>
      </c>
      <c r="AE23" t="inlineStr">
        <is>
          <t>https://marches.maximilien.fr/entreprise/consultation/945889?orgAcronyme=d7t</t>
        </is>
      </c>
      <c r="AF23" t="inlineStr">
        <is>
          <t>https://marches.maximilien.fr/entreprise/consultation/945889?orgAcronyme=d7t</t>
        </is>
      </c>
      <c r="AG23" t="inlineStr">
        <is>
          <t>nettoyage</t>
        </is>
      </c>
      <c r="AH23" t="inlineStr">
        <is>
          <t>3</t>
        </is>
      </c>
      <c r="AI23" t="inlineStr">
        <is>
          <t>68</t>
        </is>
      </c>
      <c r="AJ23" t="inlineStr">
        <is>
          <t>INFO_PARTIELLE</t>
        </is>
      </c>
      <c r="AK23" t="inlineStr">
        <is>
          <t>64.8</t>
        </is>
      </c>
      <c r="AL23" t="inlineStr">
        <is>
          <t>TIEDE</t>
        </is>
      </c>
      <c r="AM23">
        <f>MIN(100,MAX(0,IF(OR(ISNUMBER(SEARCH("nettoyage",C23)),ISNUMBER(SEARCH("proprete",C23)),ISNUMBER(SEARCH("entretien",C23)),ISNUMBER(SEARCH("hygiene",C23))),35,0)+IF(SUM(--(N23="75")+--(O23="75"),--(N23="77")+--(O23="77"),--(N23="78")+--(O23="78"),--(N23="91")+--(O23="91"),--(N23="92")+--(O23="92"),--(N23="93")+--(O23="93"),--(N23="94")+--(O23="94"),--(N23="95")+--(O23="95"))&gt;0,25,4)+IF(S23="",10,IF(S23&lt;=50000,25,IF(S23&lt;=100000,20,IF(S23&lt;=200000,5,IF(S23&lt;=500000,-10,-20)))))+IF(I23&lt;&gt;"",4,0)+IF(J23&lt;&gt;"",4,0)+IF(E23&lt;&gt;"",3,0)+IF(K23&lt;&gt;"",2,0)+IF(M23&lt;&gt;"",1,0)+IF(AD23&lt;&gt;"",1,0)+IF(R23="",0,IF(R23&lt;TODAY(),-30,IF(R23&lt;TODAY()+5,-15,IF(R23&lt;=TODAY()+15,5,10))))))</f>
        <v/>
      </c>
      <c r="AN23">
        <f>IF(AM23&gt;=65,"CHAUD",IF(AM23&gt;=40,"TIEDE","FROID"))</f>
        <v/>
      </c>
      <c r="AO23">
        <f>IF((IF(I23&lt;&gt;"",1,0)+IF(J23&lt;&gt;"",1,0)+IF(E23&lt;&gt;"",1,0)+IF(K23&lt;&gt;"",1,0))&gt;=4,"Complet",IF((IF(I23&lt;&gt;"",1,0)+IF(J23&lt;&gt;"",1,0)+IF(E23&lt;&gt;"",1,0)+IF(K23&lt;&gt;"",1,0))&gt;=2,"Partiel","Vide"))</f>
        <v/>
      </c>
      <c r="AP23">
        <f>IF(AJ23="DCE_A_TELECHARGER","Telecharger DCE",IF(T23="A_VERIFIER_BUDGET","Verifier budget",IF(AN23="CHAUD","Contacter maintenant",IF(AN23="TIEDE","Surveiller / relancer","Basse priorite"))))</f>
        <v/>
      </c>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26-83560. Objet: Prestations de nettoyage des bâtiments communaux de la ville de Sceaux 2027-2030. Acheteur: ville de sceaux. Lien: https://www.boamp.fr/pages/avis/?q=idweb:26-83560.</t>
        </is>
      </c>
      <c r="AU23" t="inlineStr">
        <is>
          <t>Verifier url_avis et DCE si disponible</t>
        </is>
      </c>
      <c r="AV23" t="inlineStr">
        <is>
          <t>LIEN_SEUL</t>
        </is>
      </c>
      <c r="AW23" t="inlineStr"/>
      <c r="AX23" t="inlineStr"/>
      <c r="AY23" t="inlineStr"/>
      <c r="AZ23" t="inlineStr"/>
      <c r="BA23" t="inlineStr"/>
      <c r="BB23" t="inlineStr">
        <is>
          <t>+33.5 nettoyage + categorie claire (1 termes) | +10 budget non affiche (a verifier) | +10 secteur cible Mairie | +9.8 delai 29 j | +1.5 dossier renseigne (3/4)</t>
        </is>
      </c>
      <c r="BC23" t="inlineStr">
        <is>
          <t>ville de sceaux publie un AO potentiellement pertinent pour CHRUTH : Prestations de nettoyage des bâtiments communaux de la ville de Sceaux 2027-2030. Zone : 92. Budget a verifier. Verifier le lien source avant contact.</t>
        </is>
      </c>
      <c r="BD23" t="inlineStr">
        <is>
          <t>Bonjour,
Je me permets de vous contacter au sujet de votre appel d'offres : Prestations de nettoyage des bâtiments communaux de la ville de Sceaux 2027-2030.
CHRUTH accompagne les structures publiques et privées sur les besoins de nettoyage, d'entretien des locaux et d'organisation de prestations de service.
Serait-il possible d'échanger rapidement afin de vérifier les modalités de réponse et les attentes de ville de sceaux ?
Cordialement,</t>
        </is>
      </c>
      <c r="BE23" t="inlineStr">
        <is>
          <t>Bonjour, je vous appelle concernant un appel d'offres publié par ville de sceaux.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2026-W35</t>
        </is>
      </c>
    </row>
    <row r="24">
      <c r="A24" t="inlineStr">
        <is>
          <t>BOAMP</t>
        </is>
      </c>
      <c r="B24" t="inlineStr">
        <is>
          <t>26-80351</t>
        </is>
      </c>
      <c r="C24" t="inlineStr">
        <is>
          <t>Prestations de nettoyage des vitres de l'ensemble des bâtiments communaux de la ville de Sarcelles</t>
        </is>
      </c>
      <c r="D24" t="inlineStr">
        <is>
          <t>Ville de Sarcelles</t>
        </is>
      </c>
      <c r="E24" t="inlineStr">
        <is>
          <t>21950585600019</t>
        </is>
      </c>
      <c r="F24" t="inlineStr">
        <is>
          <t>219505856</t>
        </is>
      </c>
      <c r="G24" t="inlineStr"/>
      <c r="H24" t="inlineStr"/>
      <c r="I24" t="inlineStr">
        <is>
          <t>commande.publique@sarcelles.fr</t>
        </is>
      </c>
      <c r="J24" t="inlineStr">
        <is>
          <t>0585600019</t>
        </is>
      </c>
      <c r="K24" t="inlineStr"/>
      <c r="L24" t="inlineStr"/>
      <c r="M24" t="inlineStr"/>
      <c r="N24" t="inlineStr">
        <is>
          <t>75,77,78,91,92,93,94,95</t>
        </is>
      </c>
      <c r="O24" t="inlineStr"/>
      <c r="P24" t="inlineStr">
        <is>
          <t>Ile-de-France</t>
        </is>
      </c>
      <c r="Q24" s="15" t="n">
        <v>46248</v>
      </c>
      <c r="R24" s="15" t="n">
        <v>46290</v>
      </c>
      <c r="S24" t="inlineStr"/>
      <c r="T24" t="inlineStr">
        <is>
          <t>A_VERIFIER_BUDGET</t>
        </is>
      </c>
      <c r="U24" t="inlineStr"/>
      <c r="V24" t="inlineStr">
        <is>
          <t>non</t>
        </is>
      </c>
      <c r="W24" t="inlineStr">
        <is>
          <t>Vitres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https://www.boamp.fr/pages/avis/?q=idweb:26-80351</t>
        </is>
      </c>
      <c r="AE24" t="inlineStr">
        <is>
          <t>https://sarcelles.e-marchespublics.com</t>
        </is>
      </c>
      <c r="AF24" t="inlineStr">
        <is>
          <t>https://sarcelles.e-marchespublics.com</t>
        </is>
      </c>
      <c r="AG24" t="inlineStr">
        <is>
          <t>nettoyage, proprete, proprete des locaux</t>
        </is>
      </c>
      <c r="AH24" t="inlineStr">
        <is>
          <t>3</t>
        </is>
      </c>
      <c r="AI24" t="inlineStr">
        <is>
          <t>80</t>
        </is>
      </c>
      <c r="AJ24" t="inlineStr">
        <is>
          <t>INFO_PARTIELLE</t>
        </is>
      </c>
      <c r="AK24" t="inlineStr">
        <is>
          <t>64.2</t>
        </is>
      </c>
      <c r="AL24" t="inlineStr">
        <is>
          <t>TIEDE</t>
        </is>
      </c>
      <c r="AM24">
        <f>MIN(100,MAX(0,IF(OR(ISNUMBER(SEARCH("nettoyage",C24)),ISNUMBER(SEARCH("proprete",C24)),ISNUMBER(SEARCH("entretien",C24)),ISNUMBER(SEARCH("hygiene",C24))),35,0)+IF(SUM(--(N24="75")+--(O24="75"),--(N24="77")+--(O24="77"),--(N24="78")+--(O24="78"),--(N24="91")+--(O24="91"),--(N24="92")+--(O24="92"),--(N24="93")+--(O24="93"),--(N24="94")+--(O24="94"),--(N24="95")+--(O24="95"))&gt;0,25,4)+IF(S24="",10,IF(S24&lt;=50000,25,IF(S24&lt;=100000,20,IF(S24&lt;=200000,5,IF(S24&lt;=500000,-10,-20)))))+IF(I24&lt;&gt;"",4,0)+IF(J24&lt;&gt;"",4,0)+IF(E24&lt;&gt;"",3,0)+IF(K24&lt;&gt;"",2,0)+IF(M24&lt;&gt;"",1,0)+IF(AD24&lt;&gt;"",1,0)+IF(R24="",0,IF(R24&lt;TODAY(),-30,IF(R24&lt;TODAY()+5,-15,IF(R24&lt;=TODAY()+15,5,10))))))</f>
        <v/>
      </c>
      <c r="AN24">
        <f>IF(AM24&gt;=65,"CHAUD",IF(AM24&gt;=40,"TIEDE","FROID"))</f>
        <v/>
      </c>
      <c r="AO24">
        <f>IF((IF(I24&lt;&gt;"",1,0)+IF(J24&lt;&gt;"",1,0)+IF(E24&lt;&gt;"",1,0)+IF(K24&lt;&gt;"",1,0))&gt;=4,"Complet",IF((IF(I24&lt;&gt;"",1,0)+IF(J24&lt;&gt;"",1,0)+IF(E24&lt;&gt;"",1,0)+IF(K24&lt;&gt;"",1,0))&gt;=2,"Partiel","Vide"))</f>
        <v/>
      </c>
      <c r="AP24">
        <f>IF(AJ24="DCE_A_TELECHARGER","Telecharger DCE",IF(T24="A_VERIFIER_BUDGET","Verifier budget",IF(AN24="CHAUD","Contacter maintenant",IF(AN24="TIEDE","Surveiller / relancer","Basse priorite"))))</f>
        <v/>
      </c>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26-80351. Objet: Prestations de nettoyage des vitres de l'ensemble des bâtiments communaux de la ville de Sarcelles. Acheteur: Ville de Sarcelles. Lien: https://www.boamp.fr/pages/avis/?q=idweb:26-80351.</t>
        </is>
      </c>
      <c r="AU24" t="inlineStr">
        <is>
          <t>Verifier url_avis et DCE si disponible</t>
        </is>
      </c>
      <c r="AV24" t="inlineStr">
        <is>
          <t>LIEN_SEUL</t>
        </is>
      </c>
      <c r="AW24" t="inlineStr"/>
      <c r="AX24" t="inlineStr"/>
      <c r="AY24" t="inlineStr"/>
      <c r="AZ24" t="inlineStr"/>
      <c r="BA24" t="inlineStr"/>
      <c r="BB24" t="inlineStr">
        <is>
          <t>+34.0 nettoyage + categorie claire (2 termes) | +10 budget non affiche (a verifier) | +10 secteur cible Mairie | +8.8 delai 25 j | +1.5 dossier renseigne (3/4)</t>
        </is>
      </c>
      <c r="BC24" t="inlineStr">
        <is>
          <t>Ville de Sarcelles publie un AO potentiellement pertinent pour CHRUTH : Prestations de nettoyage des vitres de l'ensemble des bâtiments communaux de la ville de Sarcelles. Zone : 75,77,78,91,92,93,94,95. Budget a verifier. Verifier le lien source avant contact.</t>
        </is>
      </c>
      <c r="BD24" t="inlineStr">
        <is>
          <t>Bonjour,
Je me permets de vous contacter au sujet de votre appel d'offres : Prestations de nettoyage des vitres de l'ensemble des bâtiments communaux de la ville de Sarcelles.
CHRUTH accompagne les structures publiques et privées sur les besoins de nettoyage, d'entretien des locaux et d'organisation de prestations de service.
Serait-il possible d'échanger rapidement afin de vérifier les modalités de réponse et les attentes de Ville de Sarcelles ?
Cordialement,</t>
        </is>
      </c>
      <c r="BE24" t="inlineStr">
        <is>
          <t>Bonjour, je vous appelle concernant un appel d'offres publié par Ville de Sarcelles.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2026-W33</t>
        </is>
      </c>
    </row>
    <row r="25">
      <c r="A25" t="inlineStr">
        <is>
          <t>BOAMP</t>
        </is>
      </c>
      <c r="B25" t="inlineStr">
        <is>
          <t>26-81760</t>
        </is>
      </c>
      <c r="C25" t="inlineStr">
        <is>
          <t>Marché de prestations de service relatif au nettoyage des bâtiments municipaux : locaux et vitrerie.</t>
        </is>
      </c>
      <c r="D25" t="inlineStr">
        <is>
          <t>Commune de Villepreux</t>
        </is>
      </c>
      <c r="E25" t="inlineStr">
        <is>
          <t>21780674400108</t>
        </is>
      </c>
      <c r="F25" t="inlineStr">
        <is>
          <t>217806744</t>
        </is>
      </c>
      <c r="G25" t="inlineStr"/>
      <c r="H25" t="inlineStr"/>
      <c r="I25" t="inlineStr">
        <is>
          <t>achats@villepreux.fr</t>
        </is>
      </c>
      <c r="J25" t="inlineStr">
        <is>
          <t>0674400108</t>
        </is>
      </c>
      <c r="K25" t="inlineStr"/>
      <c r="L25" t="inlineStr"/>
      <c r="M25" t="inlineStr"/>
      <c r="N25" t="inlineStr">
        <is>
          <t>78</t>
        </is>
      </c>
      <c r="O25" t="inlineStr"/>
      <c r="P25" t="inlineStr">
        <is>
          <t>Ile-de-France</t>
        </is>
      </c>
      <c r="Q25" s="15" t="n">
        <v>46255</v>
      </c>
      <c r="R25" s="15" t="n">
        <v>46283</v>
      </c>
      <c r="S25" t="inlineStr"/>
      <c r="T25" t="inlineStr">
        <is>
          <t>A_VERIFIER_BUDGET</t>
        </is>
      </c>
      <c r="U25" t="inlineStr"/>
      <c r="V25" t="inlineStr">
        <is>
          <t>non</t>
        </is>
      </c>
      <c r="W25" t="inlineStr">
        <is>
          <t>Vitres</t>
        </is>
      </c>
      <c r="X25" t="inlineStr">
        <is>
          <t>Mairie</t>
        </is>
      </c>
      <c r="Y25" t="inlineStr">
        <is>
          <t>SERVICES</t>
        </is>
      </c>
      <c r="Z25" t="inlineStr">
        <is>
          <t>Procédure Ouverte</t>
        </is>
      </c>
      <c r="AA25" t="inlineStr">
        <is>
          <t>Avis de marché</t>
        </is>
      </c>
      <c r="AB25" t="inlineStr">
        <is>
          <t>Nettoyage de locaux</t>
        </is>
      </c>
      <c r="AC25" t="inlineStr"/>
      <c r="AD25" s="11" t="inlineStr">
        <is>
          <t>https://www.boamp.fr/pages/avis/?q=idweb:26-81760</t>
        </is>
      </c>
      <c r="AE25" t="inlineStr">
        <is>
          <t>https://www.achatpublic.com/sdm/ent/gen/ent_detail.do?PCSLID=CSL_2026_B11a--YMRc</t>
        </is>
      </c>
      <c r="AF25" t="inlineStr">
        <is>
          <t>https://www.achatpublic.com/sdm/ent/gen/ent_detail.do?PCSLID=CSL_2026_B11a--YMRc</t>
        </is>
      </c>
      <c r="AG25" t="inlineStr">
        <is>
          <t>nettoyage</t>
        </is>
      </c>
      <c r="AH25" t="inlineStr">
        <is>
          <t>3</t>
        </is>
      </c>
      <c r="AI25" t="inlineStr">
        <is>
          <t>68</t>
        </is>
      </c>
      <c r="AJ25" t="inlineStr">
        <is>
          <t>INFO_PARTIELLE</t>
        </is>
      </c>
      <c r="AK25" t="inlineStr">
        <is>
          <t>62.0</t>
        </is>
      </c>
      <c r="AL25" t="inlineStr">
        <is>
          <t>TIEDE</t>
        </is>
      </c>
      <c r="AM25">
        <f>MIN(100,MAX(0,IF(OR(ISNUMBER(SEARCH("nettoyage",C25)),ISNUMBER(SEARCH("proprete",C25)),ISNUMBER(SEARCH("entretien",C25)),ISNUMBER(SEARCH("hygiene",C25))),35,0)+IF(SUM(--(N25="75")+--(O25="75"),--(N25="77")+--(O25="77"),--(N25="78")+--(O25="78"),--(N25="91")+--(O25="91"),--(N25="92")+--(O25="92"),--(N25="93")+--(O25="93"),--(N25="94")+--(O25="94"),--(N25="95")+--(O25="95"))&gt;0,25,4)+IF(S25="",10,IF(S25&lt;=50000,25,IF(S25&lt;=100000,20,IF(S25&lt;=200000,5,IF(S25&lt;=500000,-10,-20)))))+IF(I25&lt;&gt;"",4,0)+IF(J25&lt;&gt;"",4,0)+IF(E25&lt;&gt;"",3,0)+IF(K25&lt;&gt;"",2,0)+IF(M25&lt;&gt;"",1,0)+IF(AD25&lt;&gt;"",1,0)+IF(R25="",0,IF(R25&lt;TODAY(),-30,IF(R25&lt;TODAY()+5,-15,IF(R25&lt;=TODAY()+15,5,10))))))</f>
        <v/>
      </c>
      <c r="AN25">
        <f>IF(AM25&gt;=65,"CHAUD",IF(AM25&gt;=40,"TIEDE","FROID"))</f>
        <v/>
      </c>
      <c r="AO25">
        <f>IF((IF(I25&lt;&gt;"",1,0)+IF(J25&lt;&gt;"",1,0)+IF(E25&lt;&gt;"",1,0)+IF(K25&lt;&gt;"",1,0))&gt;=4,"Complet",IF((IF(I25&lt;&gt;"",1,0)+IF(J25&lt;&gt;"",1,0)+IF(E25&lt;&gt;"",1,0)+IF(K25&lt;&gt;"",1,0))&gt;=2,"Partiel","Vide"))</f>
        <v/>
      </c>
      <c r="AP25">
        <f>IF(AJ25="DCE_A_TELECHARGER","Telecharger DCE",IF(T25="A_VERIFIER_BUDGET","Verifier budget",IF(AN25="CHAUD","Contacter maintenant",IF(AN25="TIEDE","Surveiller / relancer","Basse priorite"))))</f>
        <v/>
      </c>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26-81760. Objet: Marché de prestations de service relatif au nettoyage des bâtiments municipaux : locaux et vitrerie.. Acheteur: Commune de Villepreux. Lien: https://www.boamp.fr/pages/avis/?q=idweb:26-81760.</t>
        </is>
      </c>
      <c r="AU25" t="inlineStr">
        <is>
          <t>Verifier url_avis et DCE si disponible</t>
        </is>
      </c>
      <c r="AV25" t="inlineStr">
        <is>
          <t>LIEN_SEUL</t>
        </is>
      </c>
      <c r="AW25" t="inlineStr"/>
      <c r="AX25" t="inlineStr"/>
      <c r="AY25" t="inlineStr"/>
      <c r="AZ25" t="inlineStr"/>
      <c r="BA25" t="inlineStr"/>
      <c r="BB25" t="inlineStr">
        <is>
          <t>+33.5 nettoyage + categorie claire (1 termes) | +10 budget non affiche (a verifier) | +10 secteur cible Mairie | +7.0 delai 18 j | +1.5 dossier renseigne (3/4)</t>
        </is>
      </c>
      <c r="BC25" t="inlineStr">
        <is>
          <t>Commune de Villepreux publie un AO potentiellement pertinent pour CHRUTH : Marché de prestations de service relatif au nettoyage des bâtiments municipaux : locaux et vitrerie.. Zone : 78. Budget a verifier. Verifier le lien source avant contact.</t>
        </is>
      </c>
      <c r="BD25" t="inlineStr">
        <is>
          <t>Bonjour,
Je me permets de vous contacter au sujet de votre appel d'offres : Marché de prestations de service relatif au nettoyage des bâtiments municipaux : locaux et vitrerie..
CHRUTH accompagne les structures publiques et privées sur les besoins de nettoyage, d'entretien des locaux et d'organisation de prestations de service.
Serait-il possible d'échanger rapidement afin de vérifier les modalités de réponse et les attentes de Commune de Villepreux ?
Cordialement,</t>
        </is>
      </c>
      <c r="BE25" t="inlineStr">
        <is>
          <t>Bonjour, je vous appelle concernant un appel d'offres publié par Commune de Villepreux.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2026-W34</t>
        </is>
      </c>
    </row>
    <row r="26">
      <c r="A26" t="inlineStr">
        <is>
          <t>BOAMP</t>
        </is>
      </c>
      <c r="B26" t="inlineStr">
        <is>
          <t>26-83553</t>
        </is>
      </c>
      <c r="C26" t="inlineStr">
        <is>
          <t>Fourniture et prestations associées pour l'entretien de véhicules thermiques et électriques et l'équipement d'ateliers mécaniques</t>
        </is>
      </c>
      <c r="D26" t="inlineStr">
        <is>
          <t>Ville de Sevran</t>
        </is>
      </c>
      <c r="E26" t="inlineStr"/>
      <c r="F26" t="inlineStr"/>
      <c r="G26" t="inlineStr"/>
      <c r="H26" t="inlineStr"/>
      <c r="I26" t="inlineStr">
        <is>
          <t>publications-joue@aws-france.com</t>
        </is>
      </c>
      <c r="J26" t="inlineStr">
        <is>
          <t>+33480041260</t>
        </is>
      </c>
      <c r="K26" t="inlineStr"/>
      <c r="L26" t="inlineStr"/>
      <c r="M26" t="inlineStr"/>
      <c r="N26" t="inlineStr">
        <is>
          <t>93</t>
        </is>
      </c>
      <c r="O26" t="inlineStr"/>
      <c r="P26" t="inlineStr">
        <is>
          <t>Ile-de-France</t>
        </is>
      </c>
      <c r="Q26" s="15" t="n">
        <v>46262</v>
      </c>
      <c r="R26" s="15" t="n">
        <v>46295</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Mécanique, Véhicules</t>
        </is>
      </c>
      <c r="AC26" t="inlineStr"/>
      <c r="AD26" s="11" t="inlineStr">
        <is>
          <t>https://www.boamp.fr/pages/avis/?q=idweb:26-83553</t>
        </is>
      </c>
      <c r="AE26" t="inlineStr">
        <is>
          <t>https://www.marches-publics.info</t>
        </is>
      </c>
      <c r="AF26" t="inlineStr">
        <is>
          <t>https://www.marches-publics.info</t>
        </is>
      </c>
      <c r="AG26" t="inlineStr">
        <is>
          <t>nettoyage</t>
        </is>
      </c>
      <c r="AH26" t="inlineStr">
        <is>
          <t>2</t>
        </is>
      </c>
      <c r="AI26" t="inlineStr">
        <is>
          <t>58</t>
        </is>
      </c>
      <c r="AJ26" t="inlineStr">
        <is>
          <t>INFO_PARTIELLE</t>
        </is>
      </c>
      <c r="AK26" t="inlineStr">
        <is>
          <t>60.0</t>
        </is>
      </c>
      <c r="AL26" t="inlineStr">
        <is>
          <t>TIEDE</t>
        </is>
      </c>
      <c r="AM26">
        <f>MIN(100,MAX(0,IF(OR(ISNUMBER(SEARCH("nettoyage",C26)),ISNUMBER(SEARCH("proprete",C26)),ISNUMBER(SEARCH("entretien",C26)),ISNUMBER(SEARCH("hygiene",C26))),35,0)+IF(SUM(--(N26="75")+--(O26="75"),--(N26="77")+--(O26="77"),--(N26="78")+--(O26="78"),--(N26="91")+--(O26="91"),--(N26="92")+--(O26="92"),--(N26="93")+--(O26="93"),--(N26="94")+--(O26="94"),--(N26="95")+--(O26="95"))&gt;0,25,4)+IF(S26="",10,IF(S26&lt;=50000,25,IF(S26&lt;=100000,20,IF(S26&lt;=200000,5,IF(S26&lt;=500000,-10,-20)))))+IF(I26&lt;&gt;"",4,0)+IF(J26&lt;&gt;"",4,0)+IF(E26&lt;&gt;"",3,0)+IF(K26&lt;&gt;"",2,0)+IF(M26&lt;&gt;"",1,0)+IF(AD26&lt;&gt;"",1,0)+IF(R26="",0,IF(R26&lt;TODAY(),-30,IF(R26&lt;TODAY()+5,-15,IF(R26&lt;=TODAY()+15,5,10))))))</f>
        <v/>
      </c>
      <c r="AN26">
        <f>IF(AM26&gt;=65,"CHAUD",IF(AM26&gt;=40,"TIEDE","FROID"))</f>
        <v/>
      </c>
      <c r="AO26">
        <f>IF((IF(I26&lt;&gt;"",1,0)+IF(J26&lt;&gt;"",1,0)+IF(E26&lt;&gt;"",1,0)+IF(K26&lt;&gt;"",1,0))&gt;=4,"Complet",IF((IF(I26&lt;&gt;"",1,0)+IF(J26&lt;&gt;"",1,0)+IF(E26&lt;&gt;"",1,0)+IF(K26&lt;&gt;"",1,0))&gt;=2,"Partiel","Vide"))</f>
        <v/>
      </c>
      <c r="AP26">
        <f>IF(AJ26="DCE_A_TELECHARGER","Telecharger DCE",IF(T26="A_VERIFIER_BUDGET","Verifier budget",IF(AN26="CHAUD","Contacter maintenant",IF(AN26="TIEDE","Surveiller / relancer","Basse priorite"))))</f>
        <v/>
      </c>
      <c r="AQ26" t="inlineStr">
        <is>
          <t>IA_BUDGET_A_VERIFIER</t>
        </is>
      </c>
      <c r="AR26" t="inlineStr">
        <is>
          <t>Verifier le budget dans l'avis source ou le DCE avant decision commerciale.</t>
        </is>
      </c>
      <c r="AS26" t="inlineStr">
        <is>
          <t>SIRET, 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26-83553. Objet: Fourniture et prestations associées pour l'entretien de véhicules thermiques et électriques et l'équipement d'ateliers mécaniques. Acheteur: Ville de Sevran. Lien: https://www.boamp.fr/pages/avis/?q=idweb:26-83553.</t>
        </is>
      </c>
      <c r="AU26" t="inlineStr">
        <is>
          <t>Verifier url_avis et DCE si disponible</t>
        </is>
      </c>
      <c r="AV26" t="inlineStr">
        <is>
          <t>LIEN_SEUL</t>
        </is>
      </c>
      <c r="AW26" t="inlineStr"/>
      <c r="AX26" t="inlineStr"/>
      <c r="AY26" t="inlineStr"/>
      <c r="AZ26" t="inlineStr"/>
      <c r="BA26" t="inlineStr"/>
      <c r="BB26" t="inlineStr">
        <is>
          <t>+28.5 mots-cles nettoyage forts (1 termes) | +10 budget non affiche (a verifier) | +10 secteur cible Mairie | +10.0 delai 30 j | +1.5 dossier renseigne (3/4)</t>
        </is>
      </c>
      <c r="BC26" t="inlineStr">
        <is>
          <t>Ville de Sevran publie un AO potentiellement pertinent pour CHRUTH : Fourniture et prestations associées pour l'entretien de véhicules thermiques et électriques et l'équipement d'ateliers mécaniques. Zone : 93. Budget a verifier. Verifier le lien source avant contact.</t>
        </is>
      </c>
      <c r="BD26" t="inlineStr">
        <is>
          <t>Bonjour,
Je me permets de vous contacter au sujet de votre appel d'offres : Fourniture et prestations associées pour l'entretien de véhicules thermiques et électriques et l'équipement d'ateliers mécaniques.
CHRUTH accompagne les structures publiques et privées sur les besoins de nettoyage, d'entretien des locaux et d'organisation de prestations de service.
Serait-il possible d'échanger rapidement afin de vérifier les modalités de réponse et les attentes de Ville de Sevran ?
Cordialement,</t>
        </is>
      </c>
      <c r="BE26" t="inlineStr">
        <is>
          <t>Bonjour, je vous appelle concernant un appel d'offres publié par Ville de Sevran.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2026-W35</t>
        </is>
      </c>
    </row>
    <row r="27">
      <c r="A27" t="inlineStr">
        <is>
          <t>BOAMP</t>
        </is>
      </c>
      <c r="B27" t="inlineStr">
        <is>
          <t>26-72948</t>
        </is>
      </c>
      <c r="C27" t="inlineStr">
        <is>
          <t>26MF026 - Fourniture d'appareils ménagers et d'équipements professionnels</t>
        </is>
      </c>
      <c r="D27" t="inlineStr">
        <is>
          <t>Ville de Plaisir</t>
        </is>
      </c>
      <c r="E27" t="inlineStr">
        <is>
          <t>21780490500016</t>
        </is>
      </c>
      <c r="F27" t="inlineStr">
        <is>
          <t>217804905</t>
        </is>
      </c>
      <c r="G27" t="inlineStr"/>
      <c r="H27" t="inlineStr"/>
      <c r="I27" t="inlineStr">
        <is>
          <t>vermuseau-ma@ville-plaisir.fr</t>
        </is>
      </c>
      <c r="J27" t="inlineStr">
        <is>
          <t>0490500016</t>
        </is>
      </c>
      <c r="K27" t="inlineStr"/>
      <c r="L27" t="inlineStr"/>
      <c r="M27" t="inlineStr"/>
      <c r="N27" t="inlineStr">
        <is>
          <t>78</t>
        </is>
      </c>
      <c r="O27" t="inlineStr"/>
      <c r="P27" t="inlineStr">
        <is>
          <t>Ile-de-France</t>
        </is>
      </c>
      <c r="Q27" s="15" t="n">
        <v>46226</v>
      </c>
      <c r="R27" s="15" t="n">
        <v>46261</v>
      </c>
      <c r="S27" t="inlineStr"/>
      <c r="T27" t="inlineStr">
        <is>
          <t>A_VERIFIER_BUDGET</t>
        </is>
      </c>
      <c r="U27" t="inlineStr"/>
      <c r="V27" t="inlineStr">
        <is>
          <t>non</t>
        </is>
      </c>
      <c r="W27" t="inlineStr">
        <is>
          <t>Mixte/Autre</t>
        </is>
      </c>
      <c r="X27" t="inlineStr">
        <is>
          <t>Mairie</t>
        </is>
      </c>
      <c r="Y27" t="inlineStr">
        <is>
          <t>FOURNITURES</t>
        </is>
      </c>
      <c r="Z27" t="inlineStr">
        <is>
          <t>Procédure Ouverte</t>
        </is>
      </c>
      <c r="AA27" t="inlineStr">
        <is>
          <t>Avis de marché</t>
        </is>
      </c>
      <c r="AB27" t="inlineStr">
        <is>
          <t>Electroménager</t>
        </is>
      </c>
      <c r="AC27" t="inlineStr"/>
      <c r="AD27" s="11" t="inlineStr">
        <is>
          <t>https://www.boamp.fr/pages/avis/?q=idweb:26-72948</t>
        </is>
      </c>
      <c r="AE27" t="inlineStr">
        <is>
          <t>https://ville-plaisir.e-marches-publics.com</t>
        </is>
      </c>
      <c r="AF27" t="inlineStr"/>
      <c r="AG27" t="inlineStr">
        <is>
          <t>nettoyage</t>
        </is>
      </c>
      <c r="AH27" t="inlineStr">
        <is>
          <t>3</t>
        </is>
      </c>
      <c r="AI27" t="inlineStr">
        <is>
          <t>68</t>
        </is>
      </c>
      <c r="AJ27" t="inlineStr">
        <is>
          <t>INFO_PARTIELLE</t>
        </is>
      </c>
      <c r="AK27" t="inlineStr">
        <is>
          <t>60</t>
        </is>
      </c>
      <c r="AL27" t="inlineStr">
        <is>
          <t>TIEDE</t>
        </is>
      </c>
      <c r="AM27">
        <f>MIN(100,MAX(0,IF(OR(ISNUMBER(SEARCH("nettoyage",C27)),ISNUMBER(SEARCH("proprete",C27)),ISNUMBER(SEARCH("entretien",C27)),ISNUMBER(SEARCH("hygiene",C27))),35,0)+IF(SUM(--(N27="75")+--(O27="75"),--(N27="77")+--(O27="77"),--(N27="78")+--(O27="78"),--(N27="91")+--(O27="91"),--(N27="92")+--(O27="92"),--(N27="93")+--(O27="93"),--(N27="94")+--(O27="94"),--(N27="95")+--(O27="95"))&gt;0,25,4)+IF(S27="",10,IF(S27&lt;=50000,25,IF(S27&lt;=100000,20,IF(S27&lt;=200000,5,IF(S27&lt;=500000,-10,-20)))))+IF(I27&lt;&gt;"",4,0)+IF(J27&lt;&gt;"",4,0)+IF(E27&lt;&gt;"",3,0)+IF(K27&lt;&gt;"",2,0)+IF(M27&lt;&gt;"",1,0)+IF(AD27&lt;&gt;"",1,0)+IF(R27="",0,IF(R27&lt;TODAY(),-30,IF(R27&lt;TODAY()+5,-15,IF(R27&lt;=TODAY()+15,5,10))))))</f>
        <v/>
      </c>
      <c r="AN27">
        <f>IF(AM27&gt;=65,"CHAUD",IF(AM27&gt;=40,"TIEDE","FROID"))</f>
        <v/>
      </c>
      <c r="AO27">
        <f>IF((IF(I27&lt;&gt;"",1,0)+IF(J27&lt;&gt;"",1,0)+IF(E27&lt;&gt;"",1,0)+IF(K27&lt;&gt;"",1,0))&gt;=4,"Complet",IF((IF(I27&lt;&gt;"",1,0)+IF(J27&lt;&gt;"",1,0)+IF(E27&lt;&gt;"",1,0)+IF(K27&lt;&gt;"",1,0))&gt;=2,"Partiel","Vide"))</f>
        <v/>
      </c>
      <c r="AP27">
        <f>IF(AJ27="DCE_A_TELECHARGER","Telecharger DCE",IF(T27="A_VERIFIER_BUDGET","Verifier budget",IF(AN27="CHAUD","Contacter maintenant",IF(AN27="TIEDE","Surveiller / relancer","Basse priorite"))))</f>
        <v/>
      </c>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30j</t>
        </is>
      </c>
      <c r="BC27" t="inlineStr">
        <is>
          <t>Ville de Plaisir publie un AO potentiellement pertinent pour CHRUTH : 26MF026 - Fourniture d'appareils ménagers et d'équipements professionnels. Zone : 78. Budget a verifier. Verifier le lien source avant contact.</t>
        </is>
      </c>
      <c r="BD27"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27"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26-71986</t>
        </is>
      </c>
      <c r="C28" t="inlineStr">
        <is>
          <t>Nettoyage des locaux communaux et des vitreries des bâtiments communaux</t>
        </is>
      </c>
      <c r="D28" t="inlineStr">
        <is>
          <t>Ville de Fontenay-aux-Roses</t>
        </is>
      </c>
      <c r="E28" t="inlineStr"/>
      <c r="F28" t="inlineStr"/>
      <c r="G28" t="inlineStr"/>
      <c r="H28" t="inlineStr"/>
      <c r="I28" t="inlineStr">
        <is>
          <t>publications-joue@aws-france.com</t>
        </is>
      </c>
      <c r="J28" t="inlineStr">
        <is>
          <t>+33480041260</t>
        </is>
      </c>
      <c r="K28" t="inlineStr"/>
      <c r="L28" t="inlineStr"/>
      <c r="M28" t="inlineStr"/>
      <c r="N28" t="inlineStr">
        <is>
          <t>92</t>
        </is>
      </c>
      <c r="O28" t="inlineStr"/>
      <c r="P28" t="inlineStr">
        <is>
          <t>Ile-de-France</t>
        </is>
      </c>
      <c r="Q28" s="15" t="n">
        <v>46224</v>
      </c>
      <c r="R28" s="15" t="n">
        <v>46240</v>
      </c>
      <c r="S28" t="inlineStr"/>
      <c r="T28" t="inlineStr">
        <is>
          <t>A_VERIFIER_BUDGET</t>
        </is>
      </c>
      <c r="U28" t="inlineStr"/>
      <c r="V28" t="inlineStr">
        <is>
          <t>non</t>
        </is>
      </c>
      <c r="W28" t="inlineStr">
        <is>
          <t>Vitres</t>
        </is>
      </c>
      <c r="X28" t="inlineStr">
        <is>
          <t>Mairie</t>
        </is>
      </c>
      <c r="Y28" t="inlineStr">
        <is>
          <t>SERVICES</t>
        </is>
      </c>
      <c r="Z28" t="inlineStr">
        <is>
          <t>Procédure Ouverte</t>
        </is>
      </c>
      <c r="AA28" t="inlineStr">
        <is>
          <t>Avis de marché</t>
        </is>
      </c>
      <c r="AB28" t="inlineStr">
        <is>
          <t>Nettoyage de locaux, Vitrerie</t>
        </is>
      </c>
      <c r="AC28" t="inlineStr">
        <is>
          <t>['environnementaux']</t>
        </is>
      </c>
      <c r="AD28" s="11" t="inlineStr">
        <is>
          <t>https://www.boamp.fr/pages/avis/?q=idweb:26-71986</t>
        </is>
      </c>
      <c r="AE28" t="inlineStr">
        <is>
          <t>https://www.marches-publics.info/accueil.htm</t>
        </is>
      </c>
      <c r="AF28" t="inlineStr">
        <is>
          <t>https://www.marches-publics.info/accueil.htm</t>
        </is>
      </c>
      <c r="AG28" t="inlineStr">
        <is>
          <t>nettoyage</t>
        </is>
      </c>
      <c r="AH28" t="inlineStr">
        <is>
          <t>2</t>
        </is>
      </c>
      <c r="AI28" t="inlineStr">
        <is>
          <t>58</t>
        </is>
      </c>
      <c r="AJ28" t="inlineStr">
        <is>
          <t>INFO_PARTIELLE</t>
        </is>
      </c>
      <c r="AK28" t="inlineStr">
        <is>
          <t>60</t>
        </is>
      </c>
      <c r="AL28" t="inlineStr">
        <is>
          <t>TIEDE</t>
        </is>
      </c>
      <c r="AM28">
        <f>MIN(100,MAX(0,IF(OR(ISNUMBER(SEARCH("nettoyage",C28)),ISNUMBER(SEARCH("proprete",C28)),ISNUMBER(SEARCH("entretien",C28)),ISNUMBER(SEARCH("hygiene",C28))),35,0)+IF(SUM(--(N28="75")+--(O28="75"),--(N28="77")+--(O28="77"),--(N28="78")+--(O28="78"),--(N28="91")+--(O28="91"),--(N28="92")+--(O28="92"),--(N28="93")+--(O28="93"),--(N28="94")+--(O28="94"),--(N28="95")+--(O28="95"))&gt;0,25,4)+IF(S28="",10,IF(S28&lt;=50000,25,IF(S28&lt;=100000,20,IF(S28&lt;=200000,5,IF(S28&lt;=500000,-10,-20)))))+IF(I28&lt;&gt;"",4,0)+IF(J28&lt;&gt;"",4,0)+IF(E28&lt;&gt;"",3,0)+IF(K28&lt;&gt;"",2,0)+IF(M28&lt;&gt;"",1,0)+IF(AD28&lt;&gt;"",1,0)+IF(R28="",0,IF(R28&lt;TODAY(),-30,IF(R28&lt;TODAY()+5,-15,IF(R28&lt;=TODAY()+15,5,10))))))</f>
        <v/>
      </c>
      <c r="AN28">
        <f>IF(AM28&gt;=65,"CHAUD",IF(AM28&gt;=40,"TIEDE","FROID"))</f>
        <v/>
      </c>
      <c r="AO28">
        <f>IF((IF(I28&lt;&gt;"",1,0)+IF(J28&lt;&gt;"",1,0)+IF(E28&lt;&gt;"",1,0)+IF(K28&lt;&gt;"",1,0))&gt;=4,"Complet",IF((IF(I28&lt;&gt;"",1,0)+IF(J28&lt;&gt;"",1,0)+IF(E28&lt;&gt;"",1,0)+IF(K28&lt;&gt;"",1,0))&gt;=2,"Partiel","Vide"))</f>
        <v/>
      </c>
      <c r="AP28">
        <f>IF(AJ28="DCE_A_TELECHARGER","Telecharger DCE",IF(T28="A_VERIFIER_BUDGET","Verifier budget",IF(AN28="CHAUD","Contacter maintenant",IF(AN28="TIEDE","Surveiller / relancer","Basse priorite"))))</f>
        <v/>
      </c>
      <c r="AQ28" t="inlineStr">
        <is>
          <t>IA_BUDGET_A_VERIFIER</t>
        </is>
      </c>
      <c r="AR28" t="inlineStr">
        <is>
          <t>Verifier le budget dans l'avis source ou le DCE avant decision commerciale.</t>
        </is>
      </c>
      <c r="AS28" t="inlineStr">
        <is>
          <t>SIRET, 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28" t="inlineStr">
        <is>
          <t>Verifier url_avis et DCE si disponible</t>
        </is>
      </c>
      <c r="AV28" t="inlineStr">
        <is>
          <t>LIEN_SEUL</t>
        </is>
      </c>
      <c r="AW28" t="inlineStr"/>
      <c r="AX28" t="inlineStr"/>
      <c r="AY28" t="inlineStr"/>
      <c r="AZ28" t="inlineStr"/>
      <c r="BA28" t="inlineStr"/>
      <c r="BB28" t="inlineStr">
        <is>
          <t>+35 nettoyage + categorie claire | +10 budget non affiche (a verifier) | +10 secteur cible Mairie | +5 delai court 9j</t>
        </is>
      </c>
      <c r="BC28" t="inlineStr">
        <is>
          <t>Ville de Fontenay-aux-Roses publie un AO potentiellement pertinent pour CHRUTH : Nettoyage des locaux communaux et des vitreries des bâtiments communaux. Zone : 92. Budget a verifier. Verifier le lien source avant contact.</t>
        </is>
      </c>
      <c r="BD28"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28"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2026-W30</t>
        </is>
      </c>
    </row>
    <row r="29">
      <c r="A29" t="inlineStr">
        <is>
          <t>BOAMP</t>
        </is>
      </c>
      <c r="B29" t="inlineStr">
        <is>
          <t>26-71545</t>
        </is>
      </c>
      <c r="C29" t="inlineStr">
        <is>
          <t>Exploitation, maintenance des dispositifs de collecte pneumatique fixes et mobiles des déchets ménagers et transport de ces déchets</t>
        </is>
      </c>
      <c r="D29" t="inlineStr">
        <is>
          <t>Grand Paris Seine Ouest</t>
        </is>
      </c>
      <c r="E29" t="inlineStr">
        <is>
          <t>20005797400012</t>
        </is>
      </c>
      <c r="F29" t="inlineStr">
        <is>
          <t>200057974</t>
        </is>
      </c>
      <c r="G29" t="inlineStr"/>
      <c r="H29" t="inlineStr"/>
      <c r="I29" t="inlineStr">
        <is>
          <t>judith.comminsoli@seineouest.fr</t>
        </is>
      </c>
      <c r="J29" t="inlineStr">
        <is>
          <t>0579740001</t>
        </is>
      </c>
      <c r="K29" t="inlineStr"/>
      <c r="L29" t="inlineStr"/>
      <c r="M29" t="inlineStr"/>
      <c r="N29" t="inlineStr">
        <is>
          <t>92</t>
        </is>
      </c>
      <c r="O29" t="inlineStr"/>
      <c r="P29" t="inlineStr">
        <is>
          <t>Ile-de-France</t>
        </is>
      </c>
      <c r="Q29" s="15" t="n">
        <v>46222</v>
      </c>
      <c r="R29" s="15" t="n">
        <v>46275</v>
      </c>
      <c r="S29" s="14" t="n">
        <v>300000</v>
      </c>
      <c r="T29" t="inlineStr">
        <is>
          <t>BUDGET_EXPLICITE_OK</t>
        </is>
      </c>
      <c r="U29" t="inlineStr">
        <is>
          <t>75000</t>
        </is>
      </c>
      <c r="V29" t="inlineStr">
        <is>
          <t>oui</t>
        </is>
      </c>
      <c r="W29" t="inlineStr">
        <is>
          <t>Mixte/Autre</t>
        </is>
      </c>
      <c r="X29" t="inlineStr">
        <is>
          <t>Autre</t>
        </is>
      </c>
      <c r="Y29" t="inlineStr">
        <is>
          <t>SERVICES</t>
        </is>
      </c>
      <c r="Z29" t="inlineStr">
        <is>
          <t>Procédure Ouverte</t>
        </is>
      </c>
      <c r="AA29" t="inlineStr">
        <is>
          <t>Avis de marché</t>
        </is>
      </c>
      <c r="AB29" t="inlineStr">
        <is>
          <t>Collecte sélective</t>
        </is>
      </c>
      <c r="AC29" t="inlineStr">
        <is>
          <t>['environnementaux']</t>
        </is>
      </c>
      <c r="AD29" s="11" t="inlineStr">
        <is>
          <t>https://www.boamp.fr/pages/avis/?q=idweb:26-71545</t>
        </is>
      </c>
      <c r="AE29" t="inlineStr">
        <is>
          <t>https://marches.maximilien.fr/</t>
        </is>
      </c>
      <c r="AF29" t="inlineStr">
        <is>
          <t>https://marches.maximilien.fr/</t>
        </is>
      </c>
      <c r="AG29" t="inlineStr">
        <is>
          <t>nettoyage</t>
        </is>
      </c>
      <c r="AH29" t="inlineStr">
        <is>
          <t>3</t>
        </is>
      </c>
      <c r="AI29" t="inlineStr">
        <is>
          <t>68</t>
        </is>
      </c>
      <c r="AJ29" t="inlineStr">
        <is>
          <t>INFO_PARTIELLE</t>
        </is>
      </c>
      <c r="AK29" t="inlineStr">
        <is>
          <t>60</t>
        </is>
      </c>
      <c r="AL29" t="inlineStr">
        <is>
          <t>TIEDE</t>
        </is>
      </c>
      <c r="AM29">
        <f>MIN(100,MAX(0,IF(OR(ISNUMBER(SEARCH("nettoyage",C29)),ISNUMBER(SEARCH("proprete",C29)),ISNUMBER(SEARCH("entretien",C29)),ISNUMBER(SEARCH("hygiene",C29))),35,0)+IF(SUM(--(N29="75")+--(O29="75"),--(N29="77")+--(O29="77"),--(N29="78")+--(O29="78"),--(N29="91")+--(O29="91"),--(N29="92")+--(O29="92"),--(N29="93")+--(O29="93"),--(N29="94")+--(O29="94"),--(N29="95")+--(O29="95"))&gt;0,25,4)+IF(S29="",10,IF(S29&lt;=50000,25,IF(S29&lt;=100000,20,IF(S29&lt;=200000,5,IF(S29&lt;=500000,-10,-20)))))+IF(I29&lt;&gt;"",4,0)+IF(J29&lt;&gt;"",4,0)+IF(E29&lt;&gt;"",3,0)+IF(K29&lt;&gt;"",2,0)+IF(M29&lt;&gt;"",1,0)+IF(AD29&lt;&gt;"",1,0)+IF(R29="",0,IF(R29&lt;TODAY(),-30,IF(R29&lt;TODAY()+5,-15,IF(R29&lt;=TODAY()+15,5,10))))))</f>
        <v/>
      </c>
      <c r="AN29">
        <f>IF(AM29&gt;=65,"CHAUD",IF(AM29&gt;=40,"TIEDE","FROID"))</f>
        <v/>
      </c>
      <c r="AO29">
        <f>IF((IF(I29&lt;&gt;"",1,0)+IF(J29&lt;&gt;"",1,0)+IF(E29&lt;&gt;"",1,0)+IF(K29&lt;&gt;"",1,0))&gt;=4,"Complet",IF((IF(I29&lt;&gt;"",1,0)+IF(J29&lt;&gt;"",1,0)+IF(E29&lt;&gt;"",1,0)+IF(K29&lt;&gt;"",1,0))&gt;=2,"Partiel","Vide"))</f>
        <v/>
      </c>
      <c r="AP29">
        <f>IF(AJ29="DCE_A_TELECHARGER","Telecharger DCE",IF(T29="A_VERIFIER_BUDGET","Verifier budget",IF(AN29="CHAUD","Contacter maintenant",IF(AN29="TIEDE","Surveiller / relancer","Basse priorite"))))</f>
        <v/>
      </c>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29" t="inlineStr">
        <is>
          <t>Verifier url_avis et DCE si disponible</t>
        </is>
      </c>
      <c r="AV29" t="inlineStr"/>
      <c r="AW29" t="inlineStr"/>
      <c r="AX29" t="inlineStr"/>
      <c r="AY29" t="inlineStr"/>
      <c r="AZ29" t="inlineStr"/>
      <c r="BA29" t="inlineStr"/>
      <c r="BB29" t="inlineStr">
        <is>
          <t>+30 mots-cles nettoyage forts | +20 budget annualise &lt;= 100 000 EUR | +10 delai confortable 44j</t>
        </is>
      </c>
      <c r="BC29"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29"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29"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26-79275</t>
        </is>
      </c>
      <c r="C30" t="inlineStr">
        <is>
          <t>NETTOYAGE, COLLECTE, EVACUATION ET TRAITEMENT DES DECHETS DU MARCHE COMMUNAL</t>
        </is>
      </c>
      <c r="D30" t="inlineStr">
        <is>
          <t>Commune de Chanteloup les Vignes</t>
        </is>
      </c>
      <c r="E30" t="inlineStr">
        <is>
          <t>21780138000015</t>
        </is>
      </c>
      <c r="F30" t="inlineStr">
        <is>
          <t>217801380</t>
        </is>
      </c>
      <c r="G30" t="inlineStr"/>
      <c r="H30" t="inlineStr"/>
      <c r="I30" t="inlineStr">
        <is>
          <t>commandespubliques@chanteloup-les-vignes.fr</t>
        </is>
      </c>
      <c r="J30" t="inlineStr">
        <is>
          <t>0138000015</t>
        </is>
      </c>
      <c r="K30" t="inlineStr"/>
      <c r="L30" t="inlineStr"/>
      <c r="M30" t="inlineStr"/>
      <c r="N30" t="inlineStr">
        <is>
          <t>78</t>
        </is>
      </c>
      <c r="O30" t="inlineStr"/>
      <c r="P30" t="inlineStr">
        <is>
          <t>Ile-de-France</t>
        </is>
      </c>
      <c r="Q30" s="15" t="n">
        <v>46243</v>
      </c>
      <c r="R30" s="15" t="n">
        <v>46283</v>
      </c>
      <c r="S30" t="inlineStr"/>
      <c r="T30" t="inlineStr">
        <is>
          <t>A_VERIFIER_BUDGET</t>
        </is>
      </c>
      <c r="U30" t="inlineStr"/>
      <c r="V30" t="inlineStr">
        <is>
          <t>non</t>
        </is>
      </c>
      <c r="W30" t="inlineStr">
        <is>
          <t>Mixte/Autre</t>
        </is>
      </c>
      <c r="X30" t="inlineStr">
        <is>
          <t>Mairie</t>
        </is>
      </c>
      <c r="Y30" t="inlineStr">
        <is>
          <t>SERVICES</t>
        </is>
      </c>
      <c r="Z30" t="inlineStr">
        <is>
          <t>Procédure Ouverte</t>
        </is>
      </c>
      <c r="AA30" t="inlineStr">
        <is>
          <t>Avis de marché</t>
        </is>
      </c>
      <c r="AB30" t="inlineStr">
        <is>
          <t>Déchets non ménagers (prestations)</t>
        </is>
      </c>
      <c r="AC30" t="inlineStr">
        <is>
          <t>['environnementaux']</t>
        </is>
      </c>
      <c r="AD30" s="11" t="inlineStr">
        <is>
          <t>https://www.boamp.fr/pages/avis/?q=idweb:26-79275</t>
        </is>
      </c>
      <c r="AE30" t="inlineStr">
        <is>
          <t>https://www.achatpublic.com/sdm/ent/gen/ent_detail.do?PCSLID=CSL_2026_-fifweNbVP</t>
        </is>
      </c>
      <c r="AF30" t="inlineStr">
        <is>
          <t>https://www.achatpublic.com/sdm/ent/gen/ent_detail.do?PCSLID=CSL_2026_-fifweNbVP</t>
        </is>
      </c>
      <c r="AG30" t="inlineStr">
        <is>
          <t>nettoyage</t>
        </is>
      </c>
      <c r="AH30" t="inlineStr">
        <is>
          <t>3</t>
        </is>
      </c>
      <c r="AI30" t="inlineStr">
        <is>
          <t>68</t>
        </is>
      </c>
      <c r="AJ30" t="inlineStr">
        <is>
          <t>INFO_PARTIELLE</t>
        </is>
      </c>
      <c r="AK30" t="inlineStr">
        <is>
          <t>57.0</t>
        </is>
      </c>
      <c r="AL30" t="inlineStr">
        <is>
          <t>TIEDE</t>
        </is>
      </c>
      <c r="AM30">
        <f>MIN(100,MAX(0,IF(OR(ISNUMBER(SEARCH("nettoyage",C30)),ISNUMBER(SEARCH("proprete",C30)),ISNUMBER(SEARCH("entretien",C30)),ISNUMBER(SEARCH("hygiene",C30))),35,0)+IF(SUM(--(N30="75")+--(O30="75"),--(N30="77")+--(O30="77"),--(N30="78")+--(O30="78"),--(N30="91")+--(O30="91"),--(N30="92")+--(O30="92"),--(N30="93")+--(O30="93"),--(N30="94")+--(O30="94"),--(N30="95")+--(O30="95"))&gt;0,25,4)+IF(S30="",10,IF(S30&lt;=50000,25,IF(S30&lt;=100000,20,IF(S30&lt;=200000,5,IF(S30&lt;=500000,-10,-20)))))+IF(I30&lt;&gt;"",4,0)+IF(J30&lt;&gt;"",4,0)+IF(E30&lt;&gt;"",3,0)+IF(K30&lt;&gt;"",2,0)+IF(M30&lt;&gt;"",1,0)+IF(AD30&lt;&gt;"",1,0)+IF(R30="",0,IF(R30&lt;TODAY(),-30,IF(R30&lt;TODAY()+5,-15,IF(R30&lt;=TODAY()+15,5,10))))))</f>
        <v/>
      </c>
      <c r="AN30">
        <f>IF(AM30&gt;=65,"CHAUD",IF(AM30&gt;=40,"TIEDE","FROID"))</f>
        <v/>
      </c>
      <c r="AO30">
        <f>IF((IF(I30&lt;&gt;"",1,0)+IF(J30&lt;&gt;"",1,0)+IF(E30&lt;&gt;"",1,0)+IF(K30&lt;&gt;"",1,0))&gt;=4,"Complet",IF((IF(I30&lt;&gt;"",1,0)+IF(J30&lt;&gt;"",1,0)+IF(E30&lt;&gt;"",1,0)+IF(K30&lt;&gt;"",1,0))&gt;=2,"Partiel","Vide"))</f>
        <v/>
      </c>
      <c r="AP30">
        <f>IF(AJ30="DCE_A_TELECHARGER","Telecharger DCE",IF(T30="A_VERIFIER_BUDGET","Verifier budget",IF(AN30="CHAUD","Contacter maintenant",IF(AN30="TIEDE","Surveiller / relancer","Basse priorite"))))</f>
        <v/>
      </c>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26-79275. Objet: NETTOYAGE, COLLECTE, EVACUATION ET TRAITEMENT DES DECHETS DU MARCHE COMMUNAL. Acheteur: Commune de Chanteloup les Vignes. Lien: https://www.boamp.fr/pages/avis/?q=idweb:26-79275.</t>
        </is>
      </c>
      <c r="AU30" t="inlineStr">
        <is>
          <t>Verifier url_avis et DCE si disponible</t>
        </is>
      </c>
      <c r="AV30" t="inlineStr">
        <is>
          <t>LIEN_SEUL</t>
        </is>
      </c>
      <c r="AW30" t="inlineStr"/>
      <c r="AX30" t="inlineStr"/>
      <c r="AY30" t="inlineStr"/>
      <c r="AZ30" t="inlineStr"/>
      <c r="BA30" t="inlineStr"/>
      <c r="BB30" t="inlineStr">
        <is>
          <t>+28.5 mots-cles nettoyage forts (1 termes) | +10 budget non affiche (a verifier) | +10 secteur cible Mairie | +7.0 delai 18 j | +1.5 dossier renseigne (3/4)</t>
        </is>
      </c>
      <c r="BC30" t="inlineStr">
        <is>
          <t>Commune de Chanteloup les Vignes publie un AO potentiellement pertinent pour CHRUTH : NETTOYAGE, COLLECTE, EVACUATION ET TRAITEMENT DES DECHETS DU MARCHE COMMUNAL. Zone : 78. Budget a verifier. Verifier le lien source avant contact.</t>
        </is>
      </c>
      <c r="BD30" t="inlineStr">
        <is>
          <t>Bonjour,
Je me permets de vous contacter au sujet de votre appel d'offres : NETTOYAGE, COLLECTE, EVACUATION ET TRAITEMENT DES DECHETS DU MARCHE COMMUNAL.
CHRUTH accompagne les structures publiques et privées sur les besoins de nettoyage, d'entretien des locaux et d'organisation de prestations de service.
Serait-il possible d'échanger rapidement afin de vérifier les modalités de réponse et les attentes de Commune de Chanteloup les Vignes ?
Cordialement,</t>
        </is>
      </c>
      <c r="BE30" t="inlineStr">
        <is>
          <t>Bonjour, je vous appelle concernant un appel d'offres publié par Commune de Chanteloup les Vignes.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2026-W32</t>
        </is>
      </c>
    </row>
    <row r="31">
      <c r="A31" t="inlineStr">
        <is>
          <t>BOAMP</t>
        </is>
      </c>
      <c r="B31" t="inlineStr">
        <is>
          <t>26-83118</t>
        </is>
      </c>
      <c r="C31" t="inlineStr">
        <is>
          <t>2026-61359767 (avis de publicité)  et référence DIPADEST sur Place</t>
        </is>
      </c>
      <c r="D31" t="inlineStr">
        <is>
          <t>DGDDI DI PARIS-AEROPORTS</t>
        </is>
      </c>
      <c r="E31" t="inlineStr">
        <is>
          <t>17950230700053</t>
        </is>
      </c>
      <c r="F31" t="inlineStr">
        <is>
          <t>179502307</t>
        </is>
      </c>
      <c r="G31" t="inlineStr"/>
      <c r="H31" t="inlineStr"/>
      <c r="I31" t="inlineStr">
        <is>
          <t>dipa-immobilier@douane.finances.gouv.fr</t>
        </is>
      </c>
      <c r="J31" t="inlineStr">
        <is>
          <t>0230700053</t>
        </is>
      </c>
      <c r="K31" t="inlineStr"/>
      <c r="L31" t="inlineStr"/>
      <c r="M31" t="inlineStr"/>
      <c r="N31" t="inlineStr">
        <is>
          <t>95,93,94,75,77</t>
        </is>
      </c>
      <c r="O31" t="inlineStr"/>
      <c r="P31" t="inlineStr">
        <is>
          <t>Ile-de-France</t>
        </is>
      </c>
      <c r="Q31" s="15" t="n">
        <v>46261</v>
      </c>
      <c r="R31" s="15" t="n">
        <v>46307</v>
      </c>
      <c r="S31" t="inlineStr"/>
      <c r="T31" t="inlineStr">
        <is>
          <t>A_VERIFIER_BUDGET</t>
        </is>
      </c>
      <c r="U31" t="inlineStr"/>
      <c r="V31" t="inlineStr">
        <is>
          <t>non</t>
        </is>
      </c>
      <c r="W31" t="inlineStr">
        <is>
          <t>Bureaux</t>
        </is>
      </c>
      <c r="X31" t="inlineStr">
        <is>
          <t>Autre</t>
        </is>
      </c>
      <c r="Y31" t="inlineStr">
        <is>
          <t>SERVICES</t>
        </is>
      </c>
      <c r="Z31" t="inlineStr">
        <is>
          <t>Procédure Ouverte</t>
        </is>
      </c>
      <c r="AA31" t="inlineStr">
        <is>
          <t>Avis de marché</t>
        </is>
      </c>
      <c r="AB31" t="inlineStr">
        <is>
          <t>Déchets non ménagers (prestations)</t>
        </is>
      </c>
      <c r="AC31" t="inlineStr">
        <is>
          <t>['sociaux', 'environnementaux']</t>
        </is>
      </c>
      <c r="AD31" s="11" t="inlineStr">
        <is>
          <t>https://www.boamp.fr/pages/avis/?q=idweb:26-83118</t>
        </is>
      </c>
      <c r="AE31" t="inlineStr">
        <is>
          <t>https://www.marches-publics.gouv.fr</t>
        </is>
      </c>
      <c r="AF31" t="inlineStr">
        <is>
          <t>https://www.marches-publics.gouv.fr</t>
        </is>
      </c>
      <c r="AG31" t="inlineStr"/>
      <c r="AH31" t="inlineStr">
        <is>
          <t>3</t>
        </is>
      </c>
      <c r="AI31" t="inlineStr">
        <is>
          <t>60</t>
        </is>
      </c>
      <c r="AJ31" t="inlineStr">
        <is>
          <t>INFO_PARTIELLE</t>
        </is>
      </c>
      <c r="AK31" t="inlineStr">
        <is>
          <t>55.0</t>
        </is>
      </c>
      <c r="AL31" t="inlineStr">
        <is>
          <t>TIEDE</t>
        </is>
      </c>
      <c r="AM31">
        <f>MIN(100,MAX(0,IF(OR(ISNUMBER(SEARCH("nettoyage",C31)),ISNUMBER(SEARCH("proprete",C31)),ISNUMBER(SEARCH("entretien",C31)),ISNUMBER(SEARCH("hygiene",C31))),35,0)+IF(SUM(--(N31="75")+--(O31="75"),--(N31="77")+--(O31="77"),--(N31="78")+--(O31="78"),--(N31="91")+--(O31="91"),--(N31="92")+--(O31="92"),--(N31="93")+--(O31="93"),--(N31="94")+--(O31="94"),--(N31="95")+--(O31="95"))&gt;0,25,4)+IF(S31="",10,IF(S31&lt;=50000,25,IF(S31&lt;=100000,20,IF(S31&lt;=200000,5,IF(S31&lt;=500000,-10,-20)))))+IF(I31&lt;&gt;"",4,0)+IF(J31&lt;&gt;"",4,0)+IF(E31&lt;&gt;"",3,0)+IF(K31&lt;&gt;"",2,0)+IF(M31&lt;&gt;"",1,0)+IF(AD31&lt;&gt;"",1,0)+IF(R31="",0,IF(R31&lt;TODAY(),-30,IF(R31&lt;TODAY()+5,-15,IF(R31&lt;=TODAY()+15,5,10))))))</f>
        <v/>
      </c>
      <c r="AN31">
        <f>IF(AM31&gt;=65,"CHAUD",IF(AM31&gt;=40,"TIEDE","FROID"))</f>
        <v/>
      </c>
      <c r="AO31">
        <f>IF((IF(I31&lt;&gt;"",1,0)+IF(J31&lt;&gt;"",1,0)+IF(E31&lt;&gt;"",1,0)+IF(K31&lt;&gt;"",1,0))&gt;=4,"Complet",IF((IF(I31&lt;&gt;"",1,0)+IF(J31&lt;&gt;"",1,0)+IF(E31&lt;&gt;"",1,0)+IF(K31&lt;&gt;"",1,0))&gt;=2,"Partiel","Vide"))</f>
        <v/>
      </c>
      <c r="AP31">
        <f>IF(AJ31="DCE_A_TELECHARGER","Telecharger DCE",IF(T31="A_VERIFIER_BUDGET","Verifier budget",IF(AN31="CHAUD","Contacter maintenant",IF(AN31="TIEDE","Surveiller / relancer","Basse priorite"))))</f>
        <v/>
      </c>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26-83118. Objet: 2026-61359767 (avis de publicité)  et référence DIPADEST sur Place. Acheteur: DGDDI DI PARIS-AEROPORTS. Lien: https://www.boamp.fr/pages/avis/?q=idweb:26-83118.</t>
        </is>
      </c>
      <c r="AU31" t="inlineStr">
        <is>
          <t>Verifier url_avis et DCE si disponible</t>
        </is>
      </c>
      <c r="AV31" t="inlineStr">
        <is>
          <t>LIEN_SEUL</t>
        </is>
      </c>
      <c r="AW31" t="inlineStr"/>
      <c r="AX31" t="inlineStr"/>
      <c r="AY31" t="inlineStr"/>
      <c r="AZ31" t="inlineStr"/>
      <c r="BA31" t="inlineStr"/>
      <c r="BB31" t="inlineStr">
        <is>
          <t>+33.5 nettoyage + categorie claire (1 termes) | +10 budget non affiche (a verifier) | +10.0 delai 42 j | +1.5 dossier renseigne (3/4)</t>
        </is>
      </c>
      <c r="BC31" t="inlineStr">
        <is>
          <t>DGDDI DI PARIS-AEROPORTS publie un AO potentiellement pertinent pour CHRUTH : 2026-61359767 (avis de publicité)  et référence DIPADEST sur Place. Zone : 95,93,94,75,77. Budget a verifier. Verifier le lien source avant contact.</t>
        </is>
      </c>
      <c r="BD31" t="inlineStr">
        <is>
          <t>Bonjour,
Je me permets de vous contacter au sujet de votre appel d'offres : 2026-61359767 (avis de publicité)  et référence DIPADEST sur Place.
CHRUTH accompagne les structures publiques et privées sur les besoins de nettoyage, d'entretien des locaux et d'organisation de prestations de service.
Serait-il possible d'échanger rapidement afin de vérifier les modalités de réponse et les attentes de DGDDI DI PARIS-AEROPORTS ?
Cordialement,</t>
        </is>
      </c>
      <c r="BE31" t="inlineStr">
        <is>
          <t>Bonjour, je vous appelle concernant un appel d'offres publié par DGDDI DI PARIS-AEROPORTS.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2026-W35</t>
        </is>
      </c>
    </row>
    <row r="32">
      <c r="A32" t="inlineStr">
        <is>
          <t>BOAMP</t>
        </is>
      </c>
      <c r="B32" t="inlineStr">
        <is>
          <t>26-73898</t>
        </is>
      </c>
      <c r="C32" t="inlineStr">
        <is>
          <t>Fourniture de petits matériels et de consommables d'entretien et d'hygiène</t>
        </is>
      </c>
      <c r="D32" t="inlineStr">
        <is>
          <t>Département des Hauts-de-Seine</t>
        </is>
      </c>
      <c r="E32" t="inlineStr"/>
      <c r="F32" t="inlineStr"/>
      <c r="G32" t="inlineStr"/>
      <c r="H32" t="inlineStr"/>
      <c r="I32" t="inlineStr">
        <is>
          <t>publications-joue@aws-france.com</t>
        </is>
      </c>
      <c r="J32" t="inlineStr">
        <is>
          <t>+33480041260</t>
        </is>
      </c>
      <c r="K32" t="inlineStr"/>
      <c r="L32" t="inlineStr"/>
      <c r="M32" t="inlineStr"/>
      <c r="N32" t="inlineStr">
        <is>
          <t>92</t>
        </is>
      </c>
      <c r="O32" t="inlineStr"/>
      <c r="P32" t="inlineStr">
        <is>
          <t>Ile-de-France</t>
        </is>
      </c>
      <c r="Q32" s="15" t="n">
        <v>46228</v>
      </c>
      <c r="R32" s="15" t="n">
        <v>46280</v>
      </c>
      <c r="S32" t="inlineStr"/>
      <c r="T32" t="inlineStr">
        <is>
          <t>A_VERIFIER_BUDGET</t>
        </is>
      </c>
      <c r="U32" t="inlineStr"/>
      <c r="V32" t="inlineStr">
        <is>
          <t>non</t>
        </is>
      </c>
      <c r="W32" t="inlineStr">
        <is>
          <t>Batiments</t>
        </is>
      </c>
      <c r="X32" t="inlineStr">
        <is>
          <t>Autre</t>
        </is>
      </c>
      <c r="Y32" t="inlineStr">
        <is>
          <t>FOURNITURES</t>
        </is>
      </c>
      <c r="Z32" t="inlineStr">
        <is>
          <t>Procédure Ouverte</t>
        </is>
      </c>
      <c r="AA32" t="inlineStr">
        <is>
          <t>Avis de marché</t>
        </is>
      </c>
      <c r="AB32" t="inlineStr">
        <is>
          <t>Produits d'entretien</t>
        </is>
      </c>
      <c r="AC32" t="inlineStr">
        <is>
          <t>['sociaux', 'environnementaux']</t>
        </is>
      </c>
      <c r="AD32" s="11" t="inlineStr">
        <is>
          <t>https://www.boamp.fr/pages/avis/?q=idweb:26-73898</t>
        </is>
      </c>
      <c r="AE32" t="inlineStr">
        <is>
          <t>https://www.marches-publics.info/mpiaws/index.cfm?fuseaction=dematEnt.login&amp;amp;type=DCE&amp;amp;IDM=1854121</t>
        </is>
      </c>
      <c r="AF32" t="inlineStr">
        <is>
          <t>https://www.marches-publics.info/mpiaws/index.cfm?fuseaction=dematEnt.login&amp;amp;type=DCE&amp;amp;IDM=1854121</t>
        </is>
      </c>
      <c r="AG32" t="inlineStr">
        <is>
          <t>hygiene des locaux</t>
        </is>
      </c>
      <c r="AH32" t="inlineStr">
        <is>
          <t>2</t>
        </is>
      </c>
      <c r="AI32" t="inlineStr">
        <is>
          <t>58</t>
        </is>
      </c>
      <c r="AJ32" t="inlineStr">
        <is>
          <t>INFO_PARTIELLE</t>
        </is>
      </c>
      <c r="AK32" t="inlineStr">
        <is>
          <t>55</t>
        </is>
      </c>
      <c r="AL32" t="inlineStr">
        <is>
          <t>TIEDE</t>
        </is>
      </c>
      <c r="AM32">
        <f>MIN(100,MAX(0,IF(OR(ISNUMBER(SEARCH("nettoyage",C32)),ISNUMBER(SEARCH("proprete",C32)),ISNUMBER(SEARCH("entretien",C32)),ISNUMBER(SEARCH("hygiene",C32))),35,0)+IF(SUM(--(N32="75")+--(O32="75"),--(N32="77")+--(O32="77"),--(N32="78")+--(O32="78"),--(N32="91")+--(O32="91"),--(N32="92")+--(O32="92"),--(N32="93")+--(O32="93"),--(N32="94")+--(O32="94"),--(N32="95")+--(O32="95"))&gt;0,25,4)+IF(S32="",10,IF(S32&lt;=50000,25,IF(S32&lt;=100000,20,IF(S32&lt;=200000,5,IF(S32&lt;=500000,-10,-20)))))+IF(I32&lt;&gt;"",4,0)+IF(J32&lt;&gt;"",4,0)+IF(E32&lt;&gt;"",3,0)+IF(K32&lt;&gt;"",2,0)+IF(M32&lt;&gt;"",1,0)+IF(AD32&lt;&gt;"",1,0)+IF(R32="",0,IF(R32&lt;TODAY(),-30,IF(R32&lt;TODAY()+5,-15,IF(R32&lt;=TODAY()+15,5,10))))))</f>
        <v/>
      </c>
      <c r="AN32">
        <f>IF(AM32&gt;=65,"CHAUD",IF(AM32&gt;=40,"TIEDE","FROID"))</f>
        <v/>
      </c>
      <c r="AO32">
        <f>IF((IF(I32&lt;&gt;"",1,0)+IF(J32&lt;&gt;"",1,0)+IF(E32&lt;&gt;"",1,0)+IF(K32&lt;&gt;"",1,0))&gt;=4,"Complet",IF((IF(I32&lt;&gt;"",1,0)+IF(J32&lt;&gt;"",1,0)+IF(E32&lt;&gt;"",1,0)+IF(K32&lt;&gt;"",1,0))&gt;=2,"Partiel","Vide"))</f>
        <v/>
      </c>
      <c r="AP32">
        <f>IF(AJ32="DCE_A_TELECHARGER","Telecharger DCE",IF(T32="A_VERIFIER_BUDGET","Verifier budget",IF(AN32="CHAUD","Contacter maintenant",IF(AN32="TIEDE","Surveiller / relancer","Basse priorite"))))</f>
        <v/>
      </c>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+10 delai confortable 49j</t>
        </is>
      </c>
      <c r="BC32" t="inlineStr">
        <is>
          <t>Département des Hauts-de-Seine publie un AO potentiellement pertinent pour CHRUTH : Fourniture de petits matériels et de consommables d'entretien et d'hygiène. Zone : 92. Budget a verifier. Verifier le lien source avant contact.</t>
        </is>
      </c>
      <c r="BD32"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32"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26-72955</t>
        </is>
      </c>
      <c r="C33" t="inlineStr">
        <is>
          <t>Prestations de nettoyage courant des locaux du CNRS et de vitreries incluant la fourniture des produits d’entretien et d’hygiène</t>
        </is>
      </c>
      <c r="D33" t="inlineStr">
        <is>
          <t>CNRS Délégation paris-Centre</t>
        </is>
      </c>
      <c r="E33" t="inlineStr">
        <is>
          <t>18008901303282</t>
        </is>
      </c>
      <c r="F33" t="inlineStr">
        <is>
          <t>180089013</t>
        </is>
      </c>
      <c r="G33" t="inlineStr"/>
      <c r="H33" t="inlineStr"/>
      <c r="I33" t="inlineStr">
        <is>
          <t>marchesdr2@dr2.cnrs.fr</t>
        </is>
      </c>
      <c r="J33" t="inlineStr">
        <is>
          <t>0890130328</t>
        </is>
      </c>
      <c r="K33" t="inlineStr"/>
      <c r="L33" t="inlineStr"/>
      <c r="M33" t="inlineStr"/>
      <c r="N33" t="inlineStr">
        <is>
          <t>75,77,78,91,92,93,94,95</t>
        </is>
      </c>
      <c r="O33" t="inlineStr"/>
      <c r="P33" t="inlineStr">
        <is>
          <t>Ile-de-France</t>
        </is>
      </c>
      <c r="Q33" s="15" t="n">
        <v>46225</v>
      </c>
      <c r="R33" s="15" t="n">
        <v>46269</v>
      </c>
      <c r="S33" t="inlineStr"/>
      <c r="T33" t="inlineStr">
        <is>
          <t>A_VERIFIER_BUDGET</t>
        </is>
      </c>
      <c r="U33" t="inlineStr"/>
      <c r="V33" t="inlineStr">
        <is>
          <t>non</t>
        </is>
      </c>
      <c r="W33" t="inlineStr">
        <is>
          <t>Batiments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https://www.boamp.fr/pages/avis/?q=idweb:26-72955</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55</t>
        </is>
      </c>
      <c r="AL33" t="inlineStr">
        <is>
          <t>TIEDE</t>
        </is>
      </c>
      <c r="AM33">
        <f>MIN(100,MAX(0,IF(OR(ISNUMBER(SEARCH("nettoyage",C33)),ISNUMBER(SEARCH("proprete",C33)),ISNUMBER(SEARCH("entretien",C33)),ISNUMBER(SEARCH("hygiene",C33))),35,0)+IF(SUM(--(N33="75")+--(O33="75"),--(N33="77")+--(O33="77"),--(N33="78")+--(O33="78"),--(N33="91")+--(O33="91"),--(N33="92")+--(O33="92"),--(N33="93")+--(O33="93"),--(N33="94")+--(O33="94"),--(N33="95")+--(O33="95"))&gt;0,25,4)+IF(S33="",10,IF(S33&lt;=50000,25,IF(S33&lt;=100000,20,IF(S33&lt;=200000,5,IF(S33&lt;=500000,-10,-20)))))+IF(I33&lt;&gt;"",4,0)+IF(J33&lt;&gt;"",4,0)+IF(E33&lt;&gt;"",3,0)+IF(K33&lt;&gt;"",2,0)+IF(M33&lt;&gt;"",1,0)+IF(AD33&lt;&gt;"",1,0)+IF(R33="",0,IF(R33&lt;TODAY(),-30,IF(R33&lt;TODAY()+5,-15,IF(R33&lt;=TODAY()+15,5,10))))))</f>
        <v/>
      </c>
      <c r="AN33">
        <f>IF(AM33&gt;=65,"CHAUD",IF(AM33&gt;=40,"TIEDE","FROID"))</f>
        <v/>
      </c>
      <c r="AO33">
        <f>IF((IF(I33&lt;&gt;"",1,0)+IF(J33&lt;&gt;"",1,0)+IF(E33&lt;&gt;"",1,0)+IF(K33&lt;&gt;"",1,0))&gt;=4,"Complet",IF((IF(I33&lt;&gt;"",1,0)+IF(J33&lt;&gt;"",1,0)+IF(E33&lt;&gt;"",1,0)+IF(K33&lt;&gt;"",1,0))&gt;=2,"Partiel","Vide"))</f>
        <v/>
      </c>
      <c r="AP33">
        <f>IF(AJ33="DCE_A_TELECHARGER","Telecharger DCE",IF(T33="A_VERIFIER_BUDGET","Verifier budget",IF(AN33="CHAUD","Contacter maintenant",IF(AN33="TIEDE","Surveiller / relancer","Basse priorite"))))</f>
        <v/>
      </c>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38j</t>
        </is>
      </c>
      <c r="BC33"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33"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33"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2026-W30</t>
        </is>
      </c>
    </row>
    <row r="34">
      <c r="A34" t="inlineStr">
        <is>
          <t>BOAMP</t>
        </is>
      </c>
      <c r="B34" t="inlineStr">
        <is>
          <t>26-72105</t>
        </is>
      </c>
      <c r="C34" t="inlineStr">
        <is>
          <t>PRESTATIONS DE SERVICES DE NETTOYAGE ET BIONETTOYAGE DES LOCAUX, DE LA VITRERIE ET SERVICES ASSOCIES POUR LE CHIMM</t>
        </is>
      </c>
      <c r="D34" t="inlineStr">
        <is>
          <t>Centre Hospitalier Poissy/Saint-Germain-En-Laye</t>
        </is>
      </c>
      <c r="E34" t="inlineStr">
        <is>
          <t>26780580200316</t>
        </is>
      </c>
      <c r="F34" t="inlineStr">
        <is>
          <t>267805802</t>
        </is>
      </c>
      <c r="G34" t="inlineStr"/>
      <c r="H34" t="inlineStr"/>
      <c r="I34" t="inlineStr">
        <is>
          <t>clementine.hee@ght-yvelinesnord.fr</t>
        </is>
      </c>
      <c r="J34" t="inlineStr">
        <is>
          <t>0580200316</t>
        </is>
      </c>
      <c r="K34" t="inlineStr"/>
      <c r="L34" t="inlineStr"/>
      <c r="M34" t="inlineStr"/>
      <c r="N34" t="inlineStr">
        <is>
          <t>78</t>
        </is>
      </c>
      <c r="O34" t="inlineStr"/>
      <c r="P34" t="inlineStr">
        <is>
          <t>Ile-de-France</t>
        </is>
      </c>
      <c r="Q34" s="15" t="n">
        <v>46224</v>
      </c>
      <c r="R34" s="15" t="n">
        <v>46293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 Vitrerie</t>
        </is>
      </c>
      <c r="AC34" t="inlineStr"/>
      <c r="AD34" s="11" t="inlineStr">
        <is>
          <t>https://www.boamp.fr/pages/avis/?q=idweb:26-72105</t>
        </is>
      </c>
      <c r="AE34" t="inlineStr">
        <is>
          <t>https://marches.maximilien.fr/entreprise/consultation/943757?orgAcronyme=a2k</t>
        </is>
      </c>
      <c r="AF34" t="inlineStr">
        <is>
          <t>https://marches.maximilien.fr/entreprise/consultation/943757?orgAcronyme=a2k</t>
        </is>
      </c>
      <c r="AG34" t="inlineStr">
        <is>
          <t>nettoyage, bionettoyage</t>
        </is>
      </c>
      <c r="AH34" t="inlineStr">
        <is>
          <t>3</t>
        </is>
      </c>
      <c r="AI34" t="inlineStr">
        <is>
          <t>76</t>
        </is>
      </c>
      <c r="AJ34" t="inlineStr">
        <is>
          <t>INFO_PARTIELLE</t>
        </is>
      </c>
      <c r="AK34" t="inlineStr">
        <is>
          <t>55</t>
        </is>
      </c>
      <c r="AL34" t="inlineStr">
        <is>
          <t>TIEDE</t>
        </is>
      </c>
      <c r="AM34">
        <f>MIN(100,MAX(0,IF(OR(ISNUMBER(SEARCH("nettoyage",C34)),ISNUMBER(SEARCH("proprete",C34)),ISNUMBER(SEARCH("entretien",C34)),ISNUMBER(SEARCH("hygiene",C34))),35,0)+IF(SUM(--(N34="75")+--(O34="75"),--(N34="77")+--(O34="77"),--(N34="78")+--(O34="78"),--(N34="91")+--(O34="91"),--(N34="92")+--(O34="92"),--(N34="93")+--(O34="93"),--(N34="94")+--(O34="94"),--(N34="95")+--(O34="95"))&gt;0,25,4)+IF(S34="",10,IF(S34&lt;=50000,25,IF(S34&lt;=100000,20,IF(S34&lt;=200000,5,IF(S34&lt;=500000,-10,-20)))))+IF(I34&lt;&gt;"",4,0)+IF(J34&lt;&gt;"",4,0)+IF(E34&lt;&gt;"",3,0)+IF(K34&lt;&gt;"",2,0)+IF(M34&lt;&gt;"",1,0)+IF(AD34&lt;&gt;"",1,0)+IF(R34="",0,IF(R34&lt;TODAY(),-30,IF(R34&lt;TODAY()+5,-15,IF(R34&lt;=TODAY()+15,5,10))))))</f>
        <v/>
      </c>
      <c r="AN34">
        <f>IF(AM34&gt;=65,"CHAUD",IF(AM34&gt;=40,"TIEDE","FROID"))</f>
        <v/>
      </c>
      <c r="AO34">
        <f>IF((IF(I34&lt;&gt;"",1,0)+IF(J34&lt;&gt;"",1,0)+IF(E34&lt;&gt;"",1,0)+IF(K34&lt;&gt;"",1,0))&gt;=4,"Complet",IF((IF(I34&lt;&gt;"",1,0)+IF(J34&lt;&gt;"",1,0)+IF(E34&lt;&gt;"",1,0)+IF(K34&lt;&gt;"",1,0))&gt;=2,"Partiel","Vide"))</f>
        <v/>
      </c>
      <c r="AP34">
        <f>IF(AJ34="DCE_A_TELECHARGER","Telecharger DCE",IF(T34="A_VERIFIER_BUDGET","Verifier budget",IF(AN34="CHAUD","Contacter maintenant",IF(AN34="TIEDE","Surveiller / relancer","Basse priorite"))))</f>
        <v/>
      </c>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62j</t>
        </is>
      </c>
      <c r="BC34"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34"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34"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26-70522</t>
        </is>
      </c>
      <c r="C35" t="inlineStr">
        <is>
          <t>PRESTATIONS DE COACHING ET D’ACCOMPAGNEMENT DES MEMBRES D’UN CODIR AU PROFIT DE L’EPIDE</t>
        </is>
      </c>
      <c r="D35" t="inlineStr">
        <is>
          <t>EPIDE</t>
        </is>
      </c>
      <c r="E35" t="inlineStr">
        <is>
          <t>18009259500131</t>
        </is>
      </c>
      <c r="F35" t="inlineStr">
        <is>
          <t>180092595</t>
        </is>
      </c>
      <c r="G35" t="inlineStr"/>
      <c r="H35" t="inlineStr"/>
      <c r="I35" t="inlineStr">
        <is>
          <t>achats@epide.fr</t>
        </is>
      </c>
      <c r="J35" t="inlineStr">
        <is>
          <t>0925950013</t>
        </is>
      </c>
      <c r="K35" t="inlineStr"/>
      <c r="L35" t="inlineStr"/>
      <c r="M35" t="inlineStr"/>
      <c r="N35" t="inlineStr">
        <is>
          <t>92,67,68,24,33,40,47,64,3</t>
        </is>
      </c>
      <c r="O35" t="inlineStr"/>
      <c r="P35" t="inlineStr">
        <is>
          <t>Ile-de-France</t>
        </is>
      </c>
      <c r="Q35" s="15" t="n">
        <v>46220</v>
      </c>
      <c r="R35" s="15" t="n">
        <v>46259</v>
      </c>
      <c r="S35" t="inlineStr"/>
      <c r="T35" t="inlineStr">
        <is>
          <t>A_VERIFIER_BUDGET</t>
        </is>
      </c>
      <c r="U35" t="inlineStr"/>
      <c r="V35" t="inlineStr">
        <is>
          <t>non</t>
        </is>
      </c>
      <c r="W35" t="inlineStr">
        <is>
          <t>Batiments</t>
        </is>
      </c>
      <c r="X35" t="inlineStr">
        <is>
          <t>Autre</t>
        </is>
      </c>
      <c r="Y35" t="inlineStr">
        <is>
          <t>SERVICES</t>
        </is>
      </c>
      <c r="Z35" t="inlineStr">
        <is>
          <t>Procédure Ouverte</t>
        </is>
      </c>
      <c r="AA35" t="inlineStr">
        <is>
          <t>Avis de marché</t>
        </is>
      </c>
      <c r="AB35" t="inlineStr">
        <is>
          <t>Nettoyage de locaux</t>
        </is>
      </c>
      <c r="AC35" t="inlineStr"/>
      <c r="AD35" s="11" t="inlineStr">
        <is>
          <t>https://www.boamp.fr/pages/avis/?q=idweb:26-70522</t>
        </is>
      </c>
      <c r="AE35" t="inlineStr">
        <is>
          <t>https://www.epide.fr/</t>
        </is>
      </c>
      <c r="AF35" t="inlineStr"/>
      <c r="AG35" t="inlineStr">
        <is>
          <t>nettoyage</t>
        </is>
      </c>
      <c r="AH35" t="inlineStr">
        <is>
          <t>3</t>
        </is>
      </c>
      <c r="AI35" t="inlineStr">
        <is>
          <t>68</t>
        </is>
      </c>
      <c r="AJ35" t="inlineStr">
        <is>
          <t>INFO_PARTIELLE</t>
        </is>
      </c>
      <c r="AK35" t="inlineStr">
        <is>
          <t>55</t>
        </is>
      </c>
      <c r="AL35" t="inlineStr">
        <is>
          <t>TIEDE</t>
        </is>
      </c>
      <c r="AM35">
        <f>MIN(100,MAX(0,IF(OR(ISNUMBER(SEARCH("nettoyage",C35)),ISNUMBER(SEARCH("proprete",C35)),ISNUMBER(SEARCH("entretien",C35)),ISNUMBER(SEARCH("hygiene",C35))),35,0)+IF(SUM(--(N35="75")+--(O35="75"),--(N35="77")+--(O35="77"),--(N35="78")+--(O35="78"),--(N35="91")+--(O35="91"),--(N35="92")+--(O35="92"),--(N35="93")+--(O35="93"),--(N35="94")+--(O35="94"),--(N35="95")+--(O35="95"))&gt;0,25,4)+IF(S35="",10,IF(S35&lt;=50000,25,IF(S35&lt;=100000,20,IF(S35&lt;=200000,5,IF(S35&lt;=500000,-10,-20)))))+IF(I35&lt;&gt;"",4,0)+IF(J35&lt;&gt;"",4,0)+IF(E35&lt;&gt;"",3,0)+IF(K35&lt;&gt;"",2,0)+IF(M35&lt;&gt;"",1,0)+IF(AD35&lt;&gt;"",1,0)+IF(R35="",0,IF(R35&lt;TODAY(),-30,IF(R35&lt;TODAY()+5,-15,IF(R35&lt;=TODAY()+15,5,10))))))</f>
        <v/>
      </c>
      <c r="AN35">
        <f>IF(AM35&gt;=65,"CHAUD",IF(AM35&gt;=40,"TIEDE","FROID"))</f>
        <v/>
      </c>
      <c r="AO35">
        <f>IF((IF(I35&lt;&gt;"",1,0)+IF(J35&lt;&gt;"",1,0)+IF(E35&lt;&gt;"",1,0)+IF(K35&lt;&gt;"",1,0))&gt;=4,"Complet",IF((IF(I35&lt;&gt;"",1,0)+IF(J35&lt;&gt;"",1,0)+IF(E35&lt;&gt;"",1,0)+IF(K35&lt;&gt;"",1,0))&gt;=2,"Partiel","Vide"))</f>
        <v/>
      </c>
      <c r="AP35">
        <f>IF(AJ35="DCE_A_TELECHARGER","Telecharger DCE",IF(T35="A_VERIFIER_BUDGET","Verifier budget",IF(AN35="CHAUD","Contacter maintenant",IF(AN35="TIEDE","Surveiller / relancer","Basse priorite"))))</f>
        <v/>
      </c>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28j</t>
        </is>
      </c>
      <c r="BC35" t="inlineStr">
        <is>
          <t>EPIDE publie un AO potentiellement pertinent pour CHRUTH : PRESTATIONS DE COACHING ET D’ACCOMPAGNEMENT DES MEMBRES D’UN CODIR AU PROFIT DE L’EPIDE. Zone : 92,67,68,24,33,40,47,64,3. Budget a verifier. Verifier le lien source avant contact.</t>
        </is>
      </c>
      <c r="BD35"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35"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2026-W29</t>
        </is>
      </c>
    </row>
    <row r="36">
      <c r="A36" t="inlineStr">
        <is>
          <t>BOAMP</t>
        </is>
      </c>
      <c r="B36" t="inlineStr">
        <is>
          <t>26-70503</t>
        </is>
      </c>
      <c r="C36" t="inlineStr">
        <is>
          <t>Prestations de nettoyage des locaux et de la vitrerie et prestations associées pour les sites du GHT Grand Paris Nord-Est</t>
        </is>
      </c>
      <c r="D36" t="inlineStr">
        <is>
          <t>GHT GPNE</t>
        </is>
      </c>
      <c r="E36" t="inlineStr">
        <is>
          <t>20001803400013</t>
        </is>
      </c>
      <c r="F36" t="inlineStr">
        <is>
          <t>200018034</t>
        </is>
      </c>
      <c r="G36" t="inlineStr"/>
      <c r="H36" t="inlineStr"/>
      <c r="I36" t="inlineStr">
        <is>
          <t>ght.cellule-des-marches@ght-gpne.fr</t>
        </is>
      </c>
      <c r="J36" t="inlineStr">
        <is>
          <t>0180340001</t>
        </is>
      </c>
      <c r="K36" t="inlineStr"/>
      <c r="L36" t="inlineStr"/>
      <c r="M36" t="inlineStr"/>
      <c r="N36" t="inlineStr">
        <is>
          <t>93</t>
        </is>
      </c>
      <c r="O36" t="inlineStr"/>
      <c r="P36" t="inlineStr">
        <is>
          <t>Ile-de-France</t>
        </is>
      </c>
      <c r="Q36" s="15" t="n">
        <v>46220</v>
      </c>
      <c r="R36" s="15" t="n">
        <v>46269</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c r="AD36" s="11" t="inlineStr">
        <is>
          <t>https://www.boamp.fr/pages/avis/?q=idweb:26-70503</t>
        </is>
      </c>
      <c r="AE36" t="inlineStr">
        <is>
          <t>https://marches.maximilien.fr/entreprise/consultation/943277?orgAcronyme=a1j</t>
        </is>
      </c>
      <c r="AF36" t="inlineStr">
        <is>
          <t>https://marches.maximilien.fr/entreprise/consultation/943277?orgAcronyme=a1j</t>
        </is>
      </c>
      <c r="AG36" t="inlineStr">
        <is>
          <t>nettoyage</t>
        </is>
      </c>
      <c r="AH36" t="inlineStr">
        <is>
          <t>3</t>
        </is>
      </c>
      <c r="AI36" t="inlineStr">
        <is>
          <t>68</t>
        </is>
      </c>
      <c r="AJ36" t="inlineStr">
        <is>
          <t>INFO_PARTIELLE</t>
        </is>
      </c>
      <c r="AK36" t="inlineStr">
        <is>
          <t>55</t>
        </is>
      </c>
      <c r="AL36" t="inlineStr">
        <is>
          <t>TIEDE</t>
        </is>
      </c>
      <c r="AM36">
        <f>MIN(100,MAX(0,IF(OR(ISNUMBER(SEARCH("nettoyage",C36)),ISNUMBER(SEARCH("proprete",C36)),ISNUMBER(SEARCH("entretien",C36)),ISNUMBER(SEARCH("hygiene",C36))),35,0)+IF(SUM(--(N36="75")+--(O36="75"),--(N36="77")+--(O36="77"),--(N36="78")+--(O36="78"),--(N36="91")+--(O36="91"),--(N36="92")+--(O36="92"),--(N36="93")+--(O36="93"),--(N36="94")+--(O36="94"),--(N36="95")+--(O36="95"))&gt;0,25,4)+IF(S36="",10,IF(S36&lt;=50000,25,IF(S36&lt;=100000,20,IF(S36&lt;=200000,5,IF(S36&lt;=500000,-10,-20)))))+IF(I36&lt;&gt;"",4,0)+IF(J36&lt;&gt;"",4,0)+IF(E36&lt;&gt;"",3,0)+IF(K36&lt;&gt;"",2,0)+IF(M36&lt;&gt;"",1,0)+IF(AD36&lt;&gt;"",1,0)+IF(R36="",0,IF(R36&lt;TODAY(),-30,IF(R36&lt;TODAY()+5,-15,IF(R36&lt;=TODAY()+15,5,10))))))</f>
        <v/>
      </c>
      <c r="AN36">
        <f>IF(AM36&gt;=65,"CHAUD",IF(AM36&gt;=40,"TIEDE","FROID"))</f>
        <v/>
      </c>
      <c r="AO36">
        <f>IF((IF(I36&lt;&gt;"",1,0)+IF(J36&lt;&gt;"",1,0)+IF(E36&lt;&gt;"",1,0)+IF(K36&lt;&gt;"",1,0))&gt;=4,"Complet",IF((IF(I36&lt;&gt;"",1,0)+IF(J36&lt;&gt;"",1,0)+IF(E36&lt;&gt;"",1,0)+IF(K36&lt;&gt;"",1,0))&gt;=2,"Partiel","Vide"))</f>
        <v/>
      </c>
      <c r="AP36">
        <f>IF(AJ36="DCE_A_TELECHARGER","Telecharger DCE",IF(T36="A_VERIFIER_BUDGET","Verifier budget",IF(AN36="CHAUD","Contacter maintenant",IF(AN36="TIEDE","Surveiller / relancer","Basse priorite"))))</f>
        <v/>
      </c>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38j</t>
        </is>
      </c>
      <c r="BC36" t="inlineStr">
        <is>
          <t>GHT GPNE publie un AO potentiellement pertinent pour CHRUTH : Prestations de nettoyage des locaux et de la vitrerie et prestations associées pour les sites du GHT Grand Paris Nord-Est. Zone : 93. Budget a verifier. Verifier le lien source avant contact.</t>
        </is>
      </c>
      <c r="BD36"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36"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26-82245</t>
        </is>
      </c>
      <c r="C37" t="inlineStr">
        <is>
          <t>PRESTATIONS DE NETTOYAGE ET D'ENTRETIEN MENAGER DES BATIMENTS UNIVERSITAIRES</t>
        </is>
      </c>
      <c r="D37" t="inlineStr">
        <is>
          <t>Communauté d'Agglomération Melun Val de Seine</t>
        </is>
      </c>
      <c r="E37" t="inlineStr"/>
      <c r="F37" t="inlineStr"/>
      <c r="G37" t="inlineStr"/>
      <c r="H37" t="inlineStr"/>
      <c r="I37" t="inlineStr">
        <is>
          <t>publications-joue@aws-france.com</t>
        </is>
      </c>
      <c r="J37" t="inlineStr">
        <is>
          <t>+33480041260</t>
        </is>
      </c>
      <c r="K37" t="inlineStr"/>
      <c r="L37" t="inlineStr"/>
      <c r="M37" t="inlineStr"/>
      <c r="N37" t="inlineStr">
        <is>
          <t>77</t>
        </is>
      </c>
      <c r="O37" t="inlineStr"/>
      <c r="P37" t="inlineStr">
        <is>
          <t>Ile-de-France</t>
        </is>
      </c>
      <c r="Q37" s="15" t="n">
        <v>46257</v>
      </c>
      <c r="R37" s="15" t="n">
        <v>46286</v>
      </c>
      <c r="S37" s="14" t="n">
        <v>120000</v>
      </c>
      <c r="T37" t="inlineStr">
        <is>
          <t>BUDGET_EXPLICITE_OK</t>
        </is>
      </c>
      <c r="U37" t="inlineStr">
        <is>
          <t>120000</t>
        </is>
      </c>
      <c r="V37" t="inlineStr">
        <is>
          <t>oui</t>
        </is>
      </c>
      <c r="W37" t="inlineStr">
        <is>
          <t>Batiments</t>
        </is>
      </c>
      <c r="X37" t="inlineStr">
        <is>
          <t>Autre</t>
        </is>
      </c>
      <c r="Y37" t="inlineStr">
        <is>
          <t>SERVICES</t>
        </is>
      </c>
      <c r="Z37" t="inlineStr">
        <is>
          <t>Procédure Ouverte</t>
        </is>
      </c>
      <c r="AA37" t="inlineStr">
        <is>
          <t>Avis de marché</t>
        </is>
      </c>
      <c r="AB37" t="inlineStr">
        <is>
          <t>Nettoyage de locaux, Prestations de services</t>
        </is>
      </c>
      <c r="AC37" t="inlineStr"/>
      <c r="AD37" s="11" t="inlineStr">
        <is>
          <t>https://www.boamp.fr/pages/avis/?q=idweb:26-82245</t>
        </is>
      </c>
      <c r="AE37" t="inlineStr">
        <is>
          <t>https://www.marches-publics.info/mpiaws/index.cfm?fuseaction=dematEnt.login&amp;amp;type=DCE&amp;amp;IDM=1863025</t>
        </is>
      </c>
      <c r="AF37" t="inlineStr">
        <is>
          <t>https://www.marches-publics.info/mpiaws/index.cfm?fuseaction=dematEnt.login&amp;amp;type=DCE&amp;amp;IDM=1863025</t>
        </is>
      </c>
      <c r="AG37" t="inlineStr">
        <is>
          <t>nettoyage, entretien menager</t>
        </is>
      </c>
      <c r="AH37" t="inlineStr">
        <is>
          <t>2</t>
        </is>
      </c>
      <c r="AI37" t="inlineStr">
        <is>
          <t>62</t>
        </is>
      </c>
      <c r="AJ37" t="inlineStr">
        <is>
          <t>INFO_PARTIELLE</t>
        </is>
      </c>
      <c r="AK37" t="inlineStr">
        <is>
          <t>53.8</t>
        </is>
      </c>
      <c r="AL37" t="inlineStr">
        <is>
          <t>TIEDE</t>
        </is>
      </c>
      <c r="AM37">
        <f>MIN(100,MAX(0,IF(OR(ISNUMBER(SEARCH("nettoyage",C37)),ISNUMBER(SEARCH("proprete",C37)),ISNUMBER(SEARCH("entretien",C37)),ISNUMBER(SEARCH("hygiene",C37))),35,0)+IF(SUM(--(N37="75")+--(O37="75"),--(N37="77")+--(O37="77"),--(N37="78")+--(O37="78"),--(N37="91")+--(O37="91"),--(N37="92")+--(O37="92"),--(N37="93")+--(O37="93"),--(N37="94")+--(O37="94"),--(N37="95")+--(O37="95"))&gt;0,25,4)+IF(S37="",10,IF(S37&lt;=50000,25,IF(S37&lt;=100000,20,IF(S37&lt;=200000,5,IF(S37&lt;=500000,-10,-20)))))+IF(I37&lt;&gt;"",4,0)+IF(J37&lt;&gt;"",4,0)+IF(E37&lt;&gt;"",3,0)+IF(K37&lt;&gt;"",2,0)+IF(M37&lt;&gt;"",1,0)+IF(AD37&lt;&gt;"",1,0)+IF(R37="",0,IF(R37&lt;TODAY(),-30,IF(R37&lt;TODAY()+5,-15,IF(R37&lt;=TODAY()+15,5,10))))))</f>
        <v/>
      </c>
      <c r="AN37">
        <f>IF(AM37&gt;=65,"CHAUD",IF(AM37&gt;=40,"TIEDE","FROID"))</f>
        <v/>
      </c>
      <c r="AO37">
        <f>IF((IF(I37&lt;&gt;"",1,0)+IF(J37&lt;&gt;"",1,0)+IF(E37&lt;&gt;"",1,0)+IF(K37&lt;&gt;"",1,0))&gt;=4,"Complet",IF((IF(I37&lt;&gt;"",1,0)+IF(J37&lt;&gt;"",1,0)+IF(E37&lt;&gt;"",1,0)+IF(K37&lt;&gt;"",1,0))&gt;=2,"Partiel","Vide"))</f>
        <v/>
      </c>
      <c r="AP37">
        <f>IF(AJ37="DCE_A_TELECHARGER","Telecharger DCE",IF(T37="A_VERIFIER_BUDGET","Verifier budget",IF(AN37="CHAUD","Contacter maintenant",IF(AN37="TIEDE","Surveiller / relancer","Basse priorite"))))</f>
        <v/>
      </c>
      <c r="AQ37" t="inlineStr">
        <is>
          <t>IA_CONTACT_A_COMPLETER</t>
        </is>
      </c>
      <c r="AR37" t="inlineStr">
        <is>
          <t>Completer les champs manquants depuis l'avis source, le site acheteur ou le DCE.</t>
        </is>
      </c>
      <c r="AS37" t="inlineStr">
        <is>
          <t>SIRET, 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26-82245. Objet: PRESTATIONS DE NETTOYAGE ET D'ENTRETIEN MENAGER DES BATIMENTS UNIVERSITAIRES. Acheteur: Communauté d'Agglomération Melun Val de Seine. Lien: https://www.boamp.fr/pages/avis/?q=idweb:26-82245.</t>
        </is>
      </c>
      <c r="AU37" t="inlineStr">
        <is>
          <t>Verifier url_avis et DCE si disponible</t>
        </is>
      </c>
      <c r="AV37" t="inlineStr"/>
      <c r="AW37" t="inlineStr"/>
      <c r="AX37" t="inlineStr"/>
      <c r="AY37" t="inlineStr"/>
      <c r="AZ37" t="inlineStr"/>
      <c r="BA37" t="inlineStr"/>
      <c r="BB37" t="inlineStr">
        <is>
          <t>+33.5 nettoyage + categorie claire (1 termes) | +11.0 budget annualise 120 000 EUR | +7.8 delai 21 j | +1.5 dossier renseigne (3/4)</t>
        </is>
      </c>
      <c r="BC37"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7"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7"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2026-W34</t>
        </is>
      </c>
    </row>
    <row r="38">
      <c r="A38" t="inlineStr">
        <is>
          <t>BOAMP</t>
        </is>
      </c>
      <c r="B38" t="inlineStr">
        <is>
          <t>26-81766</t>
        </is>
      </c>
      <c r="C38" t="inlineStr">
        <is>
          <t>PRESTATIONS DE NETTOYAGE ET D'ENTRETIEN MENAGER DES BATIMENTS UNIVERSITAIRES</t>
        </is>
      </c>
      <c r="D38" t="inlineStr">
        <is>
          <t>Communauté d'Agglomération Melun Val de Seine</t>
        </is>
      </c>
      <c r="E38" t="inlineStr"/>
      <c r="F38" t="inlineStr"/>
      <c r="G38" t="inlineStr"/>
      <c r="H38" t="inlineStr"/>
      <c r="I38" t="inlineStr">
        <is>
          <t>publications-joue@aws-france.com</t>
        </is>
      </c>
      <c r="J38" t="inlineStr">
        <is>
          <t>+33480041260</t>
        </is>
      </c>
      <c r="K38" t="inlineStr"/>
      <c r="L38" t="inlineStr"/>
      <c r="M38" t="inlineStr"/>
      <c r="N38" t="inlineStr">
        <is>
          <t>77</t>
        </is>
      </c>
      <c r="O38" t="inlineStr"/>
      <c r="P38" t="inlineStr">
        <is>
          <t>Ile-de-France</t>
        </is>
      </c>
      <c r="Q38" s="15" t="n">
        <v>46255</v>
      </c>
      <c r="R38" s="15" t="n">
        <v>46286</v>
      </c>
      <c r="S38" s="14" t="n">
        <v>120000</v>
      </c>
      <c r="T38" t="inlineStr">
        <is>
          <t>BUDGET_EXPLICITE_OK</t>
        </is>
      </c>
      <c r="U38" t="inlineStr">
        <is>
          <t>120000</t>
        </is>
      </c>
      <c r="V38" t="inlineStr">
        <is>
          <t>oui</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https://www.boamp.fr/pages/avis/?q=idweb:26-81766</t>
        </is>
      </c>
      <c r="AE38" t="inlineStr">
        <is>
          <t>https://www.marches-publics.info/mpiaws/index.cfm?fuseaction=dematEnt.login&amp;amp;type=DCE&amp;amp;IDM=1863025</t>
        </is>
      </c>
      <c r="AF38" t="inlineStr">
        <is>
          <t>https://www.marches-publics.info/mpiaws/index.cfm?fuseaction=dematEnt.login&amp;amp;type=DCE&amp;amp;IDM=1863025</t>
        </is>
      </c>
      <c r="AG38" t="inlineStr">
        <is>
          <t>nettoyage, entretien menager</t>
        </is>
      </c>
      <c r="AH38" t="inlineStr">
        <is>
          <t>2</t>
        </is>
      </c>
      <c r="AI38" t="inlineStr">
        <is>
          <t>62</t>
        </is>
      </c>
      <c r="AJ38" t="inlineStr">
        <is>
          <t>INFO_PARTIELLE</t>
        </is>
      </c>
      <c r="AK38" t="inlineStr">
        <is>
          <t>53.8</t>
        </is>
      </c>
      <c r="AL38" t="inlineStr">
        <is>
          <t>TIEDE</t>
        </is>
      </c>
      <c r="AM38">
        <f>MIN(100,MAX(0,IF(OR(ISNUMBER(SEARCH("nettoyage",C38)),ISNUMBER(SEARCH("proprete",C38)),ISNUMBER(SEARCH("entretien",C38)),ISNUMBER(SEARCH("hygiene",C38))),35,0)+IF(SUM(--(N38="75")+--(O38="75"),--(N38="77")+--(O38="77"),--(N38="78")+--(O38="78"),--(N38="91")+--(O38="91"),--(N38="92")+--(O38="92"),--(N38="93")+--(O38="93"),--(N38="94")+--(O38="94"),--(N38="95")+--(O38="95"))&gt;0,25,4)+IF(S38="",10,IF(S38&lt;=50000,25,IF(S38&lt;=100000,20,IF(S38&lt;=200000,5,IF(S38&lt;=500000,-10,-20)))))+IF(I38&lt;&gt;"",4,0)+IF(J38&lt;&gt;"",4,0)+IF(E38&lt;&gt;"",3,0)+IF(K38&lt;&gt;"",2,0)+IF(M38&lt;&gt;"",1,0)+IF(AD38&lt;&gt;"",1,0)+IF(R38="",0,IF(R38&lt;TODAY(),-30,IF(R38&lt;TODAY()+5,-15,IF(R38&lt;=TODAY()+15,5,10))))))</f>
        <v/>
      </c>
      <c r="AN38">
        <f>IF(AM38&gt;=65,"CHAUD",IF(AM38&gt;=40,"TIEDE","FROID"))</f>
        <v/>
      </c>
      <c r="AO38">
        <f>IF((IF(I38&lt;&gt;"",1,0)+IF(J38&lt;&gt;"",1,0)+IF(E38&lt;&gt;"",1,0)+IF(K38&lt;&gt;"",1,0))&gt;=4,"Complet",IF((IF(I38&lt;&gt;"",1,0)+IF(J38&lt;&gt;"",1,0)+IF(E38&lt;&gt;"",1,0)+IF(K38&lt;&gt;"",1,0))&gt;=2,"Partiel","Vide"))</f>
        <v/>
      </c>
      <c r="AP38">
        <f>IF(AJ38="DCE_A_TELECHARGER","Telecharger DCE",IF(T38="A_VERIFIER_BUDGET","Verifier budget",IF(AN38="CHAUD","Contacter maintenant",IF(AN38="TIEDE","Surveiller / relancer","Basse priorite"))))</f>
        <v/>
      </c>
      <c r="AQ38" t="inlineStr">
        <is>
          <t>IA_CONTACT_A_COMPLETER</t>
        </is>
      </c>
      <c r="AR38" t="inlineStr">
        <is>
          <t>Completer les champs manquants depuis l'avis source, le site acheteur ou le DCE.</t>
        </is>
      </c>
      <c r="AS38" t="inlineStr">
        <is>
          <t>SIRET, 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26-81766. Objet: PRESTATIONS DE NETTOYAGE ET D'ENTRETIEN MENAGER DES BATIMENTS UNIVERSITAIRES. Acheteur: Communauté d'Agglomération Melun Val de Seine. Lien: https://www.boamp.fr/pages/avis/?q=idweb:26-81766.</t>
        </is>
      </c>
      <c r="AU38" t="inlineStr">
        <is>
          <t>Verifier url_avis et DCE si disponible</t>
        </is>
      </c>
      <c r="AV38" t="inlineStr"/>
      <c r="AW38" t="inlineStr"/>
      <c r="AX38" t="inlineStr"/>
      <c r="AY38" t="inlineStr"/>
      <c r="AZ38" t="inlineStr"/>
      <c r="BA38" t="inlineStr"/>
      <c r="BB38" t="inlineStr">
        <is>
          <t>+33.5 nettoyage + categorie claire (1 termes) | +11.0 budget annualise 120 000 EUR | +7.8 delai 21 j | +1.5 dossier renseigne (3/4)</t>
        </is>
      </c>
      <c r="BC38"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8"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8"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2026-W34</t>
        </is>
      </c>
    </row>
    <row r="39">
      <c r="A39" t="inlineStr">
        <is>
          <t>BOAMP</t>
        </is>
      </c>
      <c r="B39" t="inlineStr">
        <is>
          <t>26-77541</t>
        </is>
      </c>
      <c r="C39" t="inlineStr">
        <is>
          <t>Le présent contrat a pour objet la délégation de l'exploitation du Centre Départemental d'initiation au golf de la Poudrerie à Livry-Gargan</t>
        </is>
      </c>
      <c r="D39" t="inlineStr">
        <is>
          <t>Département de la Seine-Saint-Denis</t>
        </is>
      </c>
      <c r="E39" t="inlineStr"/>
      <c r="F39" t="inlineStr"/>
      <c r="G39" t="inlineStr"/>
      <c r="H39" t="inlineStr"/>
      <c r="I39" t="inlineStr">
        <is>
          <t>publications-joue@aws-france.com</t>
        </is>
      </c>
      <c r="J39" t="inlineStr">
        <is>
          <t>+33480041260</t>
        </is>
      </c>
      <c r="K39" t="inlineStr"/>
      <c r="L39" t="inlineStr"/>
      <c r="M39" t="inlineStr"/>
      <c r="N39" t="inlineStr">
        <is>
          <t>93</t>
        </is>
      </c>
      <c r="O39" t="inlineStr"/>
      <c r="P39" t="inlineStr">
        <is>
          <t>Ile-de-France</t>
        </is>
      </c>
      <c r="Q39" s="15" t="n">
        <v>46239</v>
      </c>
      <c r="R39" s="15" t="n">
        <v>46286</v>
      </c>
      <c r="S39" t="inlineStr"/>
      <c r="T39" t="inlineStr">
        <is>
          <t>A_VERIFIER_BUDGET</t>
        </is>
      </c>
      <c r="U39" t="inlineStr"/>
      <c r="V39" t="inlineStr">
        <is>
          <t>non</t>
        </is>
      </c>
      <c r="W39" t="inlineStr">
        <is>
          <t>Personnel</t>
        </is>
      </c>
      <c r="X39" t="inlineStr">
        <is>
          <t>Autre</t>
        </is>
      </c>
      <c r="Y39" t="inlineStr">
        <is>
          <t>SERVICES</t>
        </is>
      </c>
      <c r="Z39" t="inlineStr">
        <is>
          <t>Procédure NC</t>
        </is>
      </c>
      <c r="AA39" t="inlineStr">
        <is>
          <t>Avis de marché</t>
        </is>
      </c>
      <c r="AB39" t="inlineStr">
        <is>
          <t>Equipement sportif, Délégation de service public</t>
        </is>
      </c>
      <c r="AC39" t="inlineStr">
        <is>
          <t>['environnementaux']</t>
        </is>
      </c>
      <c r="AD39" s="11" t="inlineStr">
        <is>
          <t>https://www.boamp.fr/pages/avis/?q=idweb:26-77541</t>
        </is>
      </c>
      <c r="AE39" t="inlineStr">
        <is>
          <t>https://www.marches-publics.info/mpiaws/index.cfm?fuseaction=dematEnt.login&amp;amp;type=DCE&amp;amp;IDM=1858330</t>
        </is>
      </c>
      <c r="AF39" t="inlineStr">
        <is>
          <t>https://www.marches-publics.info/mpiaws/index.cfm?fuseaction=dematEnt.login&amp;amp;type=DCE&amp;amp;IDM=1858330</t>
        </is>
      </c>
      <c r="AG39" t="inlineStr">
        <is>
          <t>nettoyage</t>
        </is>
      </c>
      <c r="AH39" t="inlineStr">
        <is>
          <t>2</t>
        </is>
      </c>
      <c r="AI39" t="inlineStr">
        <is>
          <t>58</t>
        </is>
      </c>
      <c r="AJ39" t="inlineStr">
        <is>
          <t>INFO_PARTIELLE</t>
        </is>
      </c>
      <c r="AK39" t="inlineStr">
        <is>
          <t>52.8</t>
        </is>
      </c>
      <c r="AL39" t="inlineStr">
        <is>
          <t>TIEDE</t>
        </is>
      </c>
      <c r="AM39">
        <f>MIN(100,MAX(0,IF(OR(ISNUMBER(SEARCH("nettoyage",C39)),ISNUMBER(SEARCH("proprete",C39)),ISNUMBER(SEARCH("entretien",C39)),ISNUMBER(SEARCH("hygiene",C39))),35,0)+IF(SUM(--(N39="75")+--(O39="75"),--(N39="77")+--(O39="77"),--(N39="78")+--(O39="78"),--(N39="91")+--(O39="91"),--(N39="92")+--(O39="92"),--(N39="93")+--(O39="93"),--(N39="94")+--(O39="94"),--(N39="95")+--(O39="95"))&gt;0,25,4)+IF(S39="",10,IF(S39&lt;=50000,25,IF(S39&lt;=100000,20,IF(S39&lt;=200000,5,IF(S39&lt;=500000,-10,-20)))))+IF(I39&lt;&gt;"",4,0)+IF(J39&lt;&gt;"",4,0)+IF(E39&lt;&gt;"",3,0)+IF(K39&lt;&gt;"",2,0)+IF(M39&lt;&gt;"",1,0)+IF(AD39&lt;&gt;"",1,0)+IF(R39="",0,IF(R39&lt;TODAY(),-30,IF(R39&lt;TODAY()+5,-15,IF(R39&lt;=TODAY()+15,5,10))))))</f>
        <v/>
      </c>
      <c r="AN39">
        <f>IF(AM39&gt;=65,"CHAUD",IF(AM39&gt;=40,"TIEDE","FROID"))</f>
        <v/>
      </c>
      <c r="AO39">
        <f>IF((IF(I39&lt;&gt;"",1,0)+IF(J39&lt;&gt;"",1,0)+IF(E39&lt;&gt;"",1,0)+IF(K39&lt;&gt;"",1,0))&gt;=4,"Complet",IF((IF(I39&lt;&gt;"",1,0)+IF(J39&lt;&gt;"",1,0)+IF(E39&lt;&gt;"",1,0)+IF(K39&lt;&gt;"",1,0))&gt;=2,"Partiel","Vide"))</f>
        <v/>
      </c>
      <c r="AP39">
        <f>IF(AJ39="DCE_A_TELECHARGER","Telecharger DCE",IF(T39="A_VERIFIER_BUDGET","Verifier budget",IF(AN39="CHAUD","Contacter maintenant",IF(AN39="TIEDE","Surveiller / relancer","Basse priorite"))))</f>
        <v/>
      </c>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26-77541. Objet: Le présent contrat a pour objet la délégation de l'exploitation du Centre Départemental d'initiation au golf de la Poudrerie à Livry-Gargan. Acheteur: Département de la Seine-Saint-Denis. Lien: https://www.boamp.fr/pages/avis/?q=idweb:26-77541.</t>
        </is>
      </c>
      <c r="AU39" t="inlineStr">
        <is>
          <t>Verifier url_avis et DCE si disponible</t>
        </is>
      </c>
      <c r="AV39" t="inlineStr">
        <is>
          <t>LIEN_SEUL</t>
        </is>
      </c>
      <c r="AW39" t="inlineStr"/>
      <c r="AX39" t="inlineStr"/>
      <c r="AY39" t="inlineStr"/>
      <c r="AZ39" t="inlineStr"/>
      <c r="BA39" t="inlineStr"/>
      <c r="BB39" t="inlineStr">
        <is>
          <t>+33.5 nettoyage + categorie claire (1 termes) | +10 budget non affiche (a verifier) | +7.8 delai 21 j | +1.5 dossier renseigne (3/4)</t>
        </is>
      </c>
      <c r="BC39" t="inlineStr">
        <is>
          <t>Département de la Seine-Saint-Denis publie un AO potentiellement pertinent pour CHRUTH : Le présent contrat a pour objet la délégation de l'exploitation du Centre Départemental d'initiation au golf de la Poudrerie à Livry-Gargan. Zone : 93. Budget a verifier. Verifier le lien source avant contact.</t>
        </is>
      </c>
      <c r="BD39" t="inlineStr">
        <is>
          <t>Bonjour,
Je me permets de vous contacter au sujet de votre appel d'offres : Le présent contrat a pour objet la délégation de l'exploitation du Centre Départemental d'initiation au golf de la Poudrerie à Livry-Gargan.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9"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2026-W32</t>
        </is>
      </c>
    </row>
    <row r="40">
      <c r="A40" t="inlineStr">
        <is>
          <t>BOAMP</t>
        </is>
      </c>
      <c r="B40" t="inlineStr">
        <is>
          <t>26-77581</t>
        </is>
      </c>
      <c r="C40" t="inlineStr">
        <is>
          <t>Marché de service de nettoyage de divers locaux communaux de la commune de Marcoussis</t>
        </is>
      </c>
      <c r="D40" t="inlineStr">
        <is>
          <t>COMMUNE DE MARCOUSSIS</t>
        </is>
      </c>
      <c r="E40" t="inlineStr">
        <is>
          <t>21910363700019</t>
        </is>
      </c>
      <c r="F40" t="inlineStr">
        <is>
          <t>219103637</t>
        </is>
      </c>
      <c r="G40" t="inlineStr"/>
      <c r="H40" t="inlineStr"/>
      <c r="I40" t="inlineStr">
        <is>
          <t>affairesjuridiques@marcoussis.fr</t>
        </is>
      </c>
      <c r="J40" t="inlineStr">
        <is>
          <t>0363700019</t>
        </is>
      </c>
      <c r="K40" t="inlineStr"/>
      <c r="L40" t="inlineStr"/>
      <c r="M40" t="inlineStr"/>
      <c r="N40" t="inlineStr">
        <is>
          <t>91</t>
        </is>
      </c>
      <c r="O40" t="inlineStr"/>
      <c r="P40" t="inlineStr">
        <is>
          <t>Ile-de-France</t>
        </is>
      </c>
      <c r="Q40" s="15" t="n">
        <v>46239</v>
      </c>
      <c r="R40" s="15" t="n">
        <v>46272</v>
      </c>
      <c r="S40" t="inlineStr"/>
      <c r="T40" t="inlineStr">
        <is>
          <t>A_VERIFIER_BUDGET</t>
        </is>
      </c>
      <c r="U40" t="inlineStr"/>
      <c r="V40" t="inlineStr">
        <is>
          <t>non</t>
        </is>
      </c>
      <c r="W40" t="inlineStr">
        <is>
          <t>Vitres</t>
        </is>
      </c>
      <c r="X40" t="inlineStr">
        <is>
          <t>Mairie</t>
        </is>
      </c>
      <c r="Y40" t="inlineStr">
        <is>
          <t>SERVICES</t>
        </is>
      </c>
      <c r="Z40" t="inlineStr">
        <is>
          <t>Procédure Ouverte</t>
        </is>
      </c>
      <c r="AA40" t="inlineStr">
        <is>
          <t>Avis de marché</t>
        </is>
      </c>
      <c r="AB40" t="inlineStr">
        <is>
          <t>Nettoyage de locaux</t>
        </is>
      </c>
      <c r="AC40" t="inlineStr">
        <is>
          <t>['sociaux', 'environnementaux']</t>
        </is>
      </c>
      <c r="AD40" s="11" t="inlineStr">
        <is>
          <t>https://www.boamp.fr/pages/avis/?q=idweb:26-77581</t>
        </is>
      </c>
      <c r="AE40" t="inlineStr">
        <is>
          <t>https://marcoussis.fr/</t>
        </is>
      </c>
      <c r="AF40" t="inlineStr"/>
      <c r="AG40" t="inlineStr">
        <is>
          <t>nettoyage</t>
        </is>
      </c>
      <c r="AH40" t="inlineStr">
        <is>
          <t>3</t>
        </is>
      </c>
      <c r="AI40" t="inlineStr">
        <is>
          <t>68</t>
        </is>
      </c>
      <c r="AJ40" t="inlineStr">
        <is>
          <t>INFO_PARTIELLE</t>
        </is>
      </c>
      <c r="AK40" t="inlineStr">
        <is>
          <t>52.0</t>
        </is>
      </c>
      <c r="AL40" t="inlineStr">
        <is>
          <t>TIEDE</t>
        </is>
      </c>
      <c r="AM40">
        <f>MIN(100,MAX(0,IF(OR(ISNUMBER(SEARCH("nettoyage",C40)),ISNUMBER(SEARCH("proprete",C40)),ISNUMBER(SEARCH("entretien",C40)),ISNUMBER(SEARCH("hygiene",C40))),35,0)+IF(SUM(--(N40="75")+--(O40="75"),--(N40="77")+--(O40="77"),--(N40="78")+--(O40="78"),--(N40="91")+--(O40="91"),--(N40="92")+--(O40="92"),--(N40="93")+--(O40="93"),--(N40="94")+--(O40="94"),--(N40="95")+--(O40="95"))&gt;0,25,4)+IF(S40="",10,IF(S40&lt;=50000,25,IF(S40&lt;=100000,20,IF(S40&lt;=200000,5,IF(S40&lt;=500000,-10,-20)))))+IF(I40&lt;&gt;"",4,0)+IF(J40&lt;&gt;"",4,0)+IF(E40&lt;&gt;"",3,0)+IF(K40&lt;&gt;"",2,0)+IF(M40&lt;&gt;"",1,0)+IF(AD40&lt;&gt;"",1,0)+IF(R40="",0,IF(R40&lt;TODAY(),-30,IF(R40&lt;TODAY()+5,-15,IF(R40&lt;=TODAY()+15,5,10))))))</f>
        <v/>
      </c>
      <c r="AN40">
        <f>IF(AM40&gt;=65,"CHAUD",IF(AM40&gt;=40,"TIEDE","FROID"))</f>
        <v/>
      </c>
      <c r="AO40">
        <f>IF((IF(I40&lt;&gt;"",1,0)+IF(J40&lt;&gt;"",1,0)+IF(E40&lt;&gt;"",1,0)+IF(K40&lt;&gt;"",1,0))&gt;=4,"Complet",IF((IF(I40&lt;&gt;"",1,0)+IF(J40&lt;&gt;"",1,0)+IF(E40&lt;&gt;"",1,0)+IF(K40&lt;&gt;"",1,0))&gt;=2,"Partiel","Vide"))</f>
        <v/>
      </c>
      <c r="AP40">
        <f>IF(AJ40="DCE_A_TELECHARGER","Telecharger DCE",IF(T40="A_VERIFIER_BUDGET","Verifier budget",IF(AN40="CHAUD","Contacter maintenant",IF(AN40="TIEDE","Surveiller / relancer","Basse priorite"))))</f>
        <v/>
      </c>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26-77581. Objet: Marché de service de nettoyage de divers locaux communaux de la commune de Marcoussis. Acheteur: COMMUNE DE MARCOUSSIS. Lien: https://www.boamp.fr/pages/avis/?q=idweb:26-77581.</t>
        </is>
      </c>
      <c r="AU40" t="inlineStr">
        <is>
          <t>Verifier url_avis et DCE si disponible</t>
        </is>
      </c>
      <c r="AV40" t="inlineStr">
        <is>
          <t>LIEN_SEUL</t>
        </is>
      </c>
      <c r="AW40" t="inlineStr"/>
      <c r="AX40" t="inlineStr"/>
      <c r="AY40" t="inlineStr"/>
      <c r="AZ40" t="inlineStr"/>
      <c r="BA40" t="inlineStr"/>
      <c r="BB40" t="inlineStr">
        <is>
          <t>+33.5 nettoyage + categorie claire (1 termes) | +10 budget non affiche (a verifier) | +10 secteur cible Mairie | -3.0 delai 7 j | +1.5 dossier renseigne (3/4)</t>
        </is>
      </c>
      <c r="BC40" t="inlineStr">
        <is>
          <t>COMMUNE DE MARCOUSSIS publie un AO potentiellement pertinent pour CHRUTH : Marché de service de nettoyage de divers locaux communaux de la commune de Marcoussis. Zone : 91. Budget a verifier. Verifier le lien source avant contact.</t>
        </is>
      </c>
      <c r="BD40" t="inlineStr">
        <is>
          <t>Bonjour,
Je me permets de vous contacter au sujet de votre appel d'offres : Marché de service de nettoyage de divers locaux communaux de la commune de Marcoussis.
CHRUTH accompagne les structures publiques et privées sur les besoins de nettoyage, d'entretien des locaux et d'organisation de prestations de service.
Serait-il possible d'échanger rapidement afin de vérifier les modalités de réponse et les attentes de COMMUNE DE MARCOUSSIS ?
Cordialement,</t>
        </is>
      </c>
      <c r="BE40" t="inlineStr">
        <is>
          <t>Bonjour, je vous appelle concernant un appel d'offres publié par COMMUNE DE MARCOUSSIS.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2026-W32</t>
        </is>
      </c>
    </row>
    <row r="41">
      <c r="A41" t="inlineStr">
        <is>
          <t>BOAMP</t>
        </is>
      </c>
      <c r="B41" t="inlineStr">
        <is>
          <t>26-72690</t>
        </is>
      </c>
      <c r="C41" t="inlineStr">
        <is>
          <t>Service de mise à disposition de personnel</t>
        </is>
      </c>
      <c r="D41" t="inlineStr">
        <is>
          <t>Mairie d&amp;#039;ANTONY</t>
        </is>
      </c>
      <c r="E41" t="inlineStr">
        <is>
          <t>21920002900011</t>
        </is>
      </c>
      <c r="F41" t="inlineStr">
        <is>
          <t>219200029</t>
        </is>
      </c>
      <c r="G41" t="inlineStr"/>
      <c r="H41" t="inlineStr"/>
      <c r="I41" t="inlineStr">
        <is>
          <t>marchespublics@ville-antony.fr</t>
        </is>
      </c>
      <c r="J41" t="inlineStr">
        <is>
          <t>+33 140966840</t>
        </is>
      </c>
      <c r="K41" t="inlineStr"/>
      <c r="L41" t="inlineStr"/>
      <c r="M41" t="inlineStr"/>
      <c r="N41" t="inlineStr">
        <is>
          <t>92</t>
        </is>
      </c>
      <c r="O41" t="inlineStr"/>
      <c r="P41" t="inlineStr">
        <is>
          <t>Ile-de-France</t>
        </is>
      </c>
      <c r="Q41" s="15" t="n">
        <v>46225</v>
      </c>
      <c r="R41" s="15" t="n">
        <v>46274</v>
      </c>
      <c r="S41" s="14" t="n">
        <v>150000</v>
      </c>
      <c r="T41" t="inlineStr">
        <is>
          <t>BUDGET_EXPLICITE_OK</t>
        </is>
      </c>
      <c r="U41" t="inlineStr">
        <is>
          <t>37500</t>
        </is>
      </c>
      <c r="V41" t="inlineStr">
        <is>
          <t>oui</t>
        </is>
      </c>
      <c r="W41" t="inlineStr">
        <is>
          <t>Personnel</t>
        </is>
      </c>
      <c r="X41" t="inlineStr">
        <is>
          <t>Mairie</t>
        </is>
      </c>
      <c r="Y41" t="inlineStr">
        <is>
          <t>SERVICES</t>
        </is>
      </c>
      <c r="Z41" t="inlineStr">
        <is>
          <t>Procédure Ouverte</t>
        </is>
      </c>
      <c r="AA41" t="inlineStr">
        <is>
          <t>Avis de marché</t>
        </is>
      </c>
      <c r="AB41" t="inlineStr">
        <is>
          <t>Mise à disposition de personnel</t>
        </is>
      </c>
      <c r="AC41" t="inlineStr"/>
      <c r="AD41" s="11" t="inlineStr">
        <is>
          <t>https://www.boamp.fr/pages/avis/?q=idweb:26-72690</t>
        </is>
      </c>
      <c r="AE41" t="inlineStr">
        <is>
          <t>https://marches.maximilien.fr/</t>
        </is>
      </c>
      <c r="AF41" t="inlineStr">
        <is>
          <t>https://marches.maximilien.fr/</t>
        </is>
      </c>
      <c r="AG41" t="inlineStr"/>
      <c r="AH41" t="inlineStr">
        <is>
          <t>3</t>
        </is>
      </c>
      <c r="AI41" t="inlineStr">
        <is>
          <t>60</t>
        </is>
      </c>
      <c r="AJ41" t="inlineStr">
        <is>
          <t>INFO_PARTIELLE</t>
        </is>
      </c>
      <c r="AK41" t="inlineStr">
        <is>
          <t>45</t>
        </is>
      </c>
      <c r="AL41" t="inlineStr">
        <is>
          <t>TIEDE</t>
        </is>
      </c>
      <c r="AM41">
        <f>MIN(100,MAX(0,IF(OR(ISNUMBER(SEARCH("nettoyage",C41)),ISNUMBER(SEARCH("proprete",C41)),ISNUMBER(SEARCH("entretien",C41)),ISNUMBER(SEARCH("hygiene",C41))),35,0)+IF(SUM(--(N41="75")+--(O41="75"),--(N41="77")+--(O41="77"),--(N41="78")+--(O41="78"),--(N41="91")+--(O41="91"),--(N41="92")+--(O41="92"),--(N41="93")+--(O41="93"),--(N41="94")+--(O41="94"),--(N41="95")+--(O41="95"))&gt;0,25,4)+IF(S41="",10,IF(S41&lt;=50000,25,IF(S41&lt;=100000,20,IF(S41&lt;=200000,5,IF(S41&lt;=500000,-10,-20)))))+IF(I41&lt;&gt;"",4,0)+IF(J41&lt;&gt;"",4,0)+IF(E41&lt;&gt;"",3,0)+IF(K41&lt;&gt;"",2,0)+IF(M41&lt;&gt;"",1,0)+IF(AD41&lt;&gt;"",1,0)+IF(R41="",0,IF(R41&lt;TODAY(),-30,IF(R41&lt;TODAY()+5,-15,IF(R41&lt;=TODAY()+15,5,10))))))</f>
        <v/>
      </c>
      <c r="AN41">
        <f>IF(AM41&gt;=65,"CHAUD",IF(AM41&gt;=40,"TIEDE","FROID"))</f>
        <v/>
      </c>
      <c r="AO41">
        <f>IF((IF(I41&lt;&gt;"",1,0)+IF(J41&lt;&gt;"",1,0)+IF(E41&lt;&gt;"",1,0)+IF(K41&lt;&gt;"",1,0))&gt;=4,"Complet",IF((IF(I41&lt;&gt;"",1,0)+IF(J41&lt;&gt;"",1,0)+IF(E41&lt;&gt;"",1,0)+IF(K41&lt;&gt;"",1,0))&gt;=2,"Partiel","Vide"))</f>
        <v/>
      </c>
      <c r="AP41">
        <f>IF(AJ41="DCE_A_TELECHARGER","Telecharger DCE",IF(T41="A_VERIFIER_BUDGET","Verifier budget",IF(AN41="CHAUD","Contacter maintenant",IF(AN41="TIEDE","Surveiller / relancer","Basse priorite"))))</f>
        <v/>
      </c>
      <c r="AQ41" t="inlineStr">
        <is>
          <t>IA_CONTACT_A_COMPLETER</t>
        </is>
      </c>
      <c r="AR41" t="inlineStr">
        <is>
          <t>Completer les champs manquants depuis l'avis source, le site acheteur ou le DCE.</t>
        </is>
      </c>
      <c r="AS41" t="inlineStr">
        <is>
          <t>adresse, ville</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41" t="inlineStr">
        <is>
          <t>Verifier url_avis et DCE si disponible</t>
        </is>
      </c>
      <c r="AV41" t="inlineStr"/>
      <c r="AW41" t="inlineStr"/>
      <c r="AX41" t="inlineStr"/>
      <c r="AY41" t="inlineStr"/>
      <c r="AZ41" t="inlineStr"/>
      <c r="BA41" t="inlineStr"/>
      <c r="BB41" t="inlineStr">
        <is>
          <t>0 pertinence metier faible | +25 budget annualise &lt;= 50 000 EUR | +10 secteur cible Mairie | +10 delai confortable 43j</t>
        </is>
      </c>
      <c r="BC41" t="inlineStr">
        <is>
          <t>Mairie d&amp;#039;ANTONY publie un AO potentiellement pertinent pour CHRUTH : Service de mise à disposition de personnel. Zone : 92. Budget detecte environ 150 000 EUR. Verifier le lien source avant contact.</t>
        </is>
      </c>
      <c r="BD41"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41"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2026-W30</t>
        </is>
      </c>
    </row>
    <row r="42">
      <c r="A42" t="inlineStr">
        <is>
          <t>BOAMP</t>
        </is>
      </c>
      <c r="B42" t="inlineStr">
        <is>
          <t>26-70805</t>
        </is>
      </c>
      <c r="C42" t="inlineStr">
        <is>
          <t>Prestation de paie externalisée</t>
        </is>
      </c>
      <c r="D42" t="inlineStr">
        <is>
          <t>Les Eaux de la Confluence</t>
        </is>
      </c>
      <c r="E42" t="inlineStr">
        <is>
          <t>10133050400016</t>
        </is>
      </c>
      <c r="F42" t="inlineStr">
        <is>
          <t>101330504</t>
        </is>
      </c>
      <c r="G42" t="inlineStr">
        <is>
          <t>Service achat</t>
        </is>
      </c>
      <c r="H42" t="inlineStr"/>
      <c r="I42" t="inlineStr">
        <is>
          <t>juliette.gontier@leseauxdelaconfluence.fr</t>
        </is>
      </c>
      <c r="J42" t="inlineStr">
        <is>
          <t>0133050400</t>
        </is>
      </c>
      <c r="K42" t="inlineStr">
        <is>
          <t>(95) Val-d'Oise</t>
        </is>
      </c>
      <c r="L42" t="inlineStr">
        <is>
          <t>95027</t>
        </is>
      </c>
      <c r="M42" t="inlineStr">
        <is>
          <t>Cergy-Pontoise</t>
        </is>
      </c>
      <c r="N42" t="inlineStr">
        <is>
          <t>95</t>
        </is>
      </c>
      <c r="O42" t="inlineStr"/>
      <c r="P42" t="inlineStr">
        <is>
          <t>Ile-de-France</t>
        </is>
      </c>
      <c r="Q42" s="15" t="n">
        <v>46219</v>
      </c>
      <c r="R42" s="15" t="n">
        <v>46240</v>
      </c>
      <c r="S42" s="14" t="n">
        <v>95027</v>
      </c>
      <c r="T42" t="inlineStr">
        <is>
          <t>BUDGET_SOUS_SEUIL</t>
        </is>
      </c>
      <c r="U42" t="inlineStr">
        <is>
          <t>190054</t>
        </is>
      </c>
      <c r="V42" t="inlineStr">
        <is>
          <t>oui</t>
        </is>
      </c>
      <c r="W42" t="inlineStr">
        <is>
          <t>Batiments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https://www.boamp.fr/pages/avis/?q=idweb:26-70805</t>
        </is>
      </c>
      <c r="AE42" t="inlineStr">
        <is>
          <t>https://marches.maximilien.fr/entreprise/consultation/943427?orgAcronyme=a7q</t>
        </is>
      </c>
      <c r="AF42" t="inlineStr">
        <is>
          <t>https://marches.maximilien.fr/entreprise/consultation/943427?orgAcronyme=a7q</t>
        </is>
      </c>
      <c r="AG42" t="inlineStr">
        <is>
          <t>nettoyage</t>
        </is>
      </c>
      <c r="AH42" t="inlineStr">
        <is>
          <t>6</t>
        </is>
      </c>
      <c r="AI42" t="inlineStr">
        <is>
          <t>98</t>
        </is>
      </c>
      <c r="AJ42" t="inlineStr">
        <is>
          <t>INFO_PARTIELLE</t>
        </is>
      </c>
      <c r="AK42" t="inlineStr">
        <is>
          <t>45</t>
        </is>
      </c>
      <c r="AL42" t="inlineStr">
        <is>
          <t>TIEDE</t>
        </is>
      </c>
      <c r="AM42">
        <f>MIN(100,MAX(0,IF(OR(ISNUMBER(SEARCH("nettoyage",C42)),ISNUMBER(SEARCH("proprete",C42)),ISNUMBER(SEARCH("entretien",C42)),ISNUMBER(SEARCH("hygiene",C42))),35,0)+IF(SUM(--(N42="75")+--(O42="75"),--(N42="77")+--(O42="77"),--(N42="78")+--(O42="78"),--(N42="91")+--(O42="91"),--(N42="92")+--(O42="92"),--(N42="93")+--(O42="93"),--(N42="94")+--(O42="94"),--(N42="95")+--(O42="95"))&gt;0,25,4)+IF(S42="",10,IF(S42&lt;=50000,25,IF(S42&lt;=100000,20,IF(S42&lt;=200000,5,IF(S42&lt;=500000,-10,-20)))))+IF(I42&lt;&gt;"",4,0)+IF(J42&lt;&gt;"",4,0)+IF(E42&lt;&gt;"",3,0)+IF(K42&lt;&gt;"",2,0)+IF(M42&lt;&gt;"",1,0)+IF(AD42&lt;&gt;"",1,0)+IF(R42="",0,IF(R42&lt;TODAY(),-30,IF(R42&lt;TODAY()+5,-15,IF(R42&lt;=TODAY()+15,5,10))))))</f>
        <v/>
      </c>
      <c r="AN42">
        <f>IF(AM42&gt;=65,"CHAUD",IF(AM42&gt;=40,"TIEDE","FROID"))</f>
        <v/>
      </c>
      <c r="AO42">
        <f>IF((IF(I42&lt;&gt;"",1,0)+IF(J42&lt;&gt;"",1,0)+IF(E42&lt;&gt;"",1,0)+IF(K42&lt;&gt;"",1,0))&gt;=4,"Complet",IF((IF(I42&lt;&gt;"",1,0)+IF(J42&lt;&gt;"",1,0)+IF(E42&lt;&gt;"",1,0)+IF(K42&lt;&gt;"",1,0))&gt;=2,"Partiel","Vide"))</f>
        <v/>
      </c>
      <c r="AP42">
        <f>IF(AJ42="DCE_A_TELECHARGER","Telecharger DCE",IF(T42="A_VERIFIER_BUDGET","Verifier budget",IF(AN42="CHAUD","Contacter maintenant",IF(AN42="TIEDE","Surveiller / relancer","Basse priorite"))))</f>
        <v/>
      </c>
      <c r="AQ42" t="inlineStr">
        <is>
          <t>IA_CONTROLE_SOURCE</t>
        </is>
      </c>
      <c r="AR42" t="inlineStr">
        <is>
          <t>Verifier rapidement la source avant contact.</t>
        </is>
      </c>
      <c r="AS42" t="inlineStr">
        <is>
          <t>Aucun champ critique manquant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42" t="inlineStr">
        <is>
          <t>Verifier url_avis et DCE si disponible</t>
        </is>
      </c>
      <c r="AV42" t="inlineStr"/>
      <c r="AW42" t="inlineStr"/>
      <c r="AX42" t="inlineStr"/>
      <c r="AY42" t="inlineStr"/>
      <c r="AZ42" t="inlineStr"/>
      <c r="BA42" t="inlineStr"/>
      <c r="BB42" t="inlineStr">
        <is>
          <t>+35 nettoyage + categorie claire | +5 budget annualise &lt;= 200 000 EUR | +5 delai court 9j</t>
        </is>
      </c>
      <c r="BC42" t="inlineStr">
        <is>
          <t>Les Eaux de la Confluence publie un AO potentiellement pertinent pour CHRUTH : Prestation de paie externalisée. Zone : Cergy-Pontoise. Budget detecte environ 95 027 EUR. Verifier le lien source avant contact.</t>
        </is>
      </c>
      <c r="BD42"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42"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2026-W29</t>
        </is>
      </c>
    </row>
    <row r="43">
      <c r="A43" t="inlineStr">
        <is>
          <t>BOAMP</t>
        </is>
      </c>
      <c r="B43" t="inlineStr">
        <is>
          <t>26-77150</t>
        </is>
      </c>
      <c r="C43" t="inlineStr">
        <is>
          <t>Maintenance des installations frigorifiques de la patinoire</t>
        </is>
      </c>
      <c r="D43" t="inlineStr">
        <is>
          <t>Ville de Franconville-la-Garenne</t>
        </is>
      </c>
      <c r="E43" t="inlineStr"/>
      <c r="F43" t="inlineStr"/>
      <c r="G43" t="inlineStr"/>
      <c r="H43" t="inlineStr"/>
      <c r="I43" t="inlineStr">
        <is>
          <t>publications-joue@aws-france.com</t>
        </is>
      </c>
      <c r="J43" t="inlineStr">
        <is>
          <t>+33480041260</t>
        </is>
      </c>
      <c r="K43" t="inlineStr"/>
      <c r="L43" t="inlineStr"/>
      <c r="M43" t="inlineStr"/>
      <c r="N43" t="inlineStr">
        <is>
          <t>95</t>
        </is>
      </c>
      <c r="O43" t="inlineStr"/>
      <c r="P43" t="inlineStr">
        <is>
          <t>Ile-de-France</t>
        </is>
      </c>
      <c r="Q43" s="15" t="n">
        <v>46236</v>
      </c>
      <c r="R43" s="15" t="n">
        <v>46269</v>
      </c>
      <c r="S43" t="inlineStr"/>
      <c r="T43" t="inlineStr">
        <is>
          <t>A_VERIFIER_BUDGET</t>
        </is>
      </c>
      <c r="U43" t="inlineStr"/>
      <c r="V43" t="inlineStr">
        <is>
          <t>non</t>
        </is>
      </c>
      <c r="W43" t="inlineStr">
        <is>
          <t>Batiments</t>
        </is>
      </c>
      <c r="X43" t="inlineStr">
        <is>
          <t>Mairie</t>
        </is>
      </c>
      <c r="Y43" t="inlineStr">
        <is>
          <t>SERVICES</t>
        </is>
      </c>
      <c r="Z43" t="inlineStr">
        <is>
          <t>Procédure Ouverte</t>
        </is>
      </c>
      <c r="AA43" t="inlineStr">
        <is>
          <t>Avis de marché</t>
        </is>
      </c>
      <c r="AB43" t="inlineStr">
        <is>
          <t>Chambre froide, Equipement sportif, Maintenance</t>
        </is>
      </c>
      <c r="AC43" t="inlineStr">
        <is>
          <t>['environnementaux']</t>
        </is>
      </c>
      <c r="AD43" s="11" t="inlineStr">
        <is>
          <t>https://www.boamp.fr/pages/avis/?q=idweb:26-77150</t>
        </is>
      </c>
      <c r="AE43" t="inlineStr">
        <is>
          <t>http://agysoft.marches-publics.info/</t>
        </is>
      </c>
      <c r="AF43" t="inlineStr">
        <is>
          <t>http://agysoft.marches-publics.info/</t>
        </is>
      </c>
      <c r="AG43" t="inlineStr">
        <is>
          <t>proprete</t>
        </is>
      </c>
      <c r="AH43" t="inlineStr">
        <is>
          <t>2</t>
        </is>
      </c>
      <c r="AI43" t="inlineStr">
        <is>
          <t>58</t>
        </is>
      </c>
      <c r="AJ43" t="inlineStr">
        <is>
          <t>INFO_PARTIELLE</t>
        </is>
      </c>
      <c r="AK43" t="inlineStr">
        <is>
          <t>44.0</t>
        </is>
      </c>
      <c r="AL43" t="inlineStr">
        <is>
          <t>TIEDE</t>
        </is>
      </c>
      <c r="AM43">
        <f>MIN(100,MAX(0,IF(OR(ISNUMBER(SEARCH("nettoyage",C43)),ISNUMBER(SEARCH("proprete",C43)),ISNUMBER(SEARCH("entretien",C43)),ISNUMBER(SEARCH("hygiene",C43))),35,0)+IF(SUM(--(N43="75")+--(O43="75"),--(N43="77")+--(O43="77"),--(N43="78")+--(O43="78"),--(N43="91")+--(O43="91"),--(N43="92")+--(O43="92"),--(N43="93")+--(O43="93"),--(N43="94")+--(O43="94"),--(N43="95")+--(O43="95"))&gt;0,25,4)+IF(S43="",10,IF(S43&lt;=50000,25,IF(S43&lt;=100000,20,IF(S43&lt;=200000,5,IF(S43&lt;=500000,-10,-20)))))+IF(I43&lt;&gt;"",4,0)+IF(J43&lt;&gt;"",4,0)+IF(E43&lt;&gt;"",3,0)+IF(K43&lt;&gt;"",2,0)+IF(M43&lt;&gt;"",1,0)+IF(AD43&lt;&gt;"",1,0)+IF(R43="",0,IF(R43&lt;TODAY(),-30,IF(R43&lt;TODAY()+5,-15,IF(R43&lt;=TODAY()+15,5,10))))))</f>
        <v/>
      </c>
      <c r="AN43">
        <f>IF(AM43&gt;=65,"CHAUD",IF(AM43&gt;=40,"TIEDE","FROID"))</f>
        <v/>
      </c>
      <c r="AO43">
        <f>IF((IF(I43&lt;&gt;"",1,0)+IF(J43&lt;&gt;"",1,0)+IF(E43&lt;&gt;"",1,0)+IF(K43&lt;&gt;"",1,0))&gt;=4,"Complet",IF((IF(I43&lt;&gt;"",1,0)+IF(J43&lt;&gt;"",1,0)+IF(E43&lt;&gt;"",1,0)+IF(K43&lt;&gt;"",1,0))&gt;=2,"Partiel","Vide"))</f>
        <v/>
      </c>
      <c r="AP43">
        <f>IF(AJ43="DCE_A_TELECHARGER","Telecharger DCE",IF(T43="A_VERIFIER_BUDGET","Verifier budget",IF(AN43="CHAUD","Contacter maintenant",IF(AN43="TIEDE","Surveiller / relancer","Basse priorite"))))</f>
        <v/>
      </c>
      <c r="AQ43" t="inlineStr">
        <is>
          <t>IA_BUDGET_A_VERIFIER</t>
        </is>
      </c>
      <c r="AR43" t="inlineStr">
        <is>
          <t>Verifier le budget dans l'avis source ou le DCE avant decision commerciale.</t>
        </is>
      </c>
      <c r="AS43" t="inlineStr">
        <is>
          <t>SIRET, 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26-77150. Objet: Maintenance des installations frigorifiques de la patinoire. Acheteur: Ville de Franconville-la-Garenne. Lien: https://www.boamp.fr/pages/avis/?q=idweb:26-77150.</t>
        </is>
      </c>
      <c r="AU43" t="inlineStr">
        <is>
          <t>Verifier url_avis et DCE si disponible</t>
        </is>
      </c>
      <c r="AV43" t="inlineStr">
        <is>
          <t>LIEN_SEUL</t>
        </is>
      </c>
      <c r="AW43" t="inlineStr"/>
      <c r="AX43" t="inlineStr"/>
      <c r="AY43" t="inlineStr"/>
      <c r="AZ43" t="inlineStr"/>
      <c r="BA43" t="inlineStr"/>
      <c r="BB43" t="inlineStr">
        <is>
          <t>+33.5 nettoyage + categorie claire (1 termes) | +10 budget non affiche (a verifier) | +10 secteur cible Mairie | -11.0 delai 4 j | +1.5 dossier renseigne (3/4)</t>
        </is>
      </c>
      <c r="BC43" t="inlineStr">
        <is>
          <t>Ville de Franconville-la-Garenne publie un AO potentiellement pertinent pour CHRUTH : Maintenance des installations frigorifiques de la patinoire. Zone : 95. Budget a verifier. Verifier le lien source avant contact.</t>
        </is>
      </c>
      <c r="BD43" t="inlineStr">
        <is>
          <t>Bonjour,
Je me permets de vous contacter au sujet de votre appel d'offres : Maintenance des installations frigorifiques de la patinoire.
CHRUTH accompagne les structures publiques et privées sur les besoins de nettoyage, d'entretien des locaux et d'organisation de prestations de service.
Serait-il possible d'échanger rapidement afin de vérifier les modalités de réponse et les attentes de Ville de Franconville-la-Garenne ?
Cordialement,</t>
        </is>
      </c>
      <c r="BE43" t="inlineStr">
        <is>
          <t>Bonjour, je vous appelle concernant un appel d'offres publié par Ville de Franconville-la-Garenne.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2026-W31</t>
        </is>
      </c>
    </row>
    <row r="44">
      <c r="A44" t="inlineStr">
        <is>
          <t>BOAMP</t>
        </is>
      </c>
      <c r="B44" t="inlineStr">
        <is>
          <t>26-83490</t>
        </is>
      </c>
      <c r="C44" t="inlineStr">
        <is>
          <t>Nettoyage des bâtiments scolaires élémentaires, des accueils de loisirs et des gymnases intégrés</t>
        </is>
      </c>
      <c r="D44" t="inlineStr">
        <is>
          <t>COMMUNE NOUVELLE DE SAINT-DENIS</t>
        </is>
      </c>
      <c r="E44" t="inlineStr">
        <is>
          <t>92993941100013</t>
        </is>
      </c>
      <c r="F44" t="inlineStr">
        <is>
          <t>929939411</t>
        </is>
      </c>
      <c r="G44" t="inlineStr"/>
      <c r="H44" t="inlineStr"/>
      <c r="I44" t="inlineStr">
        <is>
          <t>mp_achats@saintdenis.fr</t>
        </is>
      </c>
      <c r="J44" t="inlineStr">
        <is>
          <t>0149336611</t>
        </is>
      </c>
      <c r="K44" t="inlineStr"/>
      <c r="L44" t="inlineStr"/>
      <c r="M44" t="inlineStr"/>
      <c r="N44" t="inlineStr">
        <is>
          <t>93,74,75,77</t>
        </is>
      </c>
      <c r="O44" t="inlineStr"/>
      <c r="P44" t="inlineStr">
        <is>
          <t>Ile-de-France</t>
        </is>
      </c>
      <c r="Q44" s="15" t="n">
        <v>46262</v>
      </c>
      <c r="R44" s="15" t="n">
        <v>46293</v>
      </c>
      <c r="S44" s="14" t="n">
        <v>950000</v>
      </c>
      <c r="T44" t="inlineStr">
        <is>
          <t>BUDGET_EXPLICITE_OK</t>
        </is>
      </c>
      <c r="U44" t="inlineStr">
        <is>
          <t>237500</t>
        </is>
      </c>
      <c r="V44" t="inlineStr">
        <is>
          <t>oui</t>
        </is>
      </c>
      <c r="W44" t="inlineStr">
        <is>
          <t>Batiments</t>
        </is>
      </c>
      <c r="X44" t="inlineStr">
        <is>
          <t>Autre</t>
        </is>
      </c>
      <c r="Y44" t="inlineStr">
        <is>
          <t>SERVICES</t>
        </is>
      </c>
      <c r="Z44" t="inlineStr">
        <is>
          <t>Procédure Ouverte</t>
        </is>
      </c>
      <c r="AA44" t="inlineStr">
        <is>
          <t>Avis de marché</t>
        </is>
      </c>
      <c r="AB44" t="inlineStr">
        <is>
          <t>Nettoyage de locaux</t>
        </is>
      </c>
      <c r="AC44" t="inlineStr">
        <is>
          <t>['sociaux', 'environnementaux']</t>
        </is>
      </c>
      <c r="AD44" s="11" t="inlineStr">
        <is>
          <t>https://www.boamp.fr/pages/avis/?q=idweb:26-83490</t>
        </is>
      </c>
      <c r="AE44" t="inlineStr">
        <is>
          <t>https://marches.maximilien.fr/?page=Entreprise.EntrepriseAdvancedSearch&amp;AllCons&amp;id=944212&amp;orgAcronyme=a6q</t>
        </is>
      </c>
      <c r="AF44" t="inlineStr">
        <is>
          <t>https://marches.maximilien.fr/?page=Entreprise.EntrepriseAdvancedSearch&amp;AllCons&amp;id=944212&amp;orgAcronyme=a6q</t>
        </is>
      </c>
      <c r="AG44" t="inlineStr">
        <is>
          <t>nettoyage</t>
        </is>
      </c>
      <c r="AH44" t="inlineStr">
        <is>
          <t>3</t>
        </is>
      </c>
      <c r="AI44" t="inlineStr">
        <is>
          <t>68</t>
        </is>
      </c>
      <c r="AJ44" t="inlineStr">
        <is>
          <t>INFO_PARTIELLE</t>
        </is>
      </c>
      <c r="AK44" t="inlineStr">
        <is>
          <t>42.9</t>
        </is>
      </c>
      <c r="AL44" t="inlineStr">
        <is>
          <t>TIEDE</t>
        </is>
      </c>
      <c r="AM44">
        <f>MIN(100,MAX(0,IF(OR(ISNUMBER(SEARCH("nettoyage",C44)),ISNUMBER(SEARCH("proprete",C44)),ISNUMBER(SEARCH("entretien",C44)),ISNUMBER(SEARCH("hygiene",C44))),35,0)+IF(SUM(--(N44="75")+--(O44="75"),--(N44="77")+--(O44="77"),--(N44="78")+--(O44="78"),--(N44="91")+--(O44="91"),--(N44="92")+--(O44="92"),--(N44="93")+--(O44="93"),--(N44="94")+--(O44="94"),--(N44="95")+--(O44="95"))&gt;0,25,4)+IF(S44="",10,IF(S44&lt;=50000,25,IF(S44&lt;=100000,20,IF(S44&lt;=200000,5,IF(S44&lt;=500000,-10,-20)))))+IF(I44&lt;&gt;"",4,0)+IF(J44&lt;&gt;"",4,0)+IF(E44&lt;&gt;"",3,0)+IF(K44&lt;&gt;"",2,0)+IF(M44&lt;&gt;"",1,0)+IF(AD44&lt;&gt;"",1,0)+IF(R44="",0,IF(R44&lt;TODAY(),-30,IF(R44&lt;TODAY()+5,-15,IF(R44&lt;=TODAY()+15,5,10))))))</f>
        <v/>
      </c>
      <c r="AN44">
        <f>IF(AM44&gt;=65,"CHAUD",IF(AM44&gt;=40,"TIEDE","FROID"))</f>
        <v/>
      </c>
      <c r="AO44">
        <f>IF((IF(I44&lt;&gt;"",1,0)+IF(J44&lt;&gt;"",1,0)+IF(E44&lt;&gt;"",1,0)+IF(K44&lt;&gt;"",1,0))&gt;=4,"Complet",IF((IF(I44&lt;&gt;"",1,0)+IF(J44&lt;&gt;"",1,0)+IF(E44&lt;&gt;"",1,0)+IF(K44&lt;&gt;"",1,0))&gt;=2,"Partiel","Vide"))</f>
        <v/>
      </c>
      <c r="AP44">
        <f>IF(AJ44="DCE_A_TELECHARGER","Telecharger DCE",IF(T44="A_VERIFIER_BUDGET","Verifier budget",IF(AN44="CHAUD","Contacter maintenant",IF(AN44="TIEDE","Surveiller / relancer","Basse priorite"))))</f>
        <v/>
      </c>
      <c r="AQ44" t="inlineStr">
        <is>
          <t>IA_CONTACT_A_COMPLETER</t>
        </is>
      </c>
      <c r="AR44" t="inlineStr">
        <is>
          <t>Completer les champs manquants depuis l'avis source, le site acheteur ou le DCE.</t>
        </is>
      </c>
      <c r="AS44" t="inlineStr">
        <is>
          <t>adresse, ville</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26-83490. Objet: Nettoyage des bâtiments scolaires élémentaires, des accueils de loisirs et des gymnases intégrés. Acheteur: COMMUNE NOUVELLE DE SAINT-DENIS. Lien: https://www.boamp.fr/pages/avis/?q=idweb:26-83490.</t>
        </is>
      </c>
      <c r="AU44" t="inlineStr">
        <is>
          <t>Verifier url_avis et DCE si disponible</t>
        </is>
      </c>
      <c r="AV44" t="inlineStr"/>
      <c r="AW44" t="inlineStr"/>
      <c r="AX44" t="inlineStr"/>
      <c r="AY44" t="inlineStr"/>
      <c r="AZ44" t="inlineStr"/>
      <c r="BA44" t="inlineStr"/>
      <c r="BB44" t="inlineStr">
        <is>
          <t>+33.5 nettoyage + categorie claire (1 termes) | -1.6 budget annualise 237 500 EUR | +9.5 delai 28 j | +1.5 dossier renseigne (3/4)</t>
        </is>
      </c>
      <c r="BC44" t="inlineStr">
        <is>
          <t>COMMUNE NOUVELLE DE SAINT-DENIS publie un AO potentiellement pertinent pour CHRUTH : Nettoyage des bâtiments scolaires élémentaires, des accueils de loisirs et des gymnases intégrés. Zone : 93,74,75,77. Budget detecte environ 950 000 EUR. Verifier le lien source avant contact.</t>
        </is>
      </c>
      <c r="BD44" t="inlineStr">
        <is>
          <t>Bonjour,
Je me permets de vous contacter au sujet de votre appel d'offres : Nettoyage des bâtiments scolaires élémentaires, des accueils de loisirs et des gymnases intégrés.
CHRUTH accompagne les structures publiques et privées sur les besoins de nettoyage, d'entretien des locaux et d'organisation de prestations de service.
Serait-il possible d'échanger rapidement afin de vérifier les modalités de réponse et les attentes de COMMUNE NOUVELLE DE SAINT-DENIS ?
Cordialement,</t>
        </is>
      </c>
      <c r="BE44" t="inlineStr">
        <is>
          <t>Bonjour, je vous appelle concernant un appel d'offres publié par COMMUNE NOUVELLE DE SAINT-DENIS. Je souhaite vérifier les informations pratiques : périmètre des prestations, date limite, modalités de visite, contact technique et pièces attendues. Pouvez-vous m'indiquer la bonne personne à contacter ?</t>
        </is>
      </c>
      <c r="BF44" t="inlineStr"/>
      <c r="BG44" t="inlineStr"/>
      <c r="BH44" t="inlineStr"/>
      <c r="BI44" t="inlineStr"/>
      <c r="BJ44" t="inlineStr"/>
      <c r="BK44" t="inlineStr"/>
      <c r="BL44" t="inlineStr"/>
      <c r="BM44" t="inlineStr">
        <is>
          <t>2026-W35</t>
        </is>
      </c>
    </row>
    <row r="45">
      <c r="A45" t="inlineStr">
        <is>
          <t>BOAMP</t>
        </is>
      </c>
      <c r="B45" t="inlineStr">
        <is>
          <t>26-83694</t>
        </is>
      </c>
      <c r="C45" t="inlineStr">
        <is>
          <t>26SF09 - Maintenance du mobilier auto-relevable ou coulissant et du TCSP de la Communauté d'Agglomération de Cergy-Pontoise</t>
        </is>
      </c>
      <c r="D45" t="inlineStr">
        <is>
          <t>Communauté  d'Agglomération de Cergy-Pontoise</t>
        </is>
      </c>
      <c r="E45" t="inlineStr"/>
      <c r="F45" t="inlineStr"/>
      <c r="G45" t="inlineStr"/>
      <c r="H45" t="inlineStr"/>
      <c r="I45" t="inlineStr">
        <is>
          <t>publications-joue@aws-france.com</t>
        </is>
      </c>
      <c r="J45" t="inlineStr">
        <is>
          <t>+33480041260</t>
        </is>
      </c>
      <c r="K45" t="inlineStr"/>
      <c r="L45" t="inlineStr"/>
      <c r="M45" t="inlineStr"/>
      <c r="N45" t="inlineStr">
        <is>
          <t>95</t>
        </is>
      </c>
      <c r="O45" t="inlineStr"/>
      <c r="P45" t="inlineStr">
        <is>
          <t>Ile-de-France</t>
        </is>
      </c>
      <c r="Q45" s="15" t="n">
        <v>46262</v>
      </c>
      <c r="R45" s="15" t="n">
        <v>46295</v>
      </c>
      <c r="S45" s="14" t="n">
        <v>200000</v>
      </c>
      <c r="T45" t="inlineStr">
        <is>
          <t>BUDGET_EXPLICITE_OK</t>
        </is>
      </c>
      <c r="U45" t="inlineStr">
        <is>
          <t>200000</t>
        </is>
      </c>
      <c r="V45" t="inlineStr">
        <is>
          <t>oui</t>
        </is>
      </c>
      <c r="W45" t="inlineStr">
        <is>
          <t>Mixte/Autre</t>
        </is>
      </c>
      <c r="X45" t="inlineStr">
        <is>
          <t>Autre</t>
        </is>
      </c>
      <c r="Y45" t="inlineStr">
        <is>
          <t>SERVICES</t>
        </is>
      </c>
      <c r="Z45" t="inlineStr">
        <is>
          <t>Procédure Ouverte</t>
        </is>
      </c>
      <c r="AA45" t="inlineStr">
        <is>
          <t>Avis de marché</t>
        </is>
      </c>
      <c r="AB45" t="inlineStr">
        <is>
          <t>Maintenance</t>
        </is>
      </c>
      <c r="AC45" t="inlineStr">
        <is>
          <t>['environnementaux']</t>
        </is>
      </c>
      <c r="AD45" s="11" t="inlineStr">
        <is>
          <t>https://www.boamp.fr/pages/avis/?q=idweb:26-83694</t>
        </is>
      </c>
      <c r="AE45" t="inlineStr">
        <is>
          <t>https://www.marches-publics.info/mpiaws/index.cfm?fuseaction=dematEnt.login&amp;amp;type=DCE&amp;amp;IDM=1865399</t>
        </is>
      </c>
      <c r="AF45" t="inlineStr">
        <is>
          <t>https://www.marches-publics.info/mpiaws/index.cfm?fuseaction=dematEnt.login&amp;amp;type=DCE&amp;amp;IDM=1865399</t>
        </is>
      </c>
      <c r="AG45" t="inlineStr">
        <is>
          <t>nettoyage</t>
        </is>
      </c>
      <c r="AH45" t="inlineStr">
        <is>
          <t>2</t>
        </is>
      </c>
      <c r="AI45" t="inlineStr">
        <is>
          <t>58</t>
        </is>
      </c>
      <c r="AJ45" t="inlineStr">
        <is>
          <t>INFO_PARTIELLE</t>
        </is>
      </c>
      <c r="AK45" t="inlineStr">
        <is>
          <t>41.2</t>
        </is>
      </c>
      <c r="AL45" t="inlineStr">
        <is>
          <t>TIEDE</t>
        </is>
      </c>
      <c r="AM45">
        <f>MIN(100,MAX(0,IF(OR(ISNUMBER(SEARCH("nettoyage",C45)),ISNUMBER(SEARCH("proprete",C45)),ISNUMBER(SEARCH("entretien",C45)),ISNUMBER(SEARCH("hygiene",C45))),35,0)+IF(SUM(--(N45="75")+--(O45="75"),--(N45="77")+--(O45="77"),--(N45="78")+--(O45="78"),--(N45="91")+--(O45="91"),--(N45="92")+--(O45="92"),--(N45="93")+--(O45="93"),--(N45="94")+--(O45="94"),--(N45="95")+--(O45="95"))&gt;0,25,4)+IF(S45="",10,IF(S45&lt;=50000,25,IF(S45&lt;=100000,20,IF(S45&lt;=200000,5,IF(S45&lt;=500000,-10,-20)))))+IF(I45&lt;&gt;"",4,0)+IF(J45&lt;&gt;"",4,0)+IF(E45&lt;&gt;"",3,0)+IF(K45&lt;&gt;"",2,0)+IF(M45&lt;&gt;"",1,0)+IF(AD45&lt;&gt;"",1,0)+IF(R45="",0,IF(R45&lt;TODAY(),-30,IF(R45&lt;TODAY()+5,-15,IF(R45&lt;=TODAY()+15,5,10))))))</f>
        <v/>
      </c>
      <c r="AN45">
        <f>IF(AM45&gt;=65,"CHAUD",IF(AM45&gt;=40,"TIEDE","FROID"))</f>
        <v/>
      </c>
      <c r="AO45">
        <f>IF((IF(I45&lt;&gt;"",1,0)+IF(J45&lt;&gt;"",1,0)+IF(E45&lt;&gt;"",1,0)+IF(K45&lt;&gt;"",1,0))&gt;=4,"Complet",IF((IF(I45&lt;&gt;"",1,0)+IF(J45&lt;&gt;"",1,0)+IF(E45&lt;&gt;"",1,0)+IF(K45&lt;&gt;"",1,0))&gt;=2,"Partiel","Vide"))</f>
        <v/>
      </c>
      <c r="AP45">
        <f>IF(AJ45="DCE_A_TELECHARGER","Telecharger DCE",IF(T45="A_VERIFIER_BUDGET","Verifier budget",IF(AN45="CHAUD","Contacter maintenant",IF(AN45="TIEDE","Surveiller / relancer","Basse priorite"))))</f>
        <v/>
      </c>
      <c r="AQ45" t="inlineStr">
        <is>
          <t>IA_CONTACT_A_COMPLETER</t>
        </is>
      </c>
      <c r="AR45" t="inlineStr">
        <is>
          <t>Completer les champs manquants depuis l'avis source, le site acheteur ou le DCE.</t>
        </is>
      </c>
      <c r="AS45" t="inlineStr">
        <is>
          <t>SIRET, 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26-83694. Objet: 26SF09 - Maintenance du mobilier auto-relevable ou coulissant et du TCSP de la Communauté d'Agglomération de Cergy-Pontoise. Acheteur: Communauté  d'Agglomération de Cergy-Pontoise. Lien: https://www.boamp.fr/pages/avis/?q=idweb:26-83694.</t>
        </is>
      </c>
      <c r="AU45" t="inlineStr">
        <is>
          <t>Verifier url_avis et DCE si disponible</t>
        </is>
      </c>
      <c r="AV45" t="inlineStr"/>
      <c r="AW45" t="inlineStr"/>
      <c r="AX45" t="inlineStr"/>
      <c r="AY45" t="inlineStr"/>
      <c r="AZ45" t="inlineStr"/>
      <c r="BA45" t="inlineStr"/>
      <c r="BB45" t="inlineStr">
        <is>
          <t>+28.5 mots-cles nettoyage forts (1 termes) | +1.2 budget annualise 200 000 EUR | +10.0 delai 30 j | +1.5 dossier renseigne (3/4)</t>
        </is>
      </c>
      <c r="BC45" t="inlineStr">
        <is>
          <t>Communauté  d'Agglomération de Cergy-Pontoise publie un AO potentiellement pertinent pour CHRUTH : 26SF09 - Maintenance du mobilier auto-relevable ou coulissant et du TCSP de la Communauté d'Agglomération de Cergy-Pontoise. Zone : 95. Budget detecte environ 200 000 EUR. Verifier le lien source avant contact.</t>
        </is>
      </c>
      <c r="BD45" t="inlineStr">
        <is>
          <t>Bonjour,
Je me permets de vous contacter au sujet de votre appel d'offres : 26SF09 - Maintenance du mobilier auto-relevable ou coulissant et du TCSP de la Communauté d'Agglomération de Cergy-Pontoise.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de Cergy-Pontoise ?
Cordialement,</t>
        </is>
      </c>
      <c r="BE45" t="inlineStr">
        <is>
          <t>Bonjour, je vous appelle concernant un appel d'offres publié par Communauté  d'Agglomération de Cergy-Pontoise.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2026-W35</t>
        </is>
      </c>
    </row>
    <row r="46">
      <c r="A46" t="inlineStr">
        <is>
          <t>BOAMP</t>
        </is>
      </c>
      <c r="B46" t="inlineStr">
        <is>
          <t>26-70259</t>
        </is>
      </c>
      <c r="C46" t="inlineStr">
        <is>
          <t>Marché de prestations de gardiennage lors de manifestations sur sites
Le titulaire du présent marché sera capable d'assurer sa mission de gardiennage dans le cadre d'interventions planifiée</t>
        </is>
      </c>
      <c r="D46" t="inlineStr">
        <is>
          <t>Mairie de Sannois</t>
        </is>
      </c>
      <c r="E46" t="inlineStr"/>
      <c r="F46" t="inlineStr"/>
      <c r="G46" t="inlineStr"/>
      <c r="H46" t="inlineStr"/>
      <c r="I46" t="inlineStr">
        <is>
          <t>publications-joue@aws-france.com</t>
        </is>
      </c>
      <c r="J46" t="inlineStr">
        <is>
          <t>+33480041260</t>
        </is>
      </c>
      <c r="K46" t="inlineStr"/>
      <c r="L46" t="inlineStr"/>
      <c r="M46" t="inlineStr"/>
      <c r="N46" t="inlineStr">
        <is>
          <t>95</t>
        </is>
      </c>
      <c r="O46" t="inlineStr"/>
      <c r="P46" t="inlineStr">
        <is>
          <t>Ile-de-France</t>
        </is>
      </c>
      <c r="Q46" s="15" t="n">
        <v>46219</v>
      </c>
      <c r="R46" s="15" t="n">
        <v>46251</v>
      </c>
      <c r="S46" s="14" t="n">
        <v>55000</v>
      </c>
      <c r="T46" t="inlineStr">
        <is>
          <t>BUDGET_SOUS_SEUIL</t>
        </is>
      </c>
      <c r="U46" t="inlineStr">
        <is>
          <t>55000.0</t>
        </is>
      </c>
      <c r="V46" t="inlineStr">
        <is>
          <t>non</t>
        </is>
      </c>
      <c r="W46" t="inlineStr">
        <is>
          <t>Personnel</t>
        </is>
      </c>
      <c r="X46" t="inlineStr">
        <is>
          <t>Mairie</t>
        </is>
      </c>
      <c r="Y46" t="inlineStr">
        <is>
          <t>SERVICES</t>
        </is>
      </c>
      <c r="Z46" t="inlineStr">
        <is>
          <t>Procédure Ouverte</t>
        </is>
      </c>
      <c r="AA46" t="inlineStr">
        <is>
          <t>Avis de marché</t>
        </is>
      </c>
      <c r="AB46" t="inlineStr">
        <is>
          <t>Gardiennage, Prestations de services, Surveillance</t>
        </is>
      </c>
      <c r="AC46" t="inlineStr">
        <is>
          <t>['sociaux', 'environnementaux']</t>
        </is>
      </c>
      <c r="AD46" s="11" t="inlineStr">
        <is>
          <t>https://www.boamp.fr/pages/avis/?q=idweb:26-70259</t>
        </is>
      </c>
      <c r="AE46" t="inlineStr">
        <is>
          <t>https://www.achatpublic.com/</t>
        </is>
      </c>
      <c r="AF46" t="inlineStr">
        <is>
          <t>https://www.achatpublic.com/</t>
        </is>
      </c>
      <c r="AG46" t="inlineStr"/>
      <c r="AH46" t="inlineStr">
        <is>
          <t>2</t>
        </is>
      </c>
      <c r="AI46" t="inlineStr">
        <is>
          <t>50</t>
        </is>
      </c>
      <c r="AJ46" t="inlineStr">
        <is>
          <t>INFO_PARTIELLE</t>
        </is>
      </c>
      <c r="AK46" t="inlineStr">
        <is>
          <t>40</t>
        </is>
      </c>
      <c r="AL46" t="inlineStr">
        <is>
          <t>TIEDE</t>
        </is>
      </c>
      <c r="AM46">
        <f>MIN(100,MAX(0,IF(OR(ISNUMBER(SEARCH("nettoyage",C46)),ISNUMBER(SEARCH("proprete",C46)),ISNUMBER(SEARCH("entretien",C46)),ISNUMBER(SEARCH("hygiene",C46))),35,0)+IF(SUM(--(N46="75")+--(O46="75"),--(N46="77")+--(O46="77"),--(N46="78")+--(O46="78"),--(N46="91")+--(O46="91"),--(N46="92")+--(O46="92"),--(N46="93")+--(O46="93"),--(N46="94")+--(O46="94"),--(N46="95")+--(O46="95"))&gt;0,25,4)+IF(S46="",10,IF(S46&lt;=50000,25,IF(S46&lt;=100000,20,IF(S46&lt;=200000,5,IF(S46&lt;=500000,-10,-20)))))+IF(I46&lt;&gt;"",4,0)+IF(J46&lt;&gt;"",4,0)+IF(E46&lt;&gt;"",3,0)+IF(K46&lt;&gt;"",2,0)+IF(M46&lt;&gt;"",1,0)+IF(AD46&lt;&gt;"",1,0)+IF(R46="",0,IF(R46&lt;TODAY(),-30,IF(R46&lt;TODAY()+5,-15,IF(R46&lt;=TODAY()+15,5,10))))))</f>
        <v/>
      </c>
      <c r="AN46">
        <f>IF(AM46&gt;=65,"CHAUD",IF(AM46&gt;=40,"TIEDE","FROID"))</f>
        <v/>
      </c>
      <c r="AO46">
        <f>IF((IF(I46&lt;&gt;"",1,0)+IF(J46&lt;&gt;"",1,0)+IF(E46&lt;&gt;"",1,0)+IF(K46&lt;&gt;"",1,0))&gt;=4,"Complet",IF((IF(I46&lt;&gt;"",1,0)+IF(J46&lt;&gt;"",1,0)+IF(E46&lt;&gt;"",1,0)+IF(K46&lt;&gt;"",1,0))&gt;=2,"Partiel","Vide"))</f>
        <v/>
      </c>
      <c r="AP46">
        <f>IF(AJ46="DCE_A_TELECHARGER","Telecharger DCE",IF(T46="A_VERIFIER_BUDGET","Verifier budget",IF(AN46="CHAUD","Contacter maintenant",IF(AN46="TIEDE","Surveiller / relancer","Basse priorite"))))</f>
        <v/>
      </c>
      <c r="AQ46" t="inlineStr">
        <is>
          <t>IA_CONTACT_A_COMPLETER</t>
        </is>
      </c>
      <c r="AR46" t="inlineStr">
        <is>
          <t>Completer les champs manquants depuis l'avis source, le site acheteur ou le DCE.</t>
        </is>
      </c>
      <c r="AS46" t="inlineStr">
        <is>
          <t>SIRET, 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46" t="inlineStr">
        <is>
          <t>Verifier url_avis et DCE si disponible</t>
        </is>
      </c>
      <c r="AV46" t="inlineStr"/>
      <c r="AW46" t="inlineStr"/>
      <c r="AX46" t="inlineStr"/>
      <c r="AY46" t="inlineStr"/>
      <c r="AZ46" t="inlineStr"/>
      <c r="BA46" t="inlineStr"/>
      <c r="BB46" t="inlineStr">
        <is>
          <t>0 pertinence metier faible | +20 budget annualise &lt;= 100 000 EUR | +10 secteur cible Mairie | +10 delai confortable 20j</t>
        </is>
      </c>
      <c r="BC46"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46"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46"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2026-W29</t>
        </is>
      </c>
    </row>
    <row r="47">
      <c r="A47" t="inlineStr">
        <is>
          <t>BOAMP</t>
        </is>
      </c>
      <c r="B47" t="inlineStr">
        <is>
          <t>26-81405</t>
        </is>
      </c>
      <c r="C47" t="inlineStr">
        <is>
          <t>Fournitures de produits d'entretien, de consommables et d'équipements</t>
        </is>
      </c>
      <c r="D47" t="inlineStr">
        <is>
          <t>CDEF 93</t>
        </is>
      </c>
      <c r="E47" t="inlineStr">
        <is>
          <t>26931400100018</t>
        </is>
      </c>
      <c r="F47" t="inlineStr">
        <is>
          <t>269314001</t>
        </is>
      </c>
      <c r="G47" t="inlineStr"/>
      <c r="H47" t="inlineStr"/>
      <c r="I47" t="inlineStr">
        <is>
          <t>sabrina.perret@cdef93.com</t>
        </is>
      </c>
      <c r="J47" t="inlineStr">
        <is>
          <t>0141505870</t>
        </is>
      </c>
      <c r="K47" t="inlineStr"/>
      <c r="L47" t="inlineStr"/>
      <c r="M47" t="inlineStr"/>
      <c r="N47" t="inlineStr">
        <is>
          <t>93,77,75,95</t>
        </is>
      </c>
      <c r="O47" t="inlineStr"/>
      <c r="P47" t="inlineStr">
        <is>
          <t>Ile-de-France</t>
        </is>
      </c>
      <c r="Q47" s="15" t="n">
        <v>46254</v>
      </c>
      <c r="R47" s="15" t="n">
        <v>46289</v>
      </c>
      <c r="S47" s="14" t="n">
        <v>200000</v>
      </c>
      <c r="T47" t="inlineStr">
        <is>
          <t>BUDGET_EXPLICITE_OK</t>
        </is>
      </c>
      <c r="U47" t="inlineStr">
        <is>
          <t>200000.0</t>
        </is>
      </c>
      <c r="V47" t="inlineStr">
        <is>
          <t>non</t>
        </is>
      </c>
      <c r="W47" t="inlineStr">
        <is>
          <t>Mixte/Autre</t>
        </is>
      </c>
      <c r="X47" t="inlineStr">
        <is>
          <t>Autre</t>
        </is>
      </c>
      <c r="Y47" t="inlineStr">
        <is>
          <t>FOURNITURES</t>
        </is>
      </c>
      <c r="Z47" t="inlineStr">
        <is>
          <t>Procédure Ouverte</t>
        </is>
      </c>
      <c r="AA47" t="inlineStr">
        <is>
          <t>Avis de marché</t>
        </is>
      </c>
      <c r="AB47" t="inlineStr">
        <is>
          <t>Produits d'entretien</t>
        </is>
      </c>
      <c r="AC47" t="inlineStr"/>
      <c r="AD47" s="11" t="inlineStr">
        <is>
          <t>https://www.boamp.fr/pages/avis/?q=idweb:26-81405</t>
        </is>
      </c>
      <c r="AE47" t="inlineStr">
        <is>
          <t>https://www.achatpublic.com</t>
        </is>
      </c>
      <c r="AF47" t="inlineStr">
        <is>
          <t>https://www.achatpublic.com</t>
        </is>
      </c>
      <c r="AG47" t="inlineStr">
        <is>
          <t>nettoyage</t>
        </is>
      </c>
      <c r="AH47" t="inlineStr">
        <is>
          <t>3</t>
        </is>
      </c>
      <c r="AI47" t="inlineStr">
        <is>
          <t>68</t>
        </is>
      </c>
      <c r="AJ47" t="inlineStr">
        <is>
          <t>INFO_PARTIELLE</t>
        </is>
      </c>
      <c r="AK47" t="inlineStr">
        <is>
          <t>39.8</t>
        </is>
      </c>
      <c r="AL47" s="16" t="inlineStr">
        <is>
          <t>FROID</t>
        </is>
      </c>
      <c r="AM47">
        <f>MIN(100,MAX(0,IF(OR(ISNUMBER(SEARCH("nettoyage",C47)),ISNUMBER(SEARCH("proprete",C47)),ISNUMBER(SEARCH("entretien",C47)),ISNUMBER(SEARCH("hygiene",C47))),35,0)+IF(SUM(--(N47="75")+--(O47="75"),--(N47="77")+--(O47="77"),--(N47="78")+--(O47="78"),--(N47="91")+--(O47="91"),--(N47="92")+--(O47="92"),--(N47="93")+--(O47="93"),--(N47="94")+--(O47="94"),--(N47="95")+--(O47="95"))&gt;0,25,4)+IF(S47="",10,IF(S47&lt;=50000,25,IF(S47&lt;=100000,20,IF(S47&lt;=200000,5,IF(S47&lt;=500000,-10,-20)))))+IF(I47&lt;&gt;"",4,0)+IF(J47&lt;&gt;"",4,0)+IF(E47&lt;&gt;"",3,0)+IF(K47&lt;&gt;"",2,0)+IF(M47&lt;&gt;"",1,0)+IF(AD47&lt;&gt;"",1,0)+IF(R47="",0,IF(R47&lt;TODAY(),-30,IF(R47&lt;TODAY()+5,-15,IF(R47&lt;=TODAY()+15,5,10))))))</f>
        <v/>
      </c>
      <c r="AN47">
        <f>IF(AM47&gt;=65,"CHAUD",IF(AM47&gt;=40,"TIEDE","FROID"))</f>
        <v/>
      </c>
      <c r="AO47">
        <f>IF((IF(I47&lt;&gt;"",1,0)+IF(J47&lt;&gt;"",1,0)+IF(E47&lt;&gt;"",1,0)+IF(K47&lt;&gt;"",1,0))&gt;=4,"Complet",IF((IF(I47&lt;&gt;"",1,0)+IF(J47&lt;&gt;"",1,0)+IF(E47&lt;&gt;"",1,0)+IF(K47&lt;&gt;"",1,0))&gt;=2,"Partiel","Vide"))</f>
        <v/>
      </c>
      <c r="AP47">
        <f>IF(AJ47="DCE_A_TELECHARGER","Telecharger DCE",IF(T47="A_VERIFIER_BUDGET","Verifier budget",IF(AN47="CHAUD","Contacter maintenant",IF(AN47="TIEDE","Surveiller / relancer","Basse priorite"))))</f>
        <v/>
      </c>
      <c r="AQ47" t="inlineStr">
        <is>
          <t>IA_CONTACT_A_COMPLETER</t>
        </is>
      </c>
      <c r="AR47" t="inlineStr">
        <is>
          <t>Completer les champs manquants depuis l'avis source, le site acheteur ou le DCE.</t>
        </is>
      </c>
      <c r="AS47" t="inlineStr">
        <is>
          <t>adresse, ville</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26-81405. Objet: Fournitures de produits d'entretien, de consommables et d'équipements. Acheteur: CDEF 93. Lien: https://www.boamp.fr/pages/avis/?q=idweb:26-81405.</t>
        </is>
      </c>
      <c r="AU47" t="inlineStr">
        <is>
          <t>Verifier url_avis et DCE si disponible</t>
        </is>
      </c>
      <c r="AV47" t="inlineStr"/>
      <c r="AW47" t="inlineStr"/>
      <c r="AX47" t="inlineStr"/>
      <c r="AY47" t="inlineStr"/>
      <c r="AZ47" t="inlineStr"/>
      <c r="BA47" t="inlineStr"/>
      <c r="BB47" t="inlineStr">
        <is>
          <t>+28.5 mots-cles nettoyage forts (1 termes) | +1.2 budget annualise 200 000 EUR | +8.5 delai 24 j | +1.5 dossier renseigne (3/4)</t>
        </is>
      </c>
      <c r="BC47" t="inlineStr">
        <is>
          <t>CDEF 93 publie un AO potentiellement pertinent pour CHRUTH : Fournitures de produits d'entretien, de consommables et d'équipements. Zone : 93,77,75,95. Budget detecte environ 200 000 EUR. Verifier le lien source avant contact.</t>
        </is>
      </c>
      <c r="BD47" t="inlineStr">
        <is>
          <t>Bonjour,
Je me permets de vous contacter au sujet de votre appel d'offres : Fournitures de produits d'entretien, de consommables et d'équipements.
CHRUTH accompagne les structures publiques et privées sur les besoins de nettoyage, d'entretien des locaux et d'organisation de prestations de service.
Serait-il possible d'échanger rapidement afin de vérifier les modalités de réponse et les attentes de CDEF 93 ?
Cordialement,</t>
        </is>
      </c>
      <c r="BE47" t="inlineStr">
        <is>
          <t>Bonjour, je vous appelle concernant un appel d'offres publié par CDEF 93. Je souhaite vérifier les informations pratiques : périmètre des prestations, date limite, modalités de visite, contact technique et pièces attendues. Pouvez-vous m'indiquer la bonne personne à contacter ?</t>
        </is>
      </c>
      <c r="BF47" t="inlineStr"/>
      <c r="BG47" t="inlineStr"/>
      <c r="BH47" t="inlineStr"/>
      <c r="BI47" t="inlineStr"/>
      <c r="BJ47" t="inlineStr"/>
      <c r="BK47" t="inlineStr"/>
      <c r="BL47" t="inlineStr"/>
      <c r="BM47" t="inlineStr">
        <is>
          <t>2026-W34</t>
        </is>
      </c>
    </row>
    <row r="48">
      <c r="A48" t="inlineStr">
        <is>
          <t>BOAMP</t>
        </is>
      </c>
      <c r="B48" t="inlineStr">
        <is>
          <t>26-81108</t>
        </is>
      </c>
      <c r="C48" t="inlineStr">
        <is>
          <t>Accord-cadre à bons de commande relatif au nettoyage des locaux et des vitres des bâtiments départementaux et au nettoyage partiel de certains collèges du Val d'Oise (8 lots)</t>
        </is>
      </c>
      <c r="D48" t="inlineStr">
        <is>
          <t>Conseil départemental du Val-d'Oise</t>
        </is>
      </c>
      <c r="E48" t="inlineStr"/>
      <c r="F48" t="inlineStr"/>
      <c r="G48" t="inlineStr"/>
      <c r="H48" t="inlineStr"/>
      <c r="I48" t="inlineStr">
        <is>
          <t>publications-joue@aws-france.com</t>
        </is>
      </c>
      <c r="J48" t="inlineStr">
        <is>
          <t>+33480041260</t>
        </is>
      </c>
      <c r="K48" t="inlineStr"/>
      <c r="L48" t="inlineStr"/>
      <c r="M48" t="inlineStr"/>
      <c r="N48" t="inlineStr">
        <is>
          <t>95</t>
        </is>
      </c>
      <c r="O48" t="inlineStr"/>
      <c r="P48" t="inlineStr">
        <is>
          <t>Ile-de-France</t>
        </is>
      </c>
      <c r="Q48" s="15" t="n">
        <v>46253</v>
      </c>
      <c r="R48" s="15" t="n">
        <v>46283</v>
      </c>
      <c r="S48" s="14" t="n">
        <v>4500000</v>
      </c>
      <c r="T48" t="inlineStr">
        <is>
          <t>BUDGET_EXPLICITE_OK</t>
        </is>
      </c>
      <c r="U48" t="inlineStr">
        <is>
          <t>1125000</t>
        </is>
      </c>
      <c r="V48" t="inlineStr">
        <is>
          <t>oui</t>
        </is>
      </c>
      <c r="W48" t="inlineStr">
        <is>
          <t>Vitres</t>
        </is>
      </c>
      <c r="X48" t="inlineStr">
        <is>
          <t>Autre</t>
        </is>
      </c>
      <c r="Y48" t="inlineStr">
        <is>
          <t>SERVICES</t>
        </is>
      </c>
      <c r="Z48" t="inlineStr">
        <is>
          <t>Procédure Ouverte</t>
        </is>
      </c>
      <c r="AA48" t="inlineStr">
        <is>
          <t>Avis de marché</t>
        </is>
      </c>
      <c r="AB48" t="inlineStr">
        <is>
          <t>Nettoyage de locaux</t>
        </is>
      </c>
      <c r="AC48" t="inlineStr">
        <is>
          <t>['sociaux', 'environnementaux']</t>
        </is>
      </c>
      <c r="AD48" s="11" t="inlineStr">
        <is>
          <t>https://www.boamp.fr/pages/avis/?q=idweb:26-81108</t>
        </is>
      </c>
      <c r="AE48" t="inlineStr">
        <is>
          <t>https://www.marches-publics.info/mpiaws/index.cfm?fuseaction=dematEnt.login&amp;amp;type=DCE&amp;amp;IDM=1862248</t>
        </is>
      </c>
      <c r="AF48" t="inlineStr">
        <is>
          <t>https://www.marches-publics.info/mpiaws/index.cfm?fuseaction=dematEnt.login&amp;amp;type=DCE&amp;amp;IDM=1862248</t>
        </is>
      </c>
      <c r="AG48" t="inlineStr">
        <is>
          <t>nettoyage, entretien des locaux</t>
        </is>
      </c>
      <c r="AH48" t="inlineStr">
        <is>
          <t>2</t>
        </is>
      </c>
      <c r="AI48" t="inlineStr">
        <is>
          <t>66</t>
        </is>
      </c>
      <c r="AJ48" t="inlineStr">
        <is>
          <t>INFO_PARTIELLE</t>
        </is>
      </c>
      <c r="AK48" t="inlineStr">
        <is>
          <t>37.5</t>
        </is>
      </c>
      <c r="AL48" s="16" t="inlineStr">
        <is>
          <t>FROID</t>
        </is>
      </c>
      <c r="AM48">
        <f>MIN(100,MAX(0,IF(OR(ISNUMBER(SEARCH("nettoyage",C48)),ISNUMBER(SEARCH("proprete",C48)),ISNUMBER(SEARCH("entretien",C48)),ISNUMBER(SEARCH("hygiene",C48))),35,0)+IF(SUM(--(N48="75")+--(O48="75"),--(N48="77")+--(O48="77"),--(N48="78")+--(O48="78"),--(N48="91")+--(O48="91"),--(N48="92")+--(O48="92"),--(N48="93")+--(O48="93"),--(N48="94")+--(O48="94"),--(N48="95")+--(O48="95"))&gt;0,25,4)+IF(S48="",10,IF(S48&lt;=50000,25,IF(S48&lt;=100000,20,IF(S48&lt;=200000,5,IF(S48&lt;=500000,-10,-20)))))+IF(I48&lt;&gt;"",4,0)+IF(J48&lt;&gt;"",4,0)+IF(E48&lt;&gt;"",3,0)+IF(K48&lt;&gt;"",2,0)+IF(M48&lt;&gt;"",1,0)+IF(AD48&lt;&gt;"",1,0)+IF(R48="",0,IF(R48&lt;TODAY(),-30,IF(R48&lt;TODAY()+5,-15,IF(R48&lt;=TODAY()+15,5,10))))))</f>
        <v/>
      </c>
      <c r="AN48">
        <f>IF(AM48&gt;=65,"CHAUD",IF(AM48&gt;=40,"TIEDE","FROID"))</f>
        <v/>
      </c>
      <c r="AO48">
        <f>IF((IF(I48&lt;&gt;"",1,0)+IF(J48&lt;&gt;"",1,0)+IF(E48&lt;&gt;"",1,0)+IF(K48&lt;&gt;"",1,0))&gt;=4,"Complet",IF((IF(I48&lt;&gt;"",1,0)+IF(J48&lt;&gt;"",1,0)+IF(E48&lt;&gt;"",1,0)+IF(K48&lt;&gt;"",1,0))&gt;=2,"Partiel","Vide"))</f>
        <v/>
      </c>
      <c r="AP48">
        <f>IF(AJ48="DCE_A_TELECHARGER","Telecharger DCE",IF(T48="A_VERIFIER_BUDGET","Verifier budget",IF(AN48="CHAUD","Contacter maintenant",IF(AN48="TIEDE","Surveiller / relancer","Basse priorite"))))</f>
        <v/>
      </c>
      <c r="AQ48" t="inlineStr">
        <is>
          <t>IA_CONTACT_A_COMPLETER</t>
        </is>
      </c>
      <c r="AR48" t="inlineStr">
        <is>
          <t>Completer les champs manquants depuis l'avis source, le site acheteur ou le DCE.</t>
        </is>
      </c>
      <c r="AS48" t="inlineStr">
        <is>
          <t>SIRET, adresse, ville</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26-81108. Objet: Accord-cadre à bons de commande relatif au nettoyage des locaux et des vitres des bâtiments départementaux et au nettoyage partiel de certains collèges du Val d'Oise (8 lots). Acheteur: Conseil départemental du Val-d'Oise. Lien: https://www.boamp.fr/pages/avis/?q=idweb:26-81108.</t>
        </is>
      </c>
      <c r="AU48" t="inlineStr">
        <is>
          <t>Verifier url_avis et DCE si disponible</t>
        </is>
      </c>
      <c r="AV48" t="inlineStr"/>
      <c r="AW48" t="inlineStr"/>
      <c r="AX48" t="inlineStr"/>
      <c r="AY48" t="inlineStr"/>
      <c r="AZ48" t="inlineStr"/>
      <c r="BA48" t="inlineStr"/>
      <c r="BB48" t="inlineStr">
        <is>
          <t>+34.0 nettoyage + categorie claire (2 termes) | -20.0 budget annualise 1 125 000 EUR | +15 procedure adaptee / MAPA / allotissement | +7.0 delai 18 j | +1.5 dossier renseigne (3/4)</t>
        </is>
      </c>
      <c r="BC48" t="inlineStr">
        <is>
          <t>Conseil départemental du Val-d'Oise publie un AO potentiellement pertinent pour CHRUTH : Accord-cadre à bons de commande relatif au nettoyage des locaux et des vitres des bâtiments départementaux et au nettoyage partiel de certains collèges du Val d'Oise (8 lots). Zone : 95. Budget detecte environ 4 500 000 EUR. Verifier le lien source avant contact.</t>
        </is>
      </c>
      <c r="BD48" t="inlineStr">
        <is>
          <t>Bonjour,
Je me permets de vous contacter au sujet de votre appel d'offres : Accord-cadre à bons de commande relatif au nettoyage des locaux et des vitres des bâtiments départementaux et au nettoyage partiel de certains collèges du Val d'Oise (8 lots).
CHRUTH accompagne les structures publiques et privées sur les besoins de nettoyage, d'entretien des locaux et d'organisation de prestations de service.
Serait-il possible d'échanger rapidement afin de vérifier les modalités de réponse et les attentes de Conseil départemental du Val-d'Oise ?
Cordialement,</t>
        </is>
      </c>
      <c r="BE48" t="inlineStr">
        <is>
          <t>Bonjour, je vous appelle concernant un appel d'offres publié par Conseil départemental du Val-d'Oise.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2026-W34</t>
        </is>
      </c>
    </row>
    <row r="49">
      <c r="A49" t="inlineStr">
        <is>
          <t>BOAMP</t>
        </is>
      </c>
      <c r="B49" t="inlineStr">
        <is>
          <t>26-77304</t>
        </is>
      </c>
      <c r="C49" t="inlineStr">
        <is>
          <t>Travaux d'aménagement d'une crèche de 15 berceaux - Crèche des bonshommes : Relance lot 1 - Gros oeuvre - carrelage pour cause de liquidation judiciaire</t>
        </is>
      </c>
      <c r="D49" t="inlineStr">
        <is>
          <t>Val d'Europe agglomération</t>
        </is>
      </c>
      <c r="E49" t="inlineStr">
        <is>
          <t>24770033900010</t>
        </is>
      </c>
      <c r="F49" t="inlineStr">
        <is>
          <t>247700339</t>
        </is>
      </c>
      <c r="G49" t="inlineStr">
        <is>
          <t>M. Philippe DESCROUET</t>
        </is>
      </c>
      <c r="H49" t="inlineStr"/>
      <c r="I49" t="inlineStr">
        <is>
          <t>vassilia.bucan@vdeagglo.fr</t>
        </is>
      </c>
      <c r="J49" t="inlineStr">
        <is>
          <t>+33 160436617</t>
        </is>
      </c>
      <c r="K49" t="inlineStr">
        <is>
          <t>Seine-et-Marne</t>
        </is>
      </c>
      <c r="L49" t="inlineStr">
        <is>
          <t>77701</t>
        </is>
      </c>
      <c r="M49" t="inlineStr">
        <is>
          <t>Marne la vallée cedex 4</t>
        </is>
      </c>
      <c r="N49" t="inlineStr">
        <is>
          <t>77</t>
        </is>
      </c>
      <c r="O49" t="inlineStr"/>
      <c r="P49" t="inlineStr">
        <is>
          <t>Ile-de-France</t>
        </is>
      </c>
      <c r="Q49" s="15" t="n">
        <v>46237</v>
      </c>
      <c r="R49" s="15" t="n">
        <v>46261</v>
      </c>
      <c r="S49" s="14" t="n">
        <v>77701</v>
      </c>
      <c r="T49" t="inlineStr">
        <is>
          <t>BUDGET_SOUS_SEUIL</t>
        </is>
      </c>
      <c r="U49" t="inlineStr">
        <is>
          <t>155402</t>
        </is>
      </c>
      <c r="V49" t="inlineStr">
        <is>
          <t>oui</t>
        </is>
      </c>
      <c r="W49" t="inlineStr">
        <is>
          <t>Bureaux</t>
        </is>
      </c>
      <c r="X49" t="inlineStr">
        <is>
          <t>Ecole</t>
        </is>
      </c>
      <c r="Y49" t="inlineStr">
        <is>
          <t>TRAVAUX</t>
        </is>
      </c>
      <c r="Z49" t="inlineStr">
        <is>
          <t>Procédure Ouverte</t>
        </is>
      </c>
      <c r="AA49" t="inlineStr">
        <is>
          <t>Avis de marché</t>
        </is>
      </c>
      <c r="AB49" t="inlineStr">
        <is>
          <t>Gros oeuvre, Carrelage</t>
        </is>
      </c>
      <c r="AC49" t="inlineStr">
        <is>
          <t>['environnementaux']</t>
        </is>
      </c>
      <c r="AD49" s="11" t="inlineStr">
        <is>
          <t>https://www.boamp.fr/pages/avis/?q=idweb:26-77304</t>
        </is>
      </c>
      <c r="AE49" t="inlineStr">
        <is>
          <t>https://www.achatpublic.com/sdm/ent/gen/ent_detail.do?PCSLID=CSL_2026_HfAtl9mcaM</t>
        </is>
      </c>
      <c r="AF49" t="inlineStr">
        <is>
          <t>https://www.achatpublic.com/sdm/ent/gen/ent_detail.do?PCSLID=CSL_2026_HfAtl9mcaM</t>
        </is>
      </c>
      <c r="AG49" t="inlineStr">
        <is>
          <t>proprete</t>
        </is>
      </c>
      <c r="AH49" t="inlineStr">
        <is>
          <t>6</t>
        </is>
      </c>
      <c r="AI49" t="inlineStr">
        <is>
          <t>98</t>
        </is>
      </c>
      <c r="AJ49" t="inlineStr">
        <is>
          <t>INFO_PARTIELLE</t>
        </is>
      </c>
      <c r="AK49" t="inlineStr">
        <is>
          <t>35.1</t>
        </is>
      </c>
      <c r="AL49" s="16" t="inlineStr">
        <is>
          <t>FROID</t>
        </is>
      </c>
      <c r="AM49">
        <f>MIN(100,MAX(0,IF(OR(ISNUMBER(SEARCH("nettoyage",C49)),ISNUMBER(SEARCH("proprete",C49)),ISNUMBER(SEARCH("entretien",C49)),ISNUMBER(SEARCH("hygiene",C49))),35,0)+IF(SUM(--(N49="75")+--(O49="75"),--(N49="77")+--(O49="77"),--(N49="78")+--(O49="78"),--(N49="91")+--(O49="91"),--(N49="92")+--(O49="92"),--(N49="93")+--(O49="93"),--(N49="94")+--(O49="94"),--(N49="95")+--(O49="95"))&gt;0,25,4)+IF(S49="",10,IF(S49&lt;=50000,25,IF(S49&lt;=100000,20,IF(S49&lt;=200000,5,IF(S49&lt;=500000,-10,-20)))))+IF(I49&lt;&gt;"",4,0)+IF(J49&lt;&gt;"",4,0)+IF(E49&lt;&gt;"",3,0)+IF(K49&lt;&gt;"",2,0)+IF(M49&lt;&gt;"",1,0)+IF(AD49&lt;&gt;"",1,0)+IF(R49="",0,IF(R49&lt;TODAY(),-30,IF(R49&lt;TODAY()+5,-15,IF(R49&lt;=TODAY()+15,5,10))))))</f>
        <v/>
      </c>
      <c r="AN49">
        <f>IF(AM49&gt;=65,"CHAUD",IF(AM49&gt;=40,"TIEDE","FROID"))</f>
        <v/>
      </c>
      <c r="AO49">
        <f>IF((IF(I49&lt;&gt;"",1,0)+IF(J49&lt;&gt;"",1,0)+IF(E49&lt;&gt;"",1,0)+IF(K49&lt;&gt;"",1,0))&gt;=4,"Complet",IF((IF(I49&lt;&gt;"",1,0)+IF(J49&lt;&gt;"",1,0)+IF(E49&lt;&gt;"",1,0)+IF(K49&lt;&gt;"",1,0))&gt;=2,"Partiel","Vide"))</f>
        <v/>
      </c>
      <c r="AP49">
        <f>IF(AJ49="DCE_A_TELECHARGER","Telecharger DCE",IF(T49="A_VERIFIER_BUDGET","Verifier budget",IF(AN49="CHAUD","Contacter maintenant",IF(AN49="TIEDE","Surveiller / relancer","Basse priorite"))))</f>
        <v/>
      </c>
      <c r="AQ49" t="inlineStr">
        <is>
          <t>IA_CONTROLE_SOURCE</t>
        </is>
      </c>
      <c r="AR49" t="inlineStr">
        <is>
          <t>Verifier rapidement la source avant contact.</t>
        </is>
      </c>
      <c r="AS49" t="inlineStr">
        <is>
          <t>Aucun champ critique manquant</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26-77304. Objet: Travaux d'aménagement d'une crèche de 15 berceaux - Crèche des bonshommes : Relance lot 1 - Gros oeuvre - carrelage pour cause de liquidation judiciaire. Acheteur: Val d'Europe agglomération. Lien: https://www.boamp.fr/pages/avis/?q=idweb:26-77304.</t>
        </is>
      </c>
      <c r="AU49" t="inlineStr">
        <is>
          <t>Verifier url_avis et DCE si disponible</t>
        </is>
      </c>
      <c r="AV49" t="inlineStr"/>
      <c r="AW49" t="inlineStr"/>
      <c r="AX49" t="inlineStr"/>
      <c r="AY49" t="inlineStr"/>
      <c r="AZ49" t="inlineStr"/>
      <c r="BA49" t="inlineStr"/>
      <c r="BB49" t="inlineStr">
        <is>
          <t>+33.5 nettoyage + categorie claire (1 termes) | +4.6 budget annualise 155 402 EUR | +15 procedure adaptee / MAPA / allotissement | +10 secteur cible Ecole | -30 AO expire | +2.0 dossier renseigne (4/4)</t>
        </is>
      </c>
      <c r="BC49" t="inlineStr">
        <is>
          <t>Val d'Europe agglomération publie un AO potentiellement pertinent pour CHRUTH : Travaux d'aménagement d'une crèche de 15 berceaux - Crèche des bonshommes : Relance lot 1 - Gros oeuvre - carrelage pour cause de liquidation judiciaire. Zone : Marne la vallée cedex 4. Budget detecte environ 77 701 EUR. Verifier le lien source avant contact.</t>
        </is>
      </c>
      <c r="BD49" t="inlineStr">
        <is>
          <t>Bonjour,
Je me permets de vous contacter au sujet de votre appel d'offres : Travaux d'aménagement d'une crèche de 15 berceaux - Crèche des bonshommes : Relance lot 1 - Gros oeuvre - carrelage pour cause de liquidation judiciaire.
CHRUTH accompagne les structures publiques et privées sur les besoins de nettoyage, d'entretien des locaux et d'organisation de prestations de service.
Serait-il possible d'échanger rapidement afin de vérifier les modalités de réponse et les attentes de Val d'Europe agglomération ?
Cordialement,</t>
        </is>
      </c>
      <c r="BE49" t="inlineStr">
        <is>
          <t>Bonjour, je vous appelle concernant un appel d'offres publié par Val d'Europe agglomération.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2026-W32</t>
        </is>
      </c>
    </row>
    <row r="50">
      <c r="A50" t="inlineStr">
        <is>
          <t>BOAMP</t>
        </is>
      </c>
      <c r="B50" t="inlineStr">
        <is>
          <t>26-74504</t>
        </is>
      </c>
      <c r="C50" t="inlineStr">
        <is>
          <t>chalet DGAC pour le salon du Bourget</t>
        </is>
      </c>
      <c r="D50" t="inlineStr">
        <is>
          <t>SG / SDF2</t>
        </is>
      </c>
      <c r="E50" t="inlineStr">
        <is>
          <t>12006401900074</t>
        </is>
      </c>
      <c r="F50" t="inlineStr">
        <is>
          <t>120064019</t>
        </is>
      </c>
      <c r="G50" t="inlineStr">
        <is>
          <t>SDF2 - Pole achats et marchés</t>
        </is>
      </c>
      <c r="H50" t="inlineStr"/>
      <c r="I50" t="inlineStr">
        <is>
          <t>pmi-dgac@aviation-civile.gouv.fr</t>
        </is>
      </c>
      <c r="J50" t="inlineStr">
        <is>
          <t>0640190007</t>
        </is>
      </c>
      <c r="K50" t="inlineStr">
        <is>
          <t>Le parc des expositions de Paris-Le Bourget, aéroport Paris-Le Bourget, 93 350 Le Bourget</t>
        </is>
      </c>
      <c r="L50" t="inlineStr">
        <is>
          <t>75720</t>
        </is>
      </c>
      <c r="M50" t="inlineStr">
        <is>
          <t>Paris Cedex 15</t>
        </is>
      </c>
      <c r="N50" t="inlineStr">
        <is>
          <t>75,93</t>
        </is>
      </c>
      <c r="O50" t="inlineStr"/>
      <c r="P50" t="inlineStr">
        <is>
          <t>Ile-de-France</t>
        </is>
      </c>
      <c r="Q50" s="15" t="n">
        <v>46227</v>
      </c>
      <c r="R50" s="15" t="n">
        <v>46279</v>
      </c>
      <c r="S50" s="14" t="n">
        <v>570000</v>
      </c>
      <c r="T50" t="inlineStr">
        <is>
          <t>BUDGET_EXPLICITE_OK</t>
        </is>
      </c>
      <c r="U50" t="inlineStr">
        <is>
          <t>285000</t>
        </is>
      </c>
      <c r="V50" t="inlineStr">
        <is>
          <t>oui</t>
        </is>
      </c>
      <c r="W50" t="inlineStr">
        <is>
          <t>Personnel</t>
        </is>
      </c>
      <c r="X50" t="inlineStr">
        <is>
          <t>Autre</t>
        </is>
      </c>
      <c r="Y50" t="inlineStr">
        <is>
          <t>TRAVAUX</t>
        </is>
      </c>
      <c r="Z50" t="inlineStr">
        <is>
          <t>Procédure Ouverte</t>
        </is>
      </c>
      <c r="AA50" t="inlineStr">
        <is>
          <t>Avis de marché</t>
        </is>
      </c>
      <c r="AB50" t="inlineStr">
        <is>
          <t>Stand, Evénementiel</t>
        </is>
      </c>
      <c r="AC50" t="inlineStr">
        <is>
          <t>['environnementaux']</t>
        </is>
      </c>
      <c r="AD50" s="11" t="inlineStr">
        <is>
          <t>https://www.boamp.fr/pages/avis/?q=idweb:26-74504</t>
        </is>
      </c>
      <c r="AE50" t="inlineStr">
        <is>
          <t>https://www.marches-publics.gouv.fr/entreprise/consultation/3043184?orgAcronyme=d4t</t>
        </is>
      </c>
      <c r="AF50" t="inlineStr">
        <is>
          <t>https://www.marches-publics.gouv.fr/entreprise/consultation/3043184?orgAcronyme=d4t</t>
        </is>
      </c>
      <c r="AG50" t="inlineStr">
        <is>
          <t>nettoyage</t>
        </is>
      </c>
      <c r="AH50" t="inlineStr">
        <is>
          <t>6</t>
        </is>
      </c>
      <c r="AI50" t="inlineStr">
        <is>
          <t>98</t>
        </is>
      </c>
      <c r="AJ50" t="inlineStr">
        <is>
          <t>INFO_COMPLETE</t>
        </is>
      </c>
      <c r="AK50" t="inlineStr">
        <is>
          <t>35</t>
        </is>
      </c>
      <c r="AL50" s="16" t="inlineStr">
        <is>
          <t>FROID</t>
        </is>
      </c>
      <c r="AM50">
        <f>MIN(100,MAX(0,IF(OR(ISNUMBER(SEARCH("nettoyage",C50)),ISNUMBER(SEARCH("proprete",C50)),ISNUMBER(SEARCH("entretien",C50)),ISNUMBER(SEARCH("hygiene",C50))),35,0)+IF(SUM(--(N50="75")+--(O50="75"),--(N50="77")+--(O50="77"),--(N50="78")+--(O50="78"),--(N50="91")+--(O50="91"),--(N50="92")+--(O50="92"),--(N50="93")+--(O50="93"),--(N50="94")+--(O50="94"),--(N50="95")+--(O50="95"))&gt;0,25,4)+IF(S50="",10,IF(S50&lt;=50000,25,IF(S50&lt;=100000,20,IF(S50&lt;=200000,5,IF(S50&lt;=500000,-10,-20)))))+IF(I50&lt;&gt;"",4,0)+IF(J50&lt;&gt;"",4,0)+IF(E50&lt;&gt;"",3,0)+IF(K50&lt;&gt;"",2,0)+IF(M50&lt;&gt;"",1,0)+IF(AD50&lt;&gt;"",1,0)+IF(R50="",0,IF(R50&lt;TODAY(),-30,IF(R50&lt;TODAY()+5,-15,IF(R50&lt;=TODAY()+15,5,10))))))</f>
        <v/>
      </c>
      <c r="AN50">
        <f>IF(AM50&gt;=65,"CHAUD",IF(AM50&gt;=40,"TIEDE","FROID"))</f>
        <v/>
      </c>
      <c r="AO50">
        <f>IF((IF(I50&lt;&gt;"",1,0)+IF(J50&lt;&gt;"",1,0)+IF(E50&lt;&gt;"",1,0)+IF(K50&lt;&gt;"",1,0))&gt;=4,"Complet",IF((IF(I50&lt;&gt;"",1,0)+IF(J50&lt;&gt;"",1,0)+IF(E50&lt;&gt;"",1,0)+IF(K50&lt;&gt;"",1,0))&gt;=2,"Partiel","Vide"))</f>
        <v/>
      </c>
      <c r="AP50">
        <f>IF(AJ50="DCE_A_TELECHARGER","Telecharger DCE",IF(T50="A_VERIFIER_BUDGET","Verifier budget",IF(AN50="CHAUD","Contacter maintenant",IF(AN50="TIEDE","Surveiller / relancer","Basse priorite"))))</f>
        <v/>
      </c>
      <c r="AQ50" t="inlineStr">
        <is>
          <t>IA_CONTROLE_SOURCE</t>
        </is>
      </c>
      <c r="AR50" t="inlineStr">
        <is>
          <t>Verifier rapidement la source avant contact.</t>
        </is>
      </c>
      <c r="AS50" t="inlineStr">
        <is>
          <t>Aucun champ critique manquant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50" t="inlineStr">
        <is>
          <t>Verifier url_avis et DCE si disponible</t>
        </is>
      </c>
      <c r="AV50" t="inlineStr"/>
      <c r="AW50" t="inlineStr"/>
      <c r="AX50" t="inlineStr"/>
      <c r="AY50" t="inlineStr"/>
      <c r="AZ50" t="inlineStr"/>
      <c r="BA50" t="inlineStr"/>
      <c r="BB50" t="inlineStr">
        <is>
          <t>+35 nettoyage + categorie claire | -10 budget annualise &lt;= 500 000 EUR | +10 delai confortable 48j</t>
        </is>
      </c>
      <c r="BC50" t="inlineStr">
        <is>
          <t>SG / SDF2 publie un AO potentiellement pertinent pour CHRUTH : chalet DGAC pour le salon du Bourget. Zone : Paris Cedex 15. Budget detecte environ 570 000 EUR. Verifier le lien source avant contact.</t>
        </is>
      </c>
      <c r="BD50"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50"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2026-W30</t>
        </is>
      </c>
    </row>
    <row r="51">
      <c r="A51" t="inlineStr">
        <is>
          <t>BOAMP</t>
        </is>
      </c>
      <c r="B51" t="inlineStr">
        <is>
          <t>26-73442</t>
        </is>
      </c>
      <c r="C51" t="inlineStr">
        <is>
          <t>Travaux de menuiseries extérieures et de vitrerie dans les bâtiments communaux</t>
        </is>
      </c>
      <c r="D51" t="inlineStr">
        <is>
          <t>Ville de Montrouge
Direction des bâtiments, énergie et propreté 
43 avenue de la République
92120 MONTROUGE</t>
        </is>
      </c>
      <c r="E51" t="inlineStr">
        <is>
          <t>21920049000015</t>
        </is>
      </c>
      <c r="F51" t="inlineStr">
        <is>
          <t>219200490</t>
        </is>
      </c>
      <c r="G51" t="inlineStr"/>
      <c r="H51" t="inlineStr"/>
      <c r="I51" t="inlineStr">
        <is>
          <t>o.satouri@ville-montrouge.fr</t>
        </is>
      </c>
      <c r="J51" t="inlineStr">
        <is>
          <t>0146127540</t>
        </is>
      </c>
      <c r="K51" t="inlineStr"/>
      <c r="L51" t="inlineStr"/>
      <c r="M51" t="inlineStr"/>
      <c r="N51" t="inlineStr">
        <is>
          <t>92,75</t>
        </is>
      </c>
      <c r="O51" t="inlineStr"/>
      <c r="P51" t="inlineStr">
        <is>
          <t>Ile-de-France</t>
        </is>
      </c>
      <c r="Q51" s="15" t="n">
        <v>46227</v>
      </c>
      <c r="R51" s="15" t="n">
        <v>46293</v>
      </c>
      <c r="S51" s="14" t="n">
        <v>3200000</v>
      </c>
      <c r="T51" t="inlineStr">
        <is>
          <t>BUDGET_EXPLICITE_OK</t>
        </is>
      </c>
      <c r="U51" t="inlineStr">
        <is>
          <t>3200000.0</t>
        </is>
      </c>
      <c r="V51" t="inlineStr">
        <is>
          <t>non</t>
        </is>
      </c>
      <c r="W51" t="inlineStr">
        <is>
          <t>Vitres</t>
        </is>
      </c>
      <c r="X51" t="inlineStr">
        <is>
          <t>Mairie</t>
        </is>
      </c>
      <c r="Y51" t="inlineStr">
        <is>
          <t>TRAVAUX</t>
        </is>
      </c>
      <c r="Z51" t="inlineStr">
        <is>
          <t>Procédure Ouverte</t>
        </is>
      </c>
      <c r="AA51" t="inlineStr">
        <is>
          <t>Avis de marché</t>
        </is>
      </c>
      <c r="AB51" t="inlineStr">
        <is>
          <t>Menuiserie</t>
        </is>
      </c>
      <c r="AC51" t="inlineStr">
        <is>
          <t>['environnementaux']</t>
        </is>
      </c>
      <c r="AD51" s="11" t="inlineStr">
        <is>
          <t>https://www.boamp.fr/pages/avis/?q=idweb:26-73442</t>
        </is>
      </c>
      <c r="AE51" t="inlineStr">
        <is>
          <t>https://www.achatpublic.com/sdm/ent/gen/ent_detail.do?PCSLID=CSL_2026_YLyiWdUZqH</t>
        </is>
      </c>
      <c r="AF51" t="inlineStr">
        <is>
          <t>https://www.achatpublic.com/sdm/ent/gen/ent_detail.do?PCSLID=CSL_2026_YLyiWdUZqH</t>
        </is>
      </c>
      <c r="AG51" t="inlineStr">
        <is>
          <t>proprete</t>
        </is>
      </c>
      <c r="AH51" t="inlineStr">
        <is>
          <t>3</t>
        </is>
      </c>
      <c r="AI51" t="inlineStr">
        <is>
          <t>68</t>
        </is>
      </c>
      <c r="AJ51" t="inlineStr">
        <is>
          <t>INFO_PARTIELLE</t>
        </is>
      </c>
      <c r="AK51" t="inlineStr">
        <is>
          <t>35</t>
        </is>
      </c>
      <c r="AL51" s="16" t="inlineStr">
        <is>
          <t>FROID</t>
        </is>
      </c>
      <c r="AM51">
        <f>MIN(100,MAX(0,IF(OR(ISNUMBER(SEARCH("nettoyage",C51)),ISNUMBER(SEARCH("proprete",C51)),ISNUMBER(SEARCH("entretien",C51)),ISNUMBER(SEARCH("hygiene",C51))),35,0)+IF(SUM(--(N51="75")+--(O51="75"),--(N51="77")+--(O51="77"),--(N51="78")+--(O51="78"),--(N51="91")+--(O51="91"),--(N51="92")+--(O51="92"),--(N51="93")+--(O51="93"),--(N51="94")+--(O51="94"),--(N51="95")+--(O51="95"))&gt;0,25,4)+IF(S51="",10,IF(S51&lt;=50000,25,IF(S51&lt;=100000,20,IF(S51&lt;=200000,5,IF(S51&lt;=500000,-10,-20)))))+IF(I51&lt;&gt;"",4,0)+IF(J51&lt;&gt;"",4,0)+IF(E51&lt;&gt;"",3,0)+IF(K51&lt;&gt;"",2,0)+IF(M51&lt;&gt;"",1,0)+IF(AD51&lt;&gt;"",1,0)+IF(R51="",0,IF(R51&lt;TODAY(),-30,IF(R51&lt;TODAY()+5,-15,IF(R51&lt;=TODAY()+15,5,10))))))</f>
        <v/>
      </c>
      <c r="AN51">
        <f>IF(AM51&gt;=65,"CHAUD",IF(AM51&gt;=40,"TIEDE","FROID"))</f>
        <v/>
      </c>
      <c r="AO51">
        <f>IF((IF(I51&lt;&gt;"",1,0)+IF(J51&lt;&gt;"",1,0)+IF(E51&lt;&gt;"",1,0)+IF(K51&lt;&gt;"",1,0))&gt;=4,"Complet",IF((IF(I51&lt;&gt;"",1,0)+IF(J51&lt;&gt;"",1,0)+IF(E51&lt;&gt;"",1,0)+IF(K51&lt;&gt;"",1,0))&gt;=2,"Partiel","Vide"))</f>
        <v/>
      </c>
      <c r="AP51">
        <f>IF(AJ51="DCE_A_TELECHARGER","Telecharger DCE",IF(T51="A_VERIFIER_BUDGET","Verifier budget",IF(AN51="CHAUD","Contacter maintenant",IF(AN51="TIEDE","Surveiller / relancer","Basse priorite"))))</f>
        <v/>
      </c>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62j</t>
        </is>
      </c>
      <c r="BC51"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51"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51"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2026-W30</t>
        </is>
      </c>
    </row>
    <row r="52">
      <c r="A52" t="inlineStr">
        <is>
          <t>BOAMP</t>
        </is>
      </c>
      <c r="B52" t="inlineStr">
        <is>
          <t>26-78377</t>
        </is>
      </c>
      <c r="C52" t="inlineStr">
        <is>
          <t>Prestation de balayage et nettoyage du domaine public et privé de la collectivité</t>
        </is>
      </c>
      <c r="D52" t="inlineStr">
        <is>
          <t>Mairie de Paray-Vieille-Poste</t>
        </is>
      </c>
      <c r="E52" t="inlineStr">
        <is>
          <t>21910479100013</t>
        </is>
      </c>
      <c r="F52" t="inlineStr">
        <is>
          <t>219104791</t>
        </is>
      </c>
      <c r="G52" t="inlineStr"/>
      <c r="H52" t="inlineStr"/>
      <c r="I52" t="inlineStr">
        <is>
          <t>christine.goncalves@grandorlyseinebievre.fr</t>
        </is>
      </c>
      <c r="J52" t="inlineStr">
        <is>
          <t>0479100013</t>
        </is>
      </c>
      <c r="K52" t="inlineStr"/>
      <c r="L52" t="inlineStr"/>
      <c r="M52" t="inlineStr"/>
      <c r="N52" t="inlineStr">
        <is>
          <t>91</t>
        </is>
      </c>
      <c r="O52" t="inlineStr"/>
      <c r="P52" t="inlineStr">
        <is>
          <t>Ile-de-France</t>
        </is>
      </c>
      <c r="Q52" s="15" t="n">
        <v>46241</v>
      </c>
      <c r="R52" s="15" t="n">
        <v>46281</v>
      </c>
      <c r="S52" s="14" t="n">
        <v>440000</v>
      </c>
      <c r="T52" t="inlineStr">
        <is>
          <t>BUDGET_EXPLICITE_OK</t>
        </is>
      </c>
      <c r="U52" t="inlineStr">
        <is>
          <t>440000</t>
        </is>
      </c>
      <c r="V52" t="inlineStr">
        <is>
          <t>oui</t>
        </is>
      </c>
      <c r="W52" t="inlineStr">
        <is>
          <t>Mixte/Autre</t>
        </is>
      </c>
      <c r="X52" t="inlineStr">
        <is>
          <t>Mairie</t>
        </is>
      </c>
      <c r="Y52" t="inlineStr">
        <is>
          <t>SERVICES</t>
        </is>
      </c>
      <c r="Z52" t="inlineStr">
        <is>
          <t>Procédure Ouverte</t>
        </is>
      </c>
      <c r="AA52" t="inlineStr">
        <is>
          <t>Avis de marché</t>
        </is>
      </c>
      <c r="AB52" t="inlineStr">
        <is>
          <t>Nettoyage urbain</t>
        </is>
      </c>
      <c r="AC52" t="inlineStr">
        <is>
          <t>['environnementaux']</t>
        </is>
      </c>
      <c r="AD52" s="11" t="inlineStr">
        <is>
          <t>https://www.boamp.fr/pages/avis/?q=idweb:26-78377</t>
        </is>
      </c>
      <c r="AE52" t="inlineStr">
        <is>
          <t>https://marches.maximilien.fr</t>
        </is>
      </c>
      <c r="AF52" t="inlineStr">
        <is>
          <t>https://marches.maximilien.fr</t>
        </is>
      </c>
      <c r="AG52" t="inlineStr">
        <is>
          <t>nettoyage</t>
        </is>
      </c>
      <c r="AH52" t="inlineStr">
        <is>
          <t>3</t>
        </is>
      </c>
      <c r="AI52" t="inlineStr">
        <is>
          <t>68</t>
        </is>
      </c>
      <c r="AJ52" t="inlineStr">
        <is>
          <t>INFO_PARTIELLE</t>
        </is>
      </c>
      <c r="AK52" t="inlineStr">
        <is>
          <t>34.2</t>
        </is>
      </c>
      <c r="AL52" s="16" t="inlineStr">
        <is>
          <t>FROID</t>
        </is>
      </c>
      <c r="AM52">
        <f>MIN(100,MAX(0,IF(OR(ISNUMBER(SEARCH("nettoyage",C52)),ISNUMBER(SEARCH("proprete",C52)),ISNUMBER(SEARCH("entretien",C52)),ISNUMBER(SEARCH("hygiene",C52))),35,0)+IF(SUM(--(N52="75")+--(O52="75"),--(N52="77")+--(O52="77"),--(N52="78")+--(O52="78"),--(N52="91")+--(O52="91"),--(N52="92")+--(O52="92"),--(N52="93")+--(O52="93"),--(N52="94")+--(O52="94"),--(N52="95")+--(O52="95"))&gt;0,25,4)+IF(S52="",10,IF(S52&lt;=50000,25,IF(S52&lt;=100000,20,IF(S52&lt;=200000,5,IF(S52&lt;=500000,-10,-20)))))+IF(I52&lt;&gt;"",4,0)+IF(J52&lt;&gt;"",4,0)+IF(E52&lt;&gt;"",3,0)+IF(K52&lt;&gt;"",2,0)+IF(M52&lt;&gt;"",1,0)+IF(AD52&lt;&gt;"",1,0)+IF(R52="",0,IF(R52&lt;TODAY(),-30,IF(R52&lt;TODAY()+5,-15,IF(R52&lt;=TODAY()+15,5,10))))))</f>
        <v/>
      </c>
      <c r="AN52">
        <f>IF(AM52&gt;=65,"CHAUD",IF(AM52&gt;=40,"TIEDE","FROID"))</f>
        <v/>
      </c>
      <c r="AO52">
        <f>IF((IF(I52&lt;&gt;"",1,0)+IF(J52&lt;&gt;"",1,0)+IF(E52&lt;&gt;"",1,0)+IF(K52&lt;&gt;"",1,0))&gt;=4,"Complet",IF((IF(I52&lt;&gt;"",1,0)+IF(J52&lt;&gt;"",1,0)+IF(E52&lt;&gt;"",1,0)+IF(K52&lt;&gt;"",1,0))&gt;=2,"Partiel","Vide"))</f>
        <v/>
      </c>
      <c r="AP52">
        <f>IF(AJ52="DCE_A_TELECHARGER","Telecharger DCE",IF(T52="A_VERIFIER_BUDGET","Verifier budget",IF(AN52="CHAUD","Contacter maintenant",IF(AN52="TIEDE","Surveiller / relancer","Basse priorite"))))</f>
        <v/>
      </c>
      <c r="AQ52" t="inlineStr">
        <is>
          <t>IA_CONTACT_A_COMPLETER</t>
        </is>
      </c>
      <c r="AR52" t="inlineStr">
        <is>
          <t>Completer les champs manquants depuis l'avis source, le site acheteur ou le DCE.</t>
        </is>
      </c>
      <c r="AS52" t="inlineStr">
        <is>
          <t>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26-78377. Objet: Prestation de balayage et nettoyage du domaine public et privé de la collectivité. Acheteur: Mairie de Paray-Vieille-Poste. Lien: https://www.boamp.fr/pages/avis/?q=idweb:26-78377.</t>
        </is>
      </c>
      <c r="AU52" t="inlineStr">
        <is>
          <t>Verifier url_avis et DCE si disponible</t>
        </is>
      </c>
      <c r="AV52" t="inlineStr"/>
      <c r="AW52" t="inlineStr"/>
      <c r="AX52" t="inlineStr"/>
      <c r="AY52" t="inlineStr"/>
      <c r="AZ52" t="inlineStr"/>
      <c r="BA52" t="inlineStr"/>
      <c r="BB52" t="inlineStr">
        <is>
          <t>+28.5 mots-cles nettoyage forts (1 termes) | -12.2 budget annualise 440 000 EUR | +10 secteur cible Mairie | +6.5 delai 16 j | +1.5 dossier renseigne (3/4)</t>
        </is>
      </c>
      <c r="BC52" t="inlineStr">
        <is>
          <t>Mairie de Paray-Vieille-Poste publie un AO potentiellement pertinent pour CHRUTH : Prestation de balayage et nettoyage du domaine public et privé de la collectivité. Zone : 91. Budget detecte environ 440 000 EUR. Verifier le lien source avant contact.</t>
        </is>
      </c>
      <c r="BD52" t="inlineStr">
        <is>
          <t>Bonjour,
Je me permets de vous contacter au sujet de votre appel d'offres : Prestation de balayage et nettoyage du domaine public et privé de la collectivité.
CHRUTH accompagne les structures publiques et privées sur les besoins de nettoyage, d'entretien des locaux et d'organisation de prestations de service.
Serait-il possible d'échanger rapidement afin de vérifier les modalités de réponse et les attentes de Mairie de Paray-Vieille-Poste ?
Cordialement,</t>
        </is>
      </c>
      <c r="BE52" t="inlineStr">
        <is>
          <t>Bonjour, je vous appelle concernant un appel d'offres publié par Mairie de Paray-Vieille-Poste. Je souhaite vérifier les informations pratiques : périmètre des prestations, date limite, modalités de visite, contact technique et pièces attendues. Pouvez-vous m'indiquer la bonne personne à contacter ?</t>
        </is>
      </c>
      <c r="BF52" t="inlineStr"/>
      <c r="BG52" t="inlineStr"/>
      <c r="BH52" t="inlineStr"/>
      <c r="BI52" t="inlineStr"/>
      <c r="BJ52" t="inlineStr"/>
      <c r="BK52" t="inlineStr"/>
      <c r="BL52" t="inlineStr"/>
      <c r="BM52" t="inlineStr">
        <is>
          <t>2026-W32</t>
        </is>
      </c>
    </row>
    <row r="53">
      <c r="A53" t="inlineStr">
        <is>
          <t>BOAMP</t>
        </is>
      </c>
      <c r="B53" t="inlineStr">
        <is>
          <t>26-82637</t>
        </is>
      </c>
      <c r="C53" t="inlineStr">
        <is>
          <t>Service de balayage mécanique des espaces publics de la Commune de Montmagny</t>
        </is>
      </c>
      <c r="D53" t="inlineStr">
        <is>
          <t>Commune de Montmagny</t>
        </is>
      </c>
      <c r="E53" t="inlineStr">
        <is>
          <t>21950427100012</t>
        </is>
      </c>
      <c r="F53" t="inlineStr">
        <is>
          <t>219504271</t>
        </is>
      </c>
      <c r="G53" t="inlineStr"/>
      <c r="H53" t="inlineStr"/>
      <c r="I53" t="inlineStr">
        <is>
          <t>moussa.dia@ville-montmagny.fr</t>
        </is>
      </c>
      <c r="J53" t="inlineStr">
        <is>
          <t>0427100012</t>
        </is>
      </c>
      <c r="K53" t="inlineStr"/>
      <c r="L53" t="inlineStr"/>
      <c r="M53" t="inlineStr"/>
      <c r="N53" t="inlineStr">
        <is>
          <t>95</t>
        </is>
      </c>
      <c r="O53" t="inlineStr"/>
      <c r="P53" t="inlineStr">
        <is>
          <t>Ile-de-France</t>
        </is>
      </c>
      <c r="Q53" s="15" t="n">
        <v>46259</v>
      </c>
      <c r="R53" s="15" t="n">
        <v>46293</v>
      </c>
      <c r="S53" s="14" t="n">
        <v>640000</v>
      </c>
      <c r="T53" t="inlineStr">
        <is>
          <t>BUDGET_EXPLICITE_OK</t>
        </is>
      </c>
      <c r="U53" t="inlineStr">
        <is>
          <t>640000.0</t>
        </is>
      </c>
      <c r="V53" t="inlineStr">
        <is>
          <t>non</t>
        </is>
      </c>
      <c r="W53" t="inlineStr">
        <is>
          <t>Mixte/Autre</t>
        </is>
      </c>
      <c r="X53" t="inlineStr">
        <is>
          <t>Mairie</t>
        </is>
      </c>
      <c r="Y53" t="inlineStr">
        <is>
          <t>SERVICES</t>
        </is>
      </c>
      <c r="Z53" t="inlineStr">
        <is>
          <t>Procédure Ouverte</t>
        </is>
      </c>
      <c r="AA53" t="inlineStr">
        <is>
          <t>Avis de marché</t>
        </is>
      </c>
      <c r="AB53" t="inlineStr">
        <is>
          <t>Nettoyage urbain</t>
        </is>
      </c>
      <c r="AC53" t="inlineStr">
        <is>
          <t>['sociaux', 'environnementaux']</t>
        </is>
      </c>
      <c r="AD53" s="11" t="inlineStr">
        <is>
          <t>https://www.boamp.fr/pages/avis/?q=idweb:26-82637</t>
        </is>
      </c>
      <c r="AE53" t="inlineStr">
        <is>
          <t>https://www.achatpublic.com/sdm/ent/gen/ent_detail.do?PCSLID=CSL_2026_tRFCblH-Fv</t>
        </is>
      </c>
      <c r="AF53" t="inlineStr">
        <is>
          <t>https://www.achatpublic.com/sdm/ent/gen/ent_detail.do?PCSLID=CSL_2026_tRFCblH-Fv</t>
        </is>
      </c>
      <c r="AG53" t="inlineStr">
        <is>
          <t>nettoyage, proprete</t>
        </is>
      </c>
      <c r="AH53" t="inlineStr">
        <is>
          <t>3</t>
        </is>
      </c>
      <c r="AI53" t="inlineStr">
        <is>
          <t>76</t>
        </is>
      </c>
      <c r="AJ53" t="inlineStr">
        <is>
          <t>INFO_PARTIELLE</t>
        </is>
      </c>
      <c r="AK53" t="inlineStr">
        <is>
          <t>32.8</t>
        </is>
      </c>
      <c r="AL53" s="16" t="inlineStr">
        <is>
          <t>FROID</t>
        </is>
      </c>
      <c r="AM53">
        <f>MIN(100,MAX(0,IF(OR(ISNUMBER(SEARCH("nettoyage",C53)),ISNUMBER(SEARCH("proprete",C53)),ISNUMBER(SEARCH("entretien",C53)),ISNUMBER(SEARCH("hygiene",C53))),35,0)+IF(SUM(--(N53="75")+--(O53="75"),--(N53="77")+--(O53="77"),--(N53="78")+--(O53="78"),--(N53="91")+--(O53="91"),--(N53="92")+--(O53="92"),--(N53="93")+--(O53="93"),--(N53="94")+--(O53="94"),--(N53="95")+--(O53="95"))&gt;0,25,4)+IF(S53="",10,IF(S53&lt;=50000,25,IF(S53&lt;=100000,20,IF(S53&lt;=200000,5,IF(S53&lt;=500000,-10,-20)))))+IF(I53&lt;&gt;"",4,0)+IF(J53&lt;&gt;"",4,0)+IF(E53&lt;&gt;"",3,0)+IF(K53&lt;&gt;"",2,0)+IF(M53&lt;&gt;"",1,0)+IF(AD53&lt;&gt;"",1,0)+IF(R53="",0,IF(R53&lt;TODAY(),-30,IF(R53&lt;TODAY()+5,-15,IF(R53&lt;=TODAY()+15,5,10))))))</f>
        <v/>
      </c>
      <c r="AN53">
        <f>IF(AM53&gt;=65,"CHAUD",IF(AM53&gt;=40,"TIEDE","FROID"))</f>
        <v/>
      </c>
      <c r="AO53">
        <f>IF((IF(I53&lt;&gt;"",1,0)+IF(J53&lt;&gt;"",1,0)+IF(E53&lt;&gt;"",1,0)+IF(K53&lt;&gt;"",1,0))&gt;=4,"Complet",IF((IF(I53&lt;&gt;"",1,0)+IF(J53&lt;&gt;"",1,0)+IF(E53&lt;&gt;"",1,0)+IF(K53&lt;&gt;"",1,0))&gt;=2,"Partiel","Vide"))</f>
        <v/>
      </c>
      <c r="AP53">
        <f>IF(AJ53="DCE_A_TELECHARGER","Telecharger DCE",IF(T53="A_VERIFIER_BUDGET","Verifier budget",IF(AN53="CHAUD","Contacter maintenant",IF(AN53="TIEDE","Surveiller / relancer","Basse priorite"))))</f>
        <v/>
      </c>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26-82637. Objet: Service de balayage mécanique des espaces publics de la Commune de Montmagny. Acheteur: Commune de Montmagny. Lien: https://www.boamp.fr/pages/avis/?q=idweb:26-82637.</t>
        </is>
      </c>
      <c r="AU53" t="inlineStr">
        <is>
          <t>Verifier url_avis et DCE si disponible</t>
        </is>
      </c>
      <c r="AV53" t="inlineStr"/>
      <c r="AW53" t="inlineStr"/>
      <c r="AX53" t="inlineStr"/>
      <c r="AY53" t="inlineStr"/>
      <c r="AZ53" t="inlineStr"/>
      <c r="BA53" t="inlineStr"/>
      <c r="BB53" t="inlineStr">
        <is>
          <t>+29.0 mots-cles nettoyage forts (2 termes) | -17.2 budget annualise 640 000 EUR | +10 secteur cible Mairie | +9.5 delai 28 j | +1.5 dossier renseigne (3/4)</t>
        </is>
      </c>
      <c r="BC53" t="inlineStr">
        <is>
          <t>Commune de Montmagny publie un AO potentiellement pertinent pour CHRUTH : Service de balayage mécanique des espaces publics de la Commune de Montmagny. Zone : 95. Budget detecte environ 640 000 EUR. Verifier le lien source avant contact.</t>
        </is>
      </c>
      <c r="BD53" t="inlineStr">
        <is>
          <t>Bonjour,
Je me permets de vous contacter au sujet de votre appel d'offres : Service de balayage mécanique des espaces publics de la Commune de Montmagny.
CHRUTH accompagne les structures publiques et privées sur les besoins de nettoyage, d'entretien des locaux et d'organisation de prestations de service.
Serait-il possible d'échanger rapidement afin de vérifier les modalités de réponse et les attentes de Commune de Montmagny ?
Cordialement,</t>
        </is>
      </c>
      <c r="BE53" t="inlineStr">
        <is>
          <t>Bonjour, je vous appelle concernant un appel d'offres publié par Commune de Montmagny.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2026-W35</t>
        </is>
      </c>
    </row>
    <row r="54">
      <c r="A54" t="inlineStr">
        <is>
          <t>BOAMP</t>
        </is>
      </c>
      <c r="B54" t="inlineStr">
        <is>
          <t>26-83350</t>
        </is>
      </c>
      <c r="C54" t="inlineStr">
        <is>
          <t>Sécurité des évènements</t>
        </is>
      </c>
      <c r="D54" t="inlineStr">
        <is>
          <t>Ville de Vitry-sur-Seine</t>
        </is>
      </c>
      <c r="E54" t="inlineStr">
        <is>
          <t>21940081900575</t>
        </is>
      </c>
      <c r="F54" t="inlineStr">
        <is>
          <t>219400819</t>
        </is>
      </c>
      <c r="G54" t="inlineStr"/>
      <c r="H54" t="inlineStr"/>
      <c r="I54" t="inlineStr">
        <is>
          <t>sebastien.guillot@mairie-vitry94.fr</t>
        </is>
      </c>
      <c r="J54" t="inlineStr">
        <is>
          <t>+33 146828378</t>
        </is>
      </c>
      <c r="K54" t="inlineStr"/>
      <c r="L54" t="inlineStr"/>
      <c r="M54" t="inlineStr"/>
      <c r="N54" t="inlineStr">
        <is>
          <t>94</t>
        </is>
      </c>
      <c r="O54" t="inlineStr"/>
      <c r="P54" t="inlineStr">
        <is>
          <t>Ile-de-France</t>
        </is>
      </c>
      <c r="Q54" s="15" t="n">
        <v>46261</v>
      </c>
      <c r="R54" s="15" t="n">
        <v>46300</v>
      </c>
      <c r="S54" t="inlineStr"/>
      <c r="T54" t="inlineStr">
        <is>
          <t>A_VERIFIER_BUDGET</t>
        </is>
      </c>
      <c r="U54" t="inlineStr"/>
      <c r="V54" t="inlineStr">
        <is>
          <t>non</t>
        </is>
      </c>
      <c r="W54" t="inlineStr">
        <is>
          <t>Personnel</t>
        </is>
      </c>
      <c r="X54" t="inlineStr">
        <is>
          <t>Mairie</t>
        </is>
      </c>
      <c r="Y54" t="inlineStr">
        <is>
          <t>SERVICES</t>
        </is>
      </c>
      <c r="Z54" t="inlineStr">
        <is>
          <t>Procédure NC</t>
        </is>
      </c>
      <c r="AA54" t="inlineStr">
        <is>
          <t>Avis de marché</t>
        </is>
      </c>
      <c r="AB54" t="inlineStr">
        <is>
          <t>Gardiennage</t>
        </is>
      </c>
      <c r="AC54" t="inlineStr"/>
      <c r="AD54" s="11" t="inlineStr">
        <is>
          <t>https://www.boamp.fr/pages/avis/?q=idweb:26-83350</t>
        </is>
      </c>
      <c r="AE54" t="inlineStr">
        <is>
          <t>https://marches.maximilien.fr</t>
        </is>
      </c>
      <c r="AF54" t="inlineStr">
        <is>
          <t>https://marches.maximilien.fr</t>
        </is>
      </c>
      <c r="AG54" t="inlineStr"/>
      <c r="AH54" t="inlineStr">
        <is>
          <t>3</t>
        </is>
      </c>
      <c r="AI54" t="inlineStr">
        <is>
          <t>60</t>
        </is>
      </c>
      <c r="AJ54" t="inlineStr">
        <is>
          <t>INFO_PARTIELLE</t>
        </is>
      </c>
      <c r="AK54" t="inlineStr">
        <is>
          <t>31.5</t>
        </is>
      </c>
      <c r="AL54" s="16" t="inlineStr">
        <is>
          <t>FROID</t>
        </is>
      </c>
      <c r="AM54">
        <f>MIN(100,MAX(0,IF(OR(ISNUMBER(SEARCH("nettoyage",C54)),ISNUMBER(SEARCH("proprete",C54)),ISNUMBER(SEARCH("entretien",C54)),ISNUMBER(SEARCH("hygiene",C54))),35,0)+IF(SUM(--(N54="75")+--(O54="75"),--(N54="77")+--(O54="77"),--(N54="78")+--(O54="78"),--(N54="91")+--(O54="91"),--(N54="92")+--(O54="92"),--(N54="93")+--(O54="93"),--(N54="94")+--(O54="94"),--(N54="95")+--(O54="95"))&gt;0,25,4)+IF(S54="",10,IF(S54&lt;=50000,25,IF(S54&lt;=100000,20,IF(S54&lt;=200000,5,IF(S54&lt;=500000,-10,-20)))))+IF(I54&lt;&gt;"",4,0)+IF(J54&lt;&gt;"",4,0)+IF(E54&lt;&gt;"",3,0)+IF(K54&lt;&gt;"",2,0)+IF(M54&lt;&gt;"",1,0)+IF(AD54&lt;&gt;"",1,0)+IF(R54="",0,IF(R54&lt;TODAY(),-30,IF(R54&lt;TODAY()+5,-15,IF(R54&lt;=TODAY()+15,5,10))))))</f>
        <v/>
      </c>
      <c r="AN54">
        <f>IF(AM54&gt;=65,"CHAUD",IF(AM54&gt;=40,"TIEDE","FROID"))</f>
        <v/>
      </c>
      <c r="AO54">
        <f>IF((IF(I54&lt;&gt;"",1,0)+IF(J54&lt;&gt;"",1,0)+IF(E54&lt;&gt;"",1,0)+IF(K54&lt;&gt;"",1,0))&gt;=4,"Complet",IF((IF(I54&lt;&gt;"",1,0)+IF(J54&lt;&gt;"",1,0)+IF(E54&lt;&gt;"",1,0)+IF(K54&lt;&gt;"",1,0))&gt;=2,"Partiel","Vide"))</f>
        <v/>
      </c>
      <c r="AP54">
        <f>IF(AJ54="DCE_A_TELECHARGER","Telecharger DCE",IF(T54="A_VERIFIER_BUDGET","Verifier budget",IF(AN54="CHAUD","Contacter maintenant",IF(AN54="TIEDE","Surveiller / relancer","Basse priorite"))))</f>
        <v/>
      </c>
      <c r="AQ54" t="inlineStr">
        <is>
          <t>IA_BUDGET_A_VERIFIER</t>
        </is>
      </c>
      <c r="AR54" t="inlineStr">
        <is>
          <t>Verifier le budget dans l'avis source ou le DCE avant decision commerciale.</t>
        </is>
      </c>
      <c r="AS54" t="inlineStr">
        <is>
          <t>adresse, ville, budget</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26-83350. Objet: Sécurité des évènements. Acheteur: Ville de Vitry-sur-Seine. Lien: https://www.boamp.fr/pages/avis/?q=idweb:26-83350.</t>
        </is>
      </c>
      <c r="AU54" t="inlineStr">
        <is>
          <t>Verifier url_avis et DCE si disponible</t>
        </is>
      </c>
      <c r="AV54" t="inlineStr">
        <is>
          <t>LIEN_SEUL</t>
        </is>
      </c>
      <c r="AW54" t="inlineStr"/>
      <c r="AX54" t="inlineStr"/>
      <c r="AY54" t="inlineStr"/>
      <c r="AZ54" t="inlineStr"/>
      <c r="BA54" t="inlineStr"/>
      <c r="BB54" t="inlineStr">
        <is>
          <t>0 pertinence metier faible | +10 budget non affiche (a verifier) | +10 secteur cible Mairie | +10.0 delai 35 j | +1.5 dossier renseigne (3/4)</t>
        </is>
      </c>
      <c r="BC54" t="inlineStr">
        <is>
          <t>Ville de Vitry-sur-Seine publie un AO potentiellement pertinent pour CHRUTH : Sécurité des évènements. Zone : 94. Budget a verifier. Verifier le lien source avant contact.</t>
        </is>
      </c>
      <c r="BD54" t="inlineStr">
        <is>
          <t>Bonjour,
Je me permets de vous contacter au sujet de votre appel d'offres : Sécurité des évènements.
CHRUTH accompagne les structures publiques et privées sur les besoins de nettoyage, d'entretien des locaux et d'organisation de prestations de service.
Serait-il possible d'échanger rapidement afin de vérifier les modalités de réponse et les attentes de Ville de Vitry-sur-Seine ?
Cordialement,</t>
        </is>
      </c>
      <c r="BE54" t="inlineStr">
        <is>
          <t>Bonjour, je vous appelle concernant un appel d'offres publié par Ville de Vitry-sur-Seine.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2026-W35</t>
        </is>
      </c>
    </row>
    <row r="55">
      <c r="A55" t="inlineStr">
        <is>
          <t>BOAMP</t>
        </is>
      </c>
      <c r="B55" t="inlineStr">
        <is>
          <t>26-82779</t>
        </is>
      </c>
      <c r="C55" t="inlineStr">
        <is>
          <t>GESTION ET NETTOYAGE DE BASE VIE ET DE STRUCTURES MODULAIRES</t>
        </is>
      </c>
      <c r="D55" t="inlineStr">
        <is>
          <t>ETBT du Château de Versailles</t>
        </is>
      </c>
      <c r="E55" t="inlineStr">
        <is>
          <t>18004626000014</t>
        </is>
      </c>
      <c r="F55" t="inlineStr">
        <is>
          <t>180046260</t>
        </is>
      </c>
      <c r="G55" t="inlineStr"/>
      <c r="H55" t="inlineStr"/>
      <c r="I55" t="inlineStr">
        <is>
          <t>bmdpj@chateauversailles.fr</t>
        </is>
      </c>
      <c r="J55" t="inlineStr">
        <is>
          <t>0462600001</t>
        </is>
      </c>
      <c r="K55" t="inlineStr"/>
      <c r="L55" t="inlineStr"/>
      <c r="M55" t="inlineStr"/>
      <c r="N55" t="inlineStr">
        <is>
          <t>78</t>
        </is>
      </c>
      <c r="O55" t="inlineStr"/>
      <c r="P55" t="inlineStr">
        <is>
          <t>Ile-de-France</t>
        </is>
      </c>
      <c r="Q55" s="15" t="n">
        <v>46260</v>
      </c>
      <c r="R55" s="15" t="n">
        <v>46307</v>
      </c>
      <c r="S55" s="14" t="n">
        <v>350000</v>
      </c>
      <c r="T55" t="inlineStr">
        <is>
          <t>BUDGET_EXPLICITE_OK</t>
        </is>
      </c>
      <c r="U55" t="inlineStr">
        <is>
          <t>350000.0</t>
        </is>
      </c>
      <c r="V55" t="inlineStr">
        <is>
          <t>non</t>
        </is>
      </c>
      <c r="W55" t="inlineStr">
        <is>
          <t>Mixte/Autre</t>
        </is>
      </c>
      <c r="X55" t="inlineStr">
        <is>
          <t>Autre</t>
        </is>
      </c>
      <c r="Y55" t="inlineStr">
        <is>
          <t>SERVICES</t>
        </is>
      </c>
      <c r="Z55" t="inlineStr">
        <is>
          <t>Procédure Ouverte</t>
        </is>
      </c>
      <c r="AA55" t="inlineStr">
        <is>
          <t>Avis de marché</t>
        </is>
      </c>
      <c r="AB55" t="inlineStr">
        <is>
          <t>Prestations de services</t>
        </is>
      </c>
      <c r="AC55" t="inlineStr"/>
      <c r="AD55" s="11" t="inlineStr">
        <is>
          <t>https://www.boamp.fr/pages/avis/?q=idweb:26-82779</t>
        </is>
      </c>
      <c r="AE55" t="inlineStr">
        <is>
          <t>https://www.achatpublic.com/sdm/ent/gen/ent_detail.do?PCSLID=CSL_2026_K0GSdVTAwn</t>
        </is>
      </c>
      <c r="AF55" t="inlineStr">
        <is>
          <t>https://www.achatpublic.com/sdm/ent/gen/ent_detail.do?PCSLID=CSL_2026_K0GSdVTAwn</t>
        </is>
      </c>
      <c r="AG55" t="inlineStr">
        <is>
          <t>nettoyage</t>
        </is>
      </c>
      <c r="AH55" t="inlineStr">
        <is>
          <t>3</t>
        </is>
      </c>
      <c r="AI55" t="inlineStr">
        <is>
          <t>68</t>
        </is>
      </c>
      <c r="AJ55" t="inlineStr">
        <is>
          <t>INFO_PARTIELLE</t>
        </is>
      </c>
      <c r="AK55" t="inlineStr">
        <is>
          <t>30.0</t>
        </is>
      </c>
      <c r="AL55" s="16" t="inlineStr">
        <is>
          <t>FROID</t>
        </is>
      </c>
      <c r="AM55">
        <f>MIN(100,MAX(0,IF(OR(ISNUMBER(SEARCH("nettoyage",C55)),ISNUMBER(SEARCH("proprete",C55)),ISNUMBER(SEARCH("entretien",C55)),ISNUMBER(SEARCH("hygiene",C55))),35,0)+IF(SUM(--(N55="75")+--(O55="75"),--(N55="77")+--(O55="77"),--(N55="78")+--(O55="78"),--(N55="91")+--(O55="91"),--(N55="92")+--(O55="92"),--(N55="93")+--(O55="93"),--(N55="94")+--(O55="94"),--(N55="95")+--(O55="95"))&gt;0,25,4)+IF(S55="",10,IF(S55&lt;=50000,25,IF(S55&lt;=100000,20,IF(S55&lt;=200000,5,IF(S55&lt;=500000,-10,-20)))))+IF(I55&lt;&gt;"",4,0)+IF(J55&lt;&gt;"",4,0)+IF(E55&lt;&gt;"",3,0)+IF(K55&lt;&gt;"",2,0)+IF(M55&lt;&gt;"",1,0)+IF(AD55&lt;&gt;"",1,0)+IF(R55="",0,IF(R55&lt;TODAY(),-30,IF(R55&lt;TODAY()+5,-15,IF(R55&lt;=TODAY()+15,5,10))))))</f>
        <v/>
      </c>
      <c r="AN55">
        <f>IF(AM55&gt;=65,"CHAUD",IF(AM55&gt;=40,"TIEDE","FROID"))</f>
        <v/>
      </c>
      <c r="AO55">
        <f>IF((IF(I55&lt;&gt;"",1,0)+IF(J55&lt;&gt;"",1,0)+IF(E55&lt;&gt;"",1,0)+IF(K55&lt;&gt;"",1,0))&gt;=4,"Complet",IF((IF(I55&lt;&gt;"",1,0)+IF(J55&lt;&gt;"",1,0)+IF(E55&lt;&gt;"",1,0)+IF(K55&lt;&gt;"",1,0))&gt;=2,"Partiel","Vide"))</f>
        <v/>
      </c>
      <c r="AP55">
        <f>IF(AJ55="DCE_A_TELECHARGER","Telecharger DCE",IF(T55="A_VERIFIER_BUDGET","Verifier budget",IF(AN55="CHAUD","Contacter maintenant",IF(AN55="TIEDE","Surveiller / relancer","Basse priorite"))))</f>
        <v/>
      </c>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26-82779. Objet: GESTION ET NETTOYAGE DE BASE VIE ET DE STRUCTURES MODULAIRES. Acheteur: ETBT du Château de Versailles. Lien: https://www.boamp.fr/pages/avis/?q=idweb:26-82779.</t>
        </is>
      </c>
      <c r="AU55" t="inlineStr">
        <is>
          <t>Verifier url_avis et DCE si disponible</t>
        </is>
      </c>
      <c r="AV55" t="inlineStr"/>
      <c r="AW55" t="inlineStr"/>
      <c r="AX55" t="inlineStr"/>
      <c r="AY55" t="inlineStr"/>
      <c r="AZ55" t="inlineStr"/>
      <c r="BA55" t="inlineStr"/>
      <c r="BB55" t="inlineStr">
        <is>
          <t>+28.5 mots-cles nettoyage forts (1 termes) | -10.0 budget annualise 350 000 EUR | +10.0 delai 42 j | +1.5 dossier renseigne (3/4)</t>
        </is>
      </c>
      <c r="BC55" t="inlineStr">
        <is>
          <t>ETBT du Château de Versailles publie un AO potentiellement pertinent pour CHRUTH : GESTION ET NETTOYAGE DE BASE VIE ET DE STRUCTURES MODULAIRES. Zone : 78. Budget detecte environ 350 000 EUR. Verifier le lien source avant contact.</t>
        </is>
      </c>
      <c r="BD55" t="inlineStr">
        <is>
          <t>Bonjour,
Je me permets de vous contacter au sujet de votre appel d'offres : GESTION ET NETTOYAGE DE BASE VIE ET DE STRUCTURES MODULAIRES.
CHRUTH accompagne les structures publiques et privées sur les besoins de nettoyage, d'entretien des locaux et d'organisation de prestations de service.
Serait-il possible d'échanger rapidement afin de vérifier les modalités de réponse et les attentes de ETBT du Château de Versailles ?
Cordialement,</t>
        </is>
      </c>
      <c r="BE55" t="inlineStr">
        <is>
          <t>Bonjour, je vous appelle concernant un appel d'offres publié par ETBT du Château de Versailles.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2026-W35</t>
        </is>
      </c>
    </row>
    <row r="56">
      <c r="A56" t="inlineStr">
        <is>
          <t>BOAMP</t>
        </is>
      </c>
      <c r="B56" t="inlineStr">
        <is>
          <t>26-73389</t>
        </is>
      </c>
      <c r="C56" t="inlineStr">
        <is>
          <t>PRESTATIONS DE SECURITE, GARDIENNAGE ET SURETE DES ARENES DE GRAND PARIS SUD</t>
        </is>
      </c>
      <c r="D56" t="inlineStr">
        <is>
          <t>CA GRAND PARIS SUD SEINE ESSONNE SENART</t>
        </is>
      </c>
      <c r="E56" t="inlineStr">
        <is>
          <t>20005922800011</t>
        </is>
      </c>
      <c r="F56" t="inlineStr">
        <is>
          <t>200059228</t>
        </is>
      </c>
      <c r="G56" t="inlineStr"/>
      <c r="H56" t="inlineStr"/>
      <c r="I56" t="inlineStr">
        <is>
          <t>commande.publique@grandparissud.fr</t>
        </is>
      </c>
      <c r="J56" t="inlineStr">
        <is>
          <t>0592280001</t>
        </is>
      </c>
      <c r="K56" t="inlineStr"/>
      <c r="L56" t="inlineStr"/>
      <c r="M56" t="inlineStr"/>
      <c r="N56" t="inlineStr">
        <is>
          <t>91,77</t>
        </is>
      </c>
      <c r="O56" t="inlineStr"/>
      <c r="P56" t="inlineStr">
        <is>
          <t>Ile-de-France</t>
        </is>
      </c>
      <c r="Q56" s="15" t="n">
        <v>46227</v>
      </c>
      <c r="R56" s="15" t="n">
        <v>46293</v>
      </c>
      <c r="S56" s="14" t="n">
        <v>300000</v>
      </c>
      <c r="T56" t="inlineStr">
        <is>
          <t>BUDGET_EXPLICITE_OK</t>
        </is>
      </c>
      <c r="U56" t="inlineStr">
        <is>
          <t>75000</t>
        </is>
      </c>
      <c r="V56" t="inlineStr">
        <is>
          <t>oui</t>
        </is>
      </c>
      <c r="W56" t="inlineStr">
        <is>
          <t>Personnel</t>
        </is>
      </c>
      <c r="X56" t="inlineStr">
        <is>
          <t>Autre</t>
        </is>
      </c>
      <c r="Y56" t="inlineStr">
        <is>
          <t>SERVICES</t>
        </is>
      </c>
      <c r="Z56" t="inlineStr">
        <is>
          <t>Procédure Ouverte</t>
        </is>
      </c>
      <c r="AA56" t="inlineStr">
        <is>
          <t>Avis de marché</t>
        </is>
      </c>
      <c r="AB56" t="inlineStr">
        <is>
          <t>Surveillance</t>
        </is>
      </c>
      <c r="AC56" t="inlineStr">
        <is>
          <t>['sociaux', 'environnementaux']</t>
        </is>
      </c>
      <c r="AD56" s="11" t="inlineStr">
        <is>
          <t>https://www.boamp.fr/pages/avis/?q=idweb:26-73389</t>
        </is>
      </c>
      <c r="AE56" t="inlineStr">
        <is>
          <t>https://www.achatpublic.com/sdm/ent/gen/ent_detail.do?PCSLID=CSL_2026_drUDYVSvmp</t>
        </is>
      </c>
      <c r="AF56" t="inlineStr">
        <is>
          <t>https://www.achatpublic.com/sdm/ent/gen/ent_detail.do?PCSLID=CSL_2026_drUDYVSvmp</t>
        </is>
      </c>
      <c r="AG56" t="inlineStr"/>
      <c r="AH56" t="inlineStr">
        <is>
          <t>3</t>
        </is>
      </c>
      <c r="AI56" t="inlineStr">
        <is>
          <t>60</t>
        </is>
      </c>
      <c r="AJ56" t="inlineStr">
        <is>
          <t>INFO_PARTIELLE</t>
        </is>
      </c>
      <c r="AK56" t="inlineStr">
        <is>
          <t>30</t>
        </is>
      </c>
      <c r="AL56" s="16" t="inlineStr">
        <is>
          <t>FROID</t>
        </is>
      </c>
      <c r="AM56">
        <f>MIN(100,MAX(0,IF(OR(ISNUMBER(SEARCH("nettoyage",C56)),ISNUMBER(SEARCH("proprete",C56)),ISNUMBER(SEARCH("entretien",C56)),ISNUMBER(SEARCH("hygiene",C56))),35,0)+IF(SUM(--(N56="75")+--(O56="75"),--(N56="77")+--(O56="77"),--(N56="78")+--(O56="78"),--(N56="91")+--(O56="91"),--(N56="92")+--(O56="92"),--(N56="93")+--(O56="93"),--(N56="94")+--(O56="94"),--(N56="95")+--(O56="95"))&gt;0,25,4)+IF(S56="",10,IF(S56&lt;=50000,25,IF(S56&lt;=100000,20,IF(S56&lt;=200000,5,IF(S56&lt;=500000,-10,-20)))))+IF(I56&lt;&gt;"",4,0)+IF(J56&lt;&gt;"",4,0)+IF(E56&lt;&gt;"",3,0)+IF(K56&lt;&gt;"",2,0)+IF(M56&lt;&gt;"",1,0)+IF(AD56&lt;&gt;"",1,0)+IF(R56="",0,IF(R56&lt;TODAY(),-30,IF(R56&lt;TODAY()+5,-15,IF(R56&lt;=TODAY()+15,5,10))))))</f>
        <v/>
      </c>
      <c r="AN56">
        <f>IF(AM56&gt;=65,"CHAUD",IF(AM56&gt;=40,"TIEDE","FROID"))</f>
        <v/>
      </c>
      <c r="AO56">
        <f>IF((IF(I56&lt;&gt;"",1,0)+IF(J56&lt;&gt;"",1,0)+IF(E56&lt;&gt;"",1,0)+IF(K56&lt;&gt;"",1,0))&gt;=4,"Complet",IF((IF(I56&lt;&gt;"",1,0)+IF(J56&lt;&gt;"",1,0)+IF(E56&lt;&gt;"",1,0)+IF(K56&lt;&gt;"",1,0))&gt;=2,"Partiel","Vide"))</f>
        <v/>
      </c>
      <c r="AP56">
        <f>IF(AJ56="DCE_A_TELECHARGER","Telecharger DCE",IF(T56="A_VERIFIER_BUDGET","Verifier budget",IF(AN56="CHAUD","Contacter maintenant",IF(AN56="TIEDE","Surveiller / relancer","Basse priorite"))))</f>
        <v/>
      </c>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56" t="inlineStr">
        <is>
          <t>Verifier url_avis et DCE si disponible</t>
        </is>
      </c>
      <c r="AV56" t="inlineStr"/>
      <c r="AW56" t="inlineStr"/>
      <c r="AX56" t="inlineStr"/>
      <c r="AY56" t="inlineStr"/>
      <c r="AZ56" t="inlineStr"/>
      <c r="BA56" t="inlineStr"/>
      <c r="BB56" t="inlineStr">
        <is>
          <t>0 pertinence metier faible | +20 budget annualise &lt;= 100 000 EUR | +10 delai confortable 62j</t>
        </is>
      </c>
      <c r="BC56" t="inlineStr">
        <is>
          <t>CA GRAND PARIS SUD SEINE ESSONNE SENART publie un AO potentiellement pertinent pour CHRUTH : PRESTATIONS DE SECURITE, GARDIENNAGE ET SURETE DES ARENES DE GRAND PARIS SUD. Zone : 91,77. Budget detecte environ 300 000 EUR. Verifier le lien source avant contact.</t>
        </is>
      </c>
      <c r="BD56"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6"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2026-W30</t>
        </is>
      </c>
    </row>
    <row r="57">
      <c r="A57" t="inlineStr">
        <is>
          <t>BOAMP</t>
        </is>
      </c>
      <c r="B57" t="inlineStr">
        <is>
          <t>26-74661</t>
        </is>
      </c>
      <c r="C57" t="inlineStr">
        <is>
          <t>Services de mise à disposition de personnels temporaires pour le Ccca-Btp</t>
        </is>
      </c>
      <c r="D57" t="inlineStr">
        <is>
          <t>Comité de concertation et de coordination de l'apprentissage du Btp</t>
        </is>
      </c>
      <c r="E57" t="inlineStr">
        <is>
          <t>77568322000104</t>
        </is>
      </c>
      <c r="F57" t="inlineStr">
        <is>
          <t>775683220</t>
        </is>
      </c>
      <c r="G57" t="inlineStr">
        <is>
          <t>cm.pragma9@ccca-btp.fr</t>
        </is>
      </c>
      <c r="H57" t="inlineStr"/>
      <c r="I57" t="inlineStr">
        <is>
          <t>cm.pragma9@ccca-btp.fr</t>
        </is>
      </c>
      <c r="J57" t="inlineStr">
        <is>
          <t>07-24 2026-09</t>
        </is>
      </c>
      <c r="K57" t="inlineStr">
        <is>
          <t>rue du Père Corentin 75014 - PARIS</t>
        </is>
      </c>
      <c r="L57" t="inlineStr">
        <is>
          <t>75014</t>
        </is>
      </c>
      <c r="M57" t="inlineStr">
        <is>
          <t>Paris</t>
        </is>
      </c>
      <c r="N57" t="inlineStr">
        <is>
          <t>75</t>
        </is>
      </c>
      <c r="O57" t="inlineStr"/>
      <c r="P57" t="inlineStr">
        <is>
          <t>Ile-de-France</t>
        </is>
      </c>
      <c r="Q57" s="15" t="n">
        <v>46227</v>
      </c>
      <c r="R57" s="15" t="n">
        <v>46269</v>
      </c>
      <c r="S57" s="14" t="n">
        <v>75014</v>
      </c>
      <c r="T57" t="inlineStr">
        <is>
          <t>BUDGET_SOUS_SEUIL</t>
        </is>
      </c>
      <c r="U57" t="inlineStr">
        <is>
          <t>75014.0</t>
        </is>
      </c>
      <c r="V57" t="inlineStr">
        <is>
          <t>non</t>
        </is>
      </c>
      <c r="W57" t="inlineStr">
        <is>
          <t>Personnel</t>
        </is>
      </c>
      <c r="X57" t="inlineStr">
        <is>
          <t>Autre</t>
        </is>
      </c>
      <c r="Y57" t="inlineStr">
        <is>
          <t>SERVICES</t>
        </is>
      </c>
      <c r="Z57" t="inlineStr">
        <is>
          <t>Procédure Ouverte</t>
        </is>
      </c>
      <c r="AA57" t="inlineStr">
        <is>
          <t>Avis de marché</t>
        </is>
      </c>
      <c r="AB57" t="inlineStr">
        <is>
          <t>Mise à disposition de personnel</t>
        </is>
      </c>
      <c r="AC57" t="inlineStr">
        <is>
          <t>['environnementaux']</t>
        </is>
      </c>
      <c r="AD57" s="11" t="inlineStr">
        <is>
          <t>https://www.boamp.fr/pages/avis/?q=idweb:26-74661</t>
        </is>
      </c>
      <c r="AE57" t="inlineStr">
        <is>
          <t>https://www.marches-publics.info/mpiaws/index.cfm?fuseaction=dematent.login&amp;type=Dce&amp;Idm=1855311</t>
        </is>
      </c>
      <c r="AF57" t="inlineStr">
        <is>
          <t>https://www.marches-publics.info/mpiaws/index.cfm?fuseaction=dematent.login&amp;type=Dce&amp;Idm=1855311</t>
        </is>
      </c>
      <c r="AG57" t="inlineStr"/>
      <c r="AH57" t="inlineStr">
        <is>
          <t>6</t>
        </is>
      </c>
      <c r="AI57" t="inlineStr">
        <is>
          <t>90</t>
        </is>
      </c>
      <c r="AJ57" t="inlineStr">
        <is>
          <t>INFO_PARTIELLE</t>
        </is>
      </c>
      <c r="AK57" t="inlineStr">
        <is>
          <t>30</t>
        </is>
      </c>
      <c r="AL57" s="16" t="inlineStr">
        <is>
          <t>FROID</t>
        </is>
      </c>
      <c r="AM57">
        <f>MIN(100,MAX(0,IF(OR(ISNUMBER(SEARCH("nettoyage",C57)),ISNUMBER(SEARCH("proprete",C57)),ISNUMBER(SEARCH("entretien",C57)),ISNUMBER(SEARCH("hygiene",C57))),35,0)+IF(SUM(--(N57="75")+--(O57="75"),--(N57="77")+--(O57="77"),--(N57="78")+--(O57="78"),--(N57="91")+--(O57="91"),--(N57="92")+--(O57="92"),--(N57="93")+--(O57="93"),--(N57="94")+--(O57="94"),--(N57="95")+--(O57="95"))&gt;0,25,4)+IF(S57="",10,IF(S57&lt;=50000,25,IF(S57&lt;=100000,20,IF(S57&lt;=200000,5,IF(S57&lt;=500000,-10,-20)))))+IF(I57&lt;&gt;"",4,0)+IF(J57&lt;&gt;"",4,0)+IF(E57&lt;&gt;"",3,0)+IF(K57&lt;&gt;"",2,0)+IF(M57&lt;&gt;"",1,0)+IF(AD57&lt;&gt;"",1,0)+IF(R57="",0,IF(R57&lt;TODAY(),-30,IF(R57&lt;TODAY()+5,-15,IF(R57&lt;=TODAY()+15,5,10))))))</f>
        <v/>
      </c>
      <c r="AN57">
        <f>IF(AM57&gt;=65,"CHAUD",IF(AM57&gt;=40,"TIEDE","FROID"))</f>
        <v/>
      </c>
      <c r="AO57">
        <f>IF((IF(I57&lt;&gt;"",1,0)+IF(J57&lt;&gt;"",1,0)+IF(E57&lt;&gt;"",1,0)+IF(K57&lt;&gt;"",1,0))&gt;=4,"Complet",IF((IF(I57&lt;&gt;"",1,0)+IF(J57&lt;&gt;"",1,0)+IF(E57&lt;&gt;"",1,0)+IF(K57&lt;&gt;"",1,0))&gt;=2,"Partiel","Vide"))</f>
        <v/>
      </c>
      <c r="AP57">
        <f>IF(AJ57="DCE_A_TELECHARGER","Telecharger DCE",IF(T57="A_VERIFIER_BUDGET","Verifier budget",IF(AN57="CHAUD","Contacter maintenant",IF(AN57="TIEDE","Surveiller / relancer","Basse priorite"))))</f>
        <v/>
      </c>
      <c r="AQ57" t="inlineStr">
        <is>
          <t>IA_CONTROLE_SOURCE</t>
        </is>
      </c>
      <c r="AR57" t="inlineStr">
        <is>
          <t>Verifier rapidement la source avant contact.</t>
        </is>
      </c>
      <c r="AS57" t="inlineStr">
        <is>
          <t>Aucun champ critique manquant</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57" t="inlineStr">
        <is>
          <t>Verifier url_avis et DCE si disponible</t>
        </is>
      </c>
      <c r="AV57" t="inlineStr"/>
      <c r="AW57" t="inlineStr"/>
      <c r="AX57" t="inlineStr"/>
      <c r="AY57" t="inlineStr"/>
      <c r="AZ57" t="inlineStr"/>
      <c r="BA57" t="inlineStr"/>
      <c r="BB57" t="inlineStr">
        <is>
          <t>0 pertinence metier faible | +20 budget annualise &lt;= 100 000 EUR | +10 delai confortable 38j</t>
        </is>
      </c>
      <c r="BC57"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57"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57"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57" t="inlineStr"/>
      <c r="BG57" t="inlineStr"/>
      <c r="BH57" t="inlineStr"/>
      <c r="BI57" t="inlineStr"/>
      <c r="BJ57" t="inlineStr"/>
      <c r="BK57" t="inlineStr"/>
      <c r="BL57" t="inlineStr"/>
      <c r="BM57" t="inlineStr">
        <is>
          <t>2026-W30</t>
        </is>
      </c>
    </row>
    <row r="58">
      <c r="A58" t="inlineStr">
        <is>
          <t>BOAMP</t>
        </is>
      </c>
      <c r="B58" t="inlineStr">
        <is>
          <t>26-78332</t>
        </is>
      </c>
      <c r="C58" t="inlineStr">
        <is>
          <t>ENTRETIEN DES ESPACES VERTS</t>
        </is>
      </c>
      <c r="D58" t="inlineStr">
        <is>
          <t>COMMUNE DE FONTENAY-SOUS-BOIS</t>
        </is>
      </c>
      <c r="E58" t="inlineStr">
        <is>
          <t>21940033000011</t>
        </is>
      </c>
      <c r="F58" t="inlineStr">
        <is>
          <t>219400330</t>
        </is>
      </c>
      <c r="G58" t="inlineStr"/>
      <c r="H58" t="inlineStr"/>
      <c r="I58" t="inlineStr">
        <is>
          <t>achats@fontenay-sous-bois.fr</t>
        </is>
      </c>
      <c r="J58" t="inlineStr">
        <is>
          <t>+33 149747474</t>
        </is>
      </c>
      <c r="K58" t="inlineStr"/>
      <c r="L58" t="inlineStr"/>
      <c r="M58" t="inlineStr"/>
      <c r="N58" t="inlineStr">
        <is>
          <t>94</t>
        </is>
      </c>
      <c r="O58" t="inlineStr"/>
      <c r="P58" t="inlineStr">
        <is>
          <t>Ile-de-France</t>
        </is>
      </c>
      <c r="Q58" s="15" t="n">
        <v>46241</v>
      </c>
      <c r="R58" s="15" t="n">
        <v>46283</v>
      </c>
      <c r="S58" t="inlineStr"/>
      <c r="T58" t="inlineStr">
        <is>
          <t>A_VERIFIER_BUDGET</t>
        </is>
      </c>
      <c r="U58" t="inlineStr"/>
      <c r="V58" t="inlineStr">
        <is>
          <t>non</t>
        </is>
      </c>
      <c r="W58" t="inlineStr">
        <is>
          <t>Personnel</t>
        </is>
      </c>
      <c r="X58" t="inlineStr">
        <is>
          <t>Mairie</t>
        </is>
      </c>
      <c r="Y58" t="inlineStr">
        <is>
          <t>SERVICES</t>
        </is>
      </c>
      <c r="Z58" t="inlineStr">
        <is>
          <t>Procédure Ouverte</t>
        </is>
      </c>
      <c r="AA58" t="inlineStr">
        <is>
          <t>Avis de marché</t>
        </is>
      </c>
      <c r="AB58" t="inlineStr">
        <is>
          <t>Espaces verts</t>
        </is>
      </c>
      <c r="AC58" t="inlineStr"/>
      <c r="AD58" s="11" t="inlineStr">
        <is>
          <t>https://www.boamp.fr/pages/avis/?q=idweb:26-78332</t>
        </is>
      </c>
      <c r="AE58" t="inlineStr">
        <is>
          <t>https://www.fontenay.fr/index.html</t>
        </is>
      </c>
      <c r="AF58" t="inlineStr"/>
      <c r="AG58" t="inlineStr"/>
      <c r="AH58" t="inlineStr">
        <is>
          <t>3</t>
        </is>
      </c>
      <c r="AI58" t="inlineStr">
        <is>
          <t>60</t>
        </is>
      </c>
      <c r="AJ58" t="inlineStr">
        <is>
          <t>INFO_PARTIELLE</t>
        </is>
      </c>
      <c r="AK58" t="inlineStr">
        <is>
          <t>28.5</t>
        </is>
      </c>
      <c r="AL58" s="16" t="inlineStr">
        <is>
          <t>FROID</t>
        </is>
      </c>
      <c r="AM58">
        <f>MIN(100,MAX(0,IF(OR(ISNUMBER(SEARCH("nettoyage",C58)),ISNUMBER(SEARCH("proprete",C58)),ISNUMBER(SEARCH("entretien",C58)),ISNUMBER(SEARCH("hygiene",C58))),35,0)+IF(SUM(--(N58="75")+--(O58="75"),--(N58="77")+--(O58="77"),--(N58="78")+--(O58="78"),--(N58="91")+--(O58="91"),--(N58="92")+--(O58="92"),--(N58="93")+--(O58="93"),--(N58="94")+--(O58="94"),--(N58="95")+--(O58="95"))&gt;0,25,4)+IF(S58="",10,IF(S58&lt;=50000,25,IF(S58&lt;=100000,20,IF(S58&lt;=200000,5,IF(S58&lt;=500000,-10,-20)))))+IF(I58&lt;&gt;"",4,0)+IF(J58&lt;&gt;"",4,0)+IF(E58&lt;&gt;"",3,0)+IF(K58&lt;&gt;"",2,0)+IF(M58&lt;&gt;"",1,0)+IF(AD58&lt;&gt;"",1,0)+IF(R58="",0,IF(R58&lt;TODAY(),-30,IF(R58&lt;TODAY()+5,-15,IF(R58&lt;=TODAY()+15,5,10))))))</f>
        <v/>
      </c>
      <c r="AN58">
        <f>IF(AM58&gt;=65,"CHAUD",IF(AM58&gt;=40,"TIEDE","FROID"))</f>
        <v/>
      </c>
      <c r="AO58">
        <f>IF((IF(I58&lt;&gt;"",1,0)+IF(J58&lt;&gt;"",1,0)+IF(E58&lt;&gt;"",1,0)+IF(K58&lt;&gt;"",1,0))&gt;=4,"Complet",IF((IF(I58&lt;&gt;"",1,0)+IF(J58&lt;&gt;"",1,0)+IF(E58&lt;&gt;"",1,0)+IF(K58&lt;&gt;"",1,0))&gt;=2,"Partiel","Vide"))</f>
        <v/>
      </c>
      <c r="AP58">
        <f>IF(AJ58="DCE_A_TELECHARGER","Telecharger DCE",IF(T58="A_VERIFIER_BUDGET","Verifier budget",IF(AN58="CHAUD","Contacter maintenant",IF(AN58="TIEDE","Surveiller / relancer","Basse priorite"))))</f>
        <v/>
      </c>
      <c r="AQ58" t="inlineStr">
        <is>
          <t>IA_BUDGET_A_VERIFIER</t>
        </is>
      </c>
      <c r="AR58" t="inlineStr">
        <is>
          <t>Verifier le budget dans l'avis source ou le DCE avant decision commerciale.</t>
        </is>
      </c>
      <c r="AS58" t="inlineStr">
        <is>
          <t>adresse, ville, budget</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26-78332. Objet: ENTRETIEN DES ESPACES VERTS. Acheteur: COMMUNE DE FONTENAY-SOUS-BOIS. Lien: https://www.boamp.fr/pages/avis/?q=idweb:26-78332.</t>
        </is>
      </c>
      <c r="AU58" t="inlineStr">
        <is>
          <t>Verifier url_avis et DCE si disponible</t>
        </is>
      </c>
      <c r="AV58" t="inlineStr">
        <is>
          <t>LIEN_SEUL</t>
        </is>
      </c>
      <c r="AW58" t="inlineStr"/>
      <c r="AX58" t="inlineStr"/>
      <c r="AY58" t="inlineStr"/>
      <c r="AZ58" t="inlineStr"/>
      <c r="BA58" t="inlineStr"/>
      <c r="BB58" t="inlineStr">
        <is>
          <t>0 pertinence metier faible | +10 budget non affiche (a verifier) | +10 secteur cible Mairie | +7.0 delai 18 j | +1.5 dossier renseigne (3/4)</t>
        </is>
      </c>
      <c r="BC58" t="inlineStr">
        <is>
          <t>COMMUNE DE FONTENAY-SOUS-BOIS publie un AO potentiellement pertinent pour CHRUTH : ENTRETIEN DES ESPACES VERTS. Zone : 94. Budget a verifier. Verifier le lien source avant contact.</t>
        </is>
      </c>
      <c r="BD58"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58"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2026-W32</t>
        </is>
      </c>
    </row>
    <row r="59">
      <c r="A59" t="inlineStr">
        <is>
          <t>BOAMP</t>
        </is>
      </c>
      <c r="B59" t="inlineStr">
        <is>
          <t>26-81749</t>
        </is>
      </c>
      <c r="C59" t="inlineStr">
        <is>
          <t>Blanchissage et nettoyage d'effets de travail et de couchage au profit des organismes soutenus par le GSC IdF - BRD PEM</t>
        </is>
      </c>
      <c r="D59" t="inlineStr">
        <is>
          <t>PFC Paris</t>
        </is>
      </c>
      <c r="E59" t="inlineStr">
        <is>
          <t>13001534000016</t>
        </is>
      </c>
      <c r="F59" t="inlineStr">
        <is>
          <t>130015340</t>
        </is>
      </c>
      <c r="G59" t="inlineStr"/>
      <c r="H59" t="inlineStr"/>
      <c r="I59" t="inlineStr">
        <is>
          <t>pfc-paris-bap.ach.fct@intradef.gouv.fr</t>
        </is>
      </c>
      <c r="J59" t="inlineStr">
        <is>
          <t>0153400001</t>
        </is>
      </c>
      <c r="K59" t="inlineStr"/>
      <c r="L59" t="inlineStr"/>
      <c r="M59" t="inlineStr"/>
      <c r="N59" t="inlineStr">
        <is>
          <t>78,75,94</t>
        </is>
      </c>
      <c r="O59" t="inlineStr"/>
      <c r="P59" t="inlineStr">
        <is>
          <t>Ile-de-France</t>
        </is>
      </c>
      <c r="Q59" s="15" t="n">
        <v>46255</v>
      </c>
      <c r="R59" s="15" t="n">
        <v>46287</v>
      </c>
      <c r="S59" s="14" t="n">
        <v>600000</v>
      </c>
      <c r="T59" t="inlineStr">
        <is>
          <t>BUDGET_EXPLICITE_OK</t>
        </is>
      </c>
      <c r="U59" t="inlineStr">
        <is>
          <t>600000.0</t>
        </is>
      </c>
      <c r="V59" t="inlineStr">
        <is>
          <t>non</t>
        </is>
      </c>
      <c r="W59" t="inlineStr">
        <is>
          <t>Bureaux</t>
        </is>
      </c>
      <c r="X59" t="inlineStr">
        <is>
          <t>Autre</t>
        </is>
      </c>
      <c r="Y59" t="inlineStr">
        <is>
          <t>SERVICES</t>
        </is>
      </c>
      <c r="Z59" t="inlineStr">
        <is>
          <t>Procédure Ouverte</t>
        </is>
      </c>
      <c r="AA59" t="inlineStr">
        <is>
          <t>Avis de marché</t>
        </is>
      </c>
      <c r="AB59" t="inlineStr">
        <is>
          <t>Blanchissage</t>
        </is>
      </c>
      <c r="AC59" t="inlineStr">
        <is>
          <t>['sociaux', 'environnementaux']</t>
        </is>
      </c>
      <c r="AD59" s="11" t="inlineStr">
        <is>
          <t>https://www.boamp.fr/pages/avis/?q=idweb:26-81749</t>
        </is>
      </c>
      <c r="AE59" t="inlineStr">
        <is>
          <t>https://marches-publics.gouv.fr</t>
        </is>
      </c>
      <c r="AF59" t="inlineStr">
        <is>
          <t>https://marches-publics.gouv.fr</t>
        </is>
      </c>
      <c r="AG59" t="inlineStr">
        <is>
          <t>nettoyage</t>
        </is>
      </c>
      <c r="AH59" t="inlineStr">
        <is>
          <t>3</t>
        </is>
      </c>
      <c r="AI59" t="inlineStr">
        <is>
          <t>68</t>
        </is>
      </c>
      <c r="AJ59" t="inlineStr">
        <is>
          <t>INFO_PARTIELLE</t>
        </is>
      </c>
      <c r="AK59" t="inlineStr">
        <is>
          <t>26.8</t>
        </is>
      </c>
      <c r="AL59" s="16" t="inlineStr">
        <is>
          <t>FROID</t>
        </is>
      </c>
      <c r="AM59">
        <f>MIN(100,MAX(0,IF(OR(ISNUMBER(SEARCH("nettoyage",C59)),ISNUMBER(SEARCH("proprete",C59)),ISNUMBER(SEARCH("entretien",C59)),ISNUMBER(SEARCH("hygiene",C59))),35,0)+IF(SUM(--(N59="75")+--(O59="75"),--(N59="77")+--(O59="77"),--(N59="78")+--(O59="78"),--(N59="91")+--(O59="91"),--(N59="92")+--(O59="92"),--(N59="93")+--(O59="93"),--(N59="94")+--(O59="94"),--(N59="95")+--(O59="95"))&gt;0,25,4)+IF(S59="",10,IF(S59&lt;=50000,25,IF(S59&lt;=100000,20,IF(S59&lt;=200000,5,IF(S59&lt;=500000,-10,-20)))))+IF(I59&lt;&gt;"",4,0)+IF(J59&lt;&gt;"",4,0)+IF(E59&lt;&gt;"",3,0)+IF(K59&lt;&gt;"",2,0)+IF(M59&lt;&gt;"",1,0)+IF(AD59&lt;&gt;"",1,0)+IF(R59="",0,IF(R59&lt;TODAY(),-30,IF(R59&lt;TODAY()+5,-15,IF(R59&lt;=TODAY()+15,5,10))))))</f>
        <v/>
      </c>
      <c r="AN59">
        <f>IF(AM59&gt;=65,"CHAUD",IF(AM59&gt;=40,"TIEDE","FROID"))</f>
        <v/>
      </c>
      <c r="AO59">
        <f>IF((IF(I59&lt;&gt;"",1,0)+IF(J59&lt;&gt;"",1,0)+IF(E59&lt;&gt;"",1,0)+IF(K59&lt;&gt;"",1,0))&gt;=4,"Complet",IF((IF(I59&lt;&gt;"",1,0)+IF(J59&lt;&gt;"",1,0)+IF(E59&lt;&gt;"",1,0)+IF(K59&lt;&gt;"",1,0))&gt;=2,"Partiel","Vide"))</f>
        <v/>
      </c>
      <c r="AP59">
        <f>IF(AJ59="DCE_A_TELECHARGER","Telecharger DCE",IF(T59="A_VERIFIER_BUDGET","Verifier budget",IF(AN59="CHAUD","Contacter maintenant",IF(AN59="TIEDE","Surveiller / relancer","Basse priorite"))))</f>
        <v/>
      </c>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26-81749. Objet: Blanchissage et nettoyage d'effets de travail et de couchage au profit des organismes soutenus par le GSC IdF - BRD PEM. Acheteur: PFC Paris. Lien: https://www.boamp.fr/pages/avis/?q=idweb:26-81749.</t>
        </is>
      </c>
      <c r="AU59" t="inlineStr">
        <is>
          <t>Verifier url_avis et DCE si disponible</t>
        </is>
      </c>
      <c r="AV59" t="inlineStr"/>
      <c r="AW59" t="inlineStr"/>
      <c r="AX59" t="inlineStr"/>
      <c r="AY59" t="inlineStr"/>
      <c r="AZ59" t="inlineStr"/>
      <c r="BA59" t="inlineStr"/>
      <c r="BB59" t="inlineStr">
        <is>
          <t>+33.5 nettoyage + categorie claire (1 termes) | -16.2 budget annualise 600 000 EUR | +8.0 delai 22 j | +1.5 dossier renseigne (3/4)</t>
        </is>
      </c>
      <c r="BC59" t="inlineStr">
        <is>
          <t>PFC Paris publie un AO potentiellement pertinent pour CHRUTH : Blanchissage et nettoyage d'effets de travail et de couchage au profit des organismes soutenus par le GSC IdF - BRD PEM. Zone : 78,75,94. Budget detecte environ 600 000 EUR. Verifier le lien source avant contact.</t>
        </is>
      </c>
      <c r="BD59" t="inlineStr">
        <is>
          <t>Bonjour,
Je me permets de vous contacter au sujet de votre appel d'offres : Blanchissage et nettoyage d'effets de travail et de couchage au profit des organismes soutenus par le GSC IdF - BRD PEM.
CHRUTH accompagne les structures publiques et privées sur les besoins de nettoyage, d'entretien des locaux et d'organisation de prestations de service.
Serait-il possible d'échanger rapidement afin de vérifier les modalités de réponse et les attentes de PFC Paris ?
Cordialement,</t>
        </is>
      </c>
      <c r="BE59" t="inlineStr">
        <is>
          <t>Bonjour, je vous appelle concernant un appel d'offres publié par PFC Paris. Je souhaite vérifier les informations pratiques : périmètre des prestations, date limite, modalités de visite, contact technique et pièces attendues. Pouvez-vous m'indiquer la bonne personne à contacter ?</t>
        </is>
      </c>
      <c r="BF59" t="inlineStr"/>
      <c r="BG59" t="inlineStr"/>
      <c r="BH59" t="inlineStr"/>
      <c r="BI59" t="inlineStr"/>
      <c r="BJ59" t="inlineStr"/>
      <c r="BK59" t="inlineStr"/>
      <c r="BL59" t="inlineStr"/>
      <c r="BM59" t="inlineStr">
        <is>
          <t>2026-W34</t>
        </is>
      </c>
    </row>
    <row r="60">
      <c r="A60" t="inlineStr">
        <is>
          <t>BOAMP</t>
        </is>
      </c>
      <c r="B60" t="inlineStr">
        <is>
          <t>26-76493</t>
        </is>
      </c>
      <c r="C60" t="inlineStr">
        <is>
          <t>Nettoyage des parties communes, remplacement du personnel d’entretien et prestations de proximité, de continuité d’exploitation et de contrôle qualité du patrimoine de la SEM SOHP</t>
        </is>
      </c>
      <c r="D60" t="inlineStr">
        <is>
          <t>SEM SEINE OUEST HABITAT ET PATRIMOINE</t>
        </is>
      </c>
      <c r="E60" t="inlineStr">
        <is>
          <t>99864030400015</t>
        </is>
      </c>
      <c r="F60" t="inlineStr">
        <is>
          <t>998640304</t>
        </is>
      </c>
      <c r="G60" t="inlineStr"/>
      <c r="H60" t="inlineStr"/>
      <c r="I60" t="inlineStr">
        <is>
          <t>Infos@sohp.fr</t>
        </is>
      </c>
      <c r="J60" t="inlineStr">
        <is>
          <t>0146444190</t>
        </is>
      </c>
      <c r="K60" t="inlineStr"/>
      <c r="L60" t="inlineStr"/>
      <c r="M60" t="inlineStr"/>
      <c r="N60" t="inlineStr">
        <is>
          <t>92</t>
        </is>
      </c>
      <c r="O60" t="inlineStr"/>
      <c r="P60" t="inlineStr">
        <is>
          <t>Ile-de-France</t>
        </is>
      </c>
      <c r="Q60" s="15" t="n">
        <v>46235</v>
      </c>
      <c r="R60" s="15" t="n">
        <v>46297</v>
      </c>
      <c r="S60" s="14" t="n">
        <v>14000000</v>
      </c>
      <c r="T60" t="inlineStr">
        <is>
          <t>BUDGET_EXPLICITE_OK</t>
        </is>
      </c>
      <c r="U60" t="inlineStr">
        <is>
          <t>3500000</t>
        </is>
      </c>
      <c r="V60" t="inlineStr">
        <is>
          <t>oui</t>
        </is>
      </c>
      <c r="W60" t="inlineStr">
        <is>
          <t>Batiments</t>
        </is>
      </c>
      <c r="X60" t="inlineStr">
        <is>
          <t>Autre</t>
        </is>
      </c>
      <c r="Y60" t="inlineStr">
        <is>
          <t>SERVICES</t>
        </is>
      </c>
      <c r="Z60" t="inlineStr">
        <is>
          <t>Procédure Ouverte</t>
        </is>
      </c>
      <c r="AA60" t="inlineStr">
        <is>
          <t>Avis de marché</t>
        </is>
      </c>
      <c r="AB60" t="inlineStr">
        <is>
          <t>Nettoyage de locaux, Prestations de services</t>
        </is>
      </c>
      <c r="AC60" t="inlineStr">
        <is>
          <t>['sociaux', 'environnementaux']</t>
        </is>
      </c>
      <c r="AD60" s="11" t="inlineStr">
        <is>
          <t>https://www.boamp.fr/pages/avis/?q=idweb:26-76493</t>
        </is>
      </c>
      <c r="AE60" t="inlineStr">
        <is>
          <t>http://www.achatpublic.com/sdm/ent/gen/index.jsp</t>
        </is>
      </c>
      <c r="AF60" t="inlineStr">
        <is>
          <t>http://www.achatpublic.com/sdm/ent/gen/index.jsp</t>
        </is>
      </c>
      <c r="AG60" t="inlineStr">
        <is>
          <t>nettoyage</t>
        </is>
      </c>
      <c r="AH60" t="inlineStr">
        <is>
          <t>3</t>
        </is>
      </c>
      <c r="AI60" t="inlineStr">
        <is>
          <t>68</t>
        </is>
      </c>
      <c r="AJ60" t="inlineStr">
        <is>
          <t>INFO_PARTIELLE</t>
        </is>
      </c>
      <c r="AK60" t="inlineStr">
        <is>
          <t>25.0</t>
        </is>
      </c>
      <c r="AL60" s="16" t="inlineStr">
        <is>
          <t>FROID</t>
        </is>
      </c>
      <c r="AM60">
        <f>MIN(100,MAX(0,IF(OR(ISNUMBER(SEARCH("nettoyage",C60)),ISNUMBER(SEARCH("proprete",C60)),ISNUMBER(SEARCH("entretien",C60)),ISNUMBER(SEARCH("hygiene",C60))),35,0)+IF(SUM(--(N60="75")+--(O60="75"),--(N60="77")+--(O60="77"),--(N60="78")+--(O60="78"),--(N60="91")+--(O60="91"),--(N60="92")+--(O60="92"),--(N60="93")+--(O60="93"),--(N60="94")+--(O60="94"),--(N60="95")+--(O60="95"))&gt;0,25,4)+IF(S60="",10,IF(S60&lt;=50000,25,IF(S60&lt;=100000,20,IF(S60&lt;=200000,5,IF(S60&lt;=500000,-10,-20)))))+IF(I60&lt;&gt;"",4,0)+IF(J60&lt;&gt;"",4,0)+IF(E60&lt;&gt;"",3,0)+IF(K60&lt;&gt;"",2,0)+IF(M60&lt;&gt;"",1,0)+IF(AD60&lt;&gt;"",1,0)+IF(R60="",0,IF(R60&lt;TODAY(),-30,IF(R60&lt;TODAY()+5,-15,IF(R60&lt;=TODAY()+15,5,10))))))</f>
        <v/>
      </c>
      <c r="AN60">
        <f>IF(AM60&gt;=65,"CHAUD",IF(AM60&gt;=40,"TIEDE","FROID"))</f>
        <v/>
      </c>
      <c r="AO60">
        <f>IF((IF(I60&lt;&gt;"",1,0)+IF(J60&lt;&gt;"",1,0)+IF(E60&lt;&gt;"",1,0)+IF(K60&lt;&gt;"",1,0))&gt;=4,"Complet",IF((IF(I60&lt;&gt;"",1,0)+IF(J60&lt;&gt;"",1,0)+IF(E60&lt;&gt;"",1,0)+IF(K60&lt;&gt;"",1,0))&gt;=2,"Partiel","Vide"))</f>
        <v/>
      </c>
      <c r="AP60">
        <f>IF(AJ60="DCE_A_TELECHARGER","Telecharger DCE",IF(T60="A_VERIFIER_BUDGET","Verifier budget",IF(AN60="CHAUD","Contacter maintenant",IF(AN60="TIEDE","Surveiller / relancer","Basse priorite"))))</f>
        <v/>
      </c>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26-76493. Objet: Nettoyage des parties communes, remplacement du personnel d’entretien et prestations de proximité, de continuité d’exploitation et de contrôle qualité du patrimoine de la SEM SOHP. Acheteur: SEM SEINE OUEST HABITAT ET PATRIMOINE. Lien: https://www.boamp.fr/pages/avis/?q=idweb:26-76493.</t>
        </is>
      </c>
      <c r="AU60" t="inlineStr">
        <is>
          <t>Verifier url_avis et DCE si disponible</t>
        </is>
      </c>
      <c r="AV60" t="inlineStr"/>
      <c r="AW60" t="inlineStr"/>
      <c r="AX60" t="inlineStr"/>
      <c r="AY60" t="inlineStr"/>
      <c r="AZ60" t="inlineStr"/>
      <c r="BA60" t="inlineStr"/>
      <c r="BB60" t="inlineStr">
        <is>
          <t>+33.5 nettoyage + categorie claire (1 termes) | -20.0 budget annualise 3 500 000 EUR | +10.0 delai 32 j | +1.5 dossier renseigne (3/4)</t>
        </is>
      </c>
      <c r="BC60" t="inlineStr">
        <is>
          <t>SEM SEINE OUEST HABITAT ET PATRIMOINE publie un AO potentiellement pertinent pour CHRUTH : Nettoyage des parties communes, remplacement du personnel d’entretien et prestations de proximité, de continuité d’exploitation et de contrôle qualité du patrimoine de la SEM SOHP. Zone : 92. Budget detecte environ 14 000 000 EUR. Verifier le lien source avant contact.</t>
        </is>
      </c>
      <c r="BD60" t="inlineStr">
        <is>
          <t>Bonjour,
Je me permets de vous contacter au sujet de votre appel d'offres : Nettoyage des parties communes, remplacement du personnel d’entretien et prestations de proximité, de continuité d’exploitation et de contrôle qualité du patrimoine de la SEM SOHP.
CHRUTH accompagne les structures publiques et privées sur les besoins de nettoyage, d'entretien des locaux et d'organisation de prestations de service.
Serait-il possible d'échanger rapidement afin de vérifier les modalités de réponse et les attentes de SEM SEINE OUEST HABITAT ET PATRIMOINE ?
Cordialement,</t>
        </is>
      </c>
      <c r="BE60" t="inlineStr">
        <is>
          <t>Bonjour, je vous appelle concernant un appel d'offres publié par SEM SEINE OUEST HABITAT ET PATRIMOINE.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2026-W31</t>
        </is>
      </c>
    </row>
    <row r="61">
      <c r="A61" t="inlineStr">
        <is>
          <t>BOAMP</t>
        </is>
      </c>
      <c r="B61" t="inlineStr">
        <is>
          <t>26-74239</t>
        </is>
      </c>
      <c r="C61" t="inlineStr">
        <is>
          <t>Prestations de nettoyage des loacux et de la vitrerie de la grande chancellerie de la Légion d'honneur et de la maison d'éducation de Saint-Denis</t>
        </is>
      </c>
      <c r="D61" t="inlineStr">
        <is>
          <t>GCLH.</t>
        </is>
      </c>
      <c r="E61" t="inlineStr">
        <is>
          <t>18000001000017</t>
        </is>
      </c>
      <c r="F61" t="inlineStr">
        <is>
          <t>180000010</t>
        </is>
      </c>
      <c r="G61" t="inlineStr"/>
      <c r="H61" t="inlineStr"/>
      <c r="I61" t="inlineStr">
        <is>
          <t>marches@legiondhonneur.fr</t>
        </is>
      </c>
      <c r="J61" t="inlineStr">
        <is>
          <t>0140628348</t>
        </is>
      </c>
      <c r="K61" t="inlineStr"/>
      <c r="L61" t="inlineStr"/>
      <c r="M61" t="inlineStr"/>
      <c r="N61" t="inlineStr">
        <is>
          <t>75,93,78</t>
        </is>
      </c>
      <c r="O61" t="inlineStr"/>
      <c r="P61" t="inlineStr">
        <is>
          <t>Ile-de-France</t>
        </is>
      </c>
      <c r="Q61" s="15" t="n">
        <v>46229</v>
      </c>
      <c r="R61" s="15" t="n">
        <v>46280</v>
      </c>
      <c r="S61" s="14" t="n">
        <v>17750005500013</v>
      </c>
      <c r="T61" t="inlineStr">
        <is>
          <t>BUDGET_EXPLICITE_OK</t>
        </is>
      </c>
      <c r="U61" t="inlineStr">
        <is>
          <t>17750005500013.0</t>
        </is>
      </c>
      <c r="V61" t="inlineStr">
        <is>
          <t>non</t>
        </is>
      </c>
      <c r="W61" t="inlineStr">
        <is>
          <t>Vitres</t>
        </is>
      </c>
      <c r="X61" t="inlineStr">
        <is>
          <t>Autre</t>
        </is>
      </c>
      <c r="Y61" t="inlineStr">
        <is>
          <t>SERVICES</t>
        </is>
      </c>
      <c r="Z61" t="inlineStr">
        <is>
          <t>Procédure Ouverte</t>
        </is>
      </c>
      <c r="AA61" t="inlineStr">
        <is>
          <t>Avis de marché</t>
        </is>
      </c>
      <c r="AB61" t="inlineStr">
        <is>
          <t>Nettoyage de locaux, Vitrerie</t>
        </is>
      </c>
      <c r="AC61" t="inlineStr"/>
      <c r="AD61" s="11" t="inlineStr">
        <is>
          <t>https://www.boamp.fr/pages/avis/?q=idweb:26-74239</t>
        </is>
      </c>
      <c r="AE61" t="inlineStr">
        <is>
          <t>https://www.marches-publics.gouv.fr/entreprise</t>
        </is>
      </c>
      <c r="AF61" t="inlineStr">
        <is>
          <t>https://www.marches-publics.gouv.fr/entreprise</t>
        </is>
      </c>
      <c r="AG61" t="inlineStr">
        <is>
          <t>nettoyage, entretien des locaux</t>
        </is>
      </c>
      <c r="AH61" t="inlineStr">
        <is>
          <t>3</t>
        </is>
      </c>
      <c r="AI61" t="inlineStr">
        <is>
          <t>76</t>
        </is>
      </c>
      <c r="AJ61" t="inlineStr">
        <is>
          <t>INFO_PARTIELLE</t>
        </is>
      </c>
      <c r="AK61" t="inlineStr">
        <is>
          <t>25</t>
        </is>
      </c>
      <c r="AL61" s="16" t="inlineStr">
        <is>
          <t>FROID</t>
        </is>
      </c>
      <c r="AM61">
        <f>MIN(100,MAX(0,IF(OR(ISNUMBER(SEARCH("nettoyage",C61)),ISNUMBER(SEARCH("proprete",C61)),ISNUMBER(SEARCH("entretien",C61)),ISNUMBER(SEARCH("hygiene",C61))),35,0)+IF(SUM(--(N61="75")+--(O61="75"),--(N61="77")+--(O61="77"),--(N61="78")+--(O61="78"),--(N61="91")+--(O61="91"),--(N61="92")+--(O61="92"),--(N61="93")+--(O61="93"),--(N61="94")+--(O61="94"),--(N61="95")+--(O61="95"))&gt;0,25,4)+IF(S61="",10,IF(S61&lt;=50000,25,IF(S61&lt;=100000,20,IF(S61&lt;=200000,5,IF(S61&lt;=500000,-10,-20)))))+IF(I61&lt;&gt;"",4,0)+IF(J61&lt;&gt;"",4,0)+IF(E61&lt;&gt;"",3,0)+IF(K61&lt;&gt;"",2,0)+IF(M61&lt;&gt;"",1,0)+IF(AD61&lt;&gt;"",1,0)+IF(R61="",0,IF(R61&lt;TODAY(),-30,IF(R61&lt;TODAY()+5,-15,IF(R61&lt;=TODAY()+15,5,10))))))</f>
        <v/>
      </c>
      <c r="AN61">
        <f>IF(AM61&gt;=65,"CHAUD",IF(AM61&gt;=40,"TIEDE","FROID"))</f>
        <v/>
      </c>
      <c r="AO61">
        <f>IF((IF(I61&lt;&gt;"",1,0)+IF(J61&lt;&gt;"",1,0)+IF(E61&lt;&gt;"",1,0)+IF(K61&lt;&gt;"",1,0))&gt;=4,"Complet",IF((IF(I61&lt;&gt;"",1,0)+IF(J61&lt;&gt;"",1,0)+IF(E61&lt;&gt;"",1,0)+IF(K61&lt;&gt;"",1,0))&gt;=2,"Partiel","Vide"))</f>
        <v/>
      </c>
      <c r="AP61">
        <f>IF(AJ61="DCE_A_TELECHARGER","Telecharger DCE",IF(T61="A_VERIFIER_BUDGET","Verifier budget",IF(AN61="CHAUD","Contacter maintenant",IF(AN61="TIEDE","Surveiller / relancer","Basse priorite"))))</f>
        <v/>
      </c>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61" t="inlineStr">
        <is>
          <t>Verifier url_avis et DCE si disponible</t>
        </is>
      </c>
      <c r="AV61" t="inlineStr"/>
      <c r="AW61" t="inlineStr"/>
      <c r="AX61" t="inlineStr"/>
      <c r="AY61" t="inlineStr"/>
      <c r="AZ61" t="inlineStr"/>
      <c r="BA61" t="inlineStr"/>
      <c r="BB61" t="inlineStr">
        <is>
          <t>+35 nettoyage + categorie claire | -20 gros budget (&gt; 500 000 EUR) | +10 delai confortable 49j</t>
        </is>
      </c>
      <c r="BC61"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61"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61"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61" t="inlineStr"/>
      <c r="BG61" t="inlineStr"/>
      <c r="BH61" t="inlineStr"/>
      <c r="BI61" t="inlineStr"/>
      <c r="BJ61" t="inlineStr"/>
      <c r="BK61" t="inlineStr"/>
      <c r="BL61" t="inlineStr"/>
      <c r="BM61" t="inlineStr">
        <is>
          <t>2026-W30</t>
        </is>
      </c>
    </row>
    <row r="62">
      <c r="A62" t="inlineStr">
        <is>
          <t>BOAMP</t>
        </is>
      </c>
      <c r="B62" t="inlineStr">
        <is>
          <t>26-73266</t>
        </is>
      </c>
      <c r="C62" t="inlineStr">
        <is>
          <t>PRESTATIONS DE NETTOYAGE DES SITES DE L'ENFANCE</t>
        </is>
      </c>
      <c r="D62" t="inlineStr">
        <is>
          <t>Département du Val-de-Marne</t>
        </is>
      </c>
      <c r="E62" t="inlineStr">
        <is>
          <t>22940028800010</t>
        </is>
      </c>
      <c r="F62" t="inlineStr">
        <is>
          <t>229400288</t>
        </is>
      </c>
      <c r="G62" t="inlineStr"/>
      <c r="H62" t="inlineStr"/>
      <c r="I62" t="inlineStr">
        <is>
          <t>dl@valdemarne.fr</t>
        </is>
      </c>
      <c r="J62" t="inlineStr">
        <is>
          <t>0704900017</t>
        </is>
      </c>
      <c r="K62" t="inlineStr"/>
      <c r="L62" t="inlineStr"/>
      <c r="M62" t="inlineStr"/>
      <c r="N62" t="inlineStr">
        <is>
          <t>94</t>
        </is>
      </c>
      <c r="O62" t="inlineStr"/>
      <c r="P62" t="inlineStr">
        <is>
          <t>Ile-de-France</t>
        </is>
      </c>
      <c r="Q62" s="15" t="n">
        <v>46227</v>
      </c>
      <c r="R62" s="15" t="n">
        <v>46289</v>
      </c>
      <c r="S62" s="14" t="n">
        <v>15520000</v>
      </c>
      <c r="T62" t="inlineStr">
        <is>
          <t>BUDGET_EXPLICITE_OK</t>
        </is>
      </c>
      <c r="U62" t="inlineStr">
        <is>
          <t>93120000</t>
        </is>
      </c>
      <c r="V62" t="inlineStr">
        <is>
          <t>oui</t>
        </is>
      </c>
      <c r="W62" t="inlineStr">
        <is>
          <t>Batiments</t>
        </is>
      </c>
      <c r="X62" t="inlineStr">
        <is>
          <t>Autre</t>
        </is>
      </c>
      <c r="Y62" t="inlineStr">
        <is>
          <t>SERVICES</t>
        </is>
      </c>
      <c r="Z62" t="inlineStr">
        <is>
          <t>Procédure Ouverte</t>
        </is>
      </c>
      <c r="AA62" t="inlineStr">
        <is>
          <t>Avis de marché</t>
        </is>
      </c>
      <c r="AB62" t="inlineStr">
        <is>
          <t>Nettoyage de locaux</t>
        </is>
      </c>
      <c r="AC62" t="inlineStr">
        <is>
          <t>['sociaux', 'environnementaux']</t>
        </is>
      </c>
      <c r="AD62" s="11" t="inlineStr">
        <is>
          <t>https://www.boamp.fr/pages/avis/?q=idweb:26-73266</t>
        </is>
      </c>
      <c r="AE62" t="inlineStr">
        <is>
          <t>http://www.maximilien.fr</t>
        </is>
      </c>
      <c r="AF62" t="inlineStr">
        <is>
          <t>http://www.maximilien.fr</t>
        </is>
      </c>
      <c r="AG62" t="inlineStr">
        <is>
          <t>nettoyage, proprete, proprete des locaux</t>
        </is>
      </c>
      <c r="AH62" t="inlineStr">
        <is>
          <t>3</t>
        </is>
      </c>
      <c r="AI62" t="inlineStr">
        <is>
          <t>80</t>
        </is>
      </c>
      <c r="AJ62" t="inlineStr">
        <is>
          <t>INFO_PARTIELLE</t>
        </is>
      </c>
      <c r="AK62" t="inlineStr">
        <is>
          <t>25</t>
        </is>
      </c>
      <c r="AL62" s="16" t="inlineStr">
        <is>
          <t>FROID</t>
        </is>
      </c>
      <c r="AM62">
        <f>MIN(100,MAX(0,IF(OR(ISNUMBER(SEARCH("nettoyage",C62)),ISNUMBER(SEARCH("proprete",C62)),ISNUMBER(SEARCH("entretien",C62)),ISNUMBER(SEARCH("hygiene",C62))),35,0)+IF(SUM(--(N62="75")+--(O62="75"),--(N62="77")+--(O62="77"),--(N62="78")+--(O62="78"),--(N62="91")+--(O62="91"),--(N62="92")+--(O62="92"),--(N62="93")+--(O62="93"),--(N62="94")+--(O62="94"),--(N62="95")+--(O62="95"))&gt;0,25,4)+IF(S62="",10,IF(S62&lt;=50000,25,IF(S62&lt;=100000,20,IF(S62&lt;=200000,5,IF(S62&lt;=500000,-10,-20)))))+IF(I62&lt;&gt;"",4,0)+IF(J62&lt;&gt;"",4,0)+IF(E62&lt;&gt;"",3,0)+IF(K62&lt;&gt;"",2,0)+IF(M62&lt;&gt;"",1,0)+IF(AD62&lt;&gt;"",1,0)+IF(R62="",0,IF(R62&lt;TODAY(),-30,IF(R62&lt;TODAY()+5,-15,IF(R62&lt;=TODAY()+15,5,10))))))</f>
        <v/>
      </c>
      <c r="AN62">
        <f>IF(AM62&gt;=65,"CHAUD",IF(AM62&gt;=40,"TIEDE","FROID"))</f>
        <v/>
      </c>
      <c r="AO62">
        <f>IF((IF(I62&lt;&gt;"",1,0)+IF(J62&lt;&gt;"",1,0)+IF(E62&lt;&gt;"",1,0)+IF(K62&lt;&gt;"",1,0))&gt;=4,"Complet",IF((IF(I62&lt;&gt;"",1,0)+IF(J62&lt;&gt;"",1,0)+IF(E62&lt;&gt;"",1,0)+IF(K62&lt;&gt;"",1,0))&gt;=2,"Partiel","Vide"))</f>
        <v/>
      </c>
      <c r="AP62">
        <f>IF(AJ62="DCE_A_TELECHARGER","Telecharger DCE",IF(T62="A_VERIFIER_BUDGET","Verifier budget",IF(AN62="CHAUD","Contacter maintenant",IF(AN62="TIEDE","Surveiller / relancer","Basse priorite"))))</f>
        <v/>
      </c>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62" t="inlineStr">
        <is>
          <t>Verifier url_avis et DCE si disponible</t>
        </is>
      </c>
      <c r="AV62" t="inlineStr"/>
      <c r="AW62" t="inlineStr"/>
      <c r="AX62" t="inlineStr"/>
      <c r="AY62" t="inlineStr"/>
      <c r="AZ62" t="inlineStr"/>
      <c r="BA62" t="inlineStr"/>
      <c r="BB62" t="inlineStr">
        <is>
          <t>+35 nettoyage + categorie claire | -20 gros budget (&gt; 500 000 EUR) | +10 delai confortable 58j</t>
        </is>
      </c>
      <c r="BC62" t="inlineStr">
        <is>
          <t>Département du Val-de-Marne publie un AO potentiellement pertinent pour CHRUTH : PRESTATIONS DE NETTOYAGE DES SITES DE L'ENFANCE. Zone : 94. Budget detecte environ 15 520 000 EUR. Verifier le lien source avant contact.</t>
        </is>
      </c>
      <c r="BD62"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62"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62" t="inlineStr"/>
      <c r="BG62" t="inlineStr"/>
      <c r="BH62" t="inlineStr"/>
      <c r="BI62" t="inlineStr"/>
      <c r="BJ62" t="inlineStr"/>
      <c r="BK62" t="inlineStr"/>
      <c r="BL62" t="inlineStr"/>
      <c r="BM62" t="inlineStr">
        <is>
          <t>2026-W30</t>
        </is>
      </c>
    </row>
    <row r="63">
      <c r="A63" t="inlineStr">
        <is>
          <t>BOAMP</t>
        </is>
      </c>
      <c r="B63" t="inlineStr">
        <is>
          <t>26-70752</t>
        </is>
      </c>
      <c r="C63" t="inlineStr">
        <is>
          <t>Nettoyage des locaux et de la vitrerie des bâtiments intercommunaux de l'agglomération Roissy Pays de France</t>
        </is>
      </c>
      <c r="D63" t="inlineStr">
        <is>
          <t>Agglomération Roissy Pays de France</t>
        </is>
      </c>
      <c r="E63" t="inlineStr"/>
      <c r="F63" t="inlineStr"/>
      <c r="G63" t="inlineStr"/>
      <c r="H63" t="inlineStr"/>
      <c r="I63" t="inlineStr">
        <is>
          <t>publications-joue@aws-france.com</t>
        </is>
      </c>
      <c r="J63" t="inlineStr">
        <is>
          <t>+33480041260</t>
        </is>
      </c>
      <c r="K63" t="inlineStr"/>
      <c r="L63" t="inlineStr"/>
      <c r="M63" t="inlineStr"/>
      <c r="N63" t="inlineStr">
        <is>
          <t>95</t>
        </is>
      </c>
      <c r="O63" t="inlineStr"/>
      <c r="P63" t="inlineStr">
        <is>
          <t>Ile-de-France</t>
        </is>
      </c>
      <c r="Q63" s="15" t="n">
        <v>46220</v>
      </c>
      <c r="R63" s="15" t="n">
        <v>46280</v>
      </c>
      <c r="S63" s="14" t="n">
        <v>4000000</v>
      </c>
      <c r="T63" t="inlineStr">
        <is>
          <t>BUDGET_EXPLICITE_OK</t>
        </is>
      </c>
      <c r="U63" t="inlineStr">
        <is>
          <t>1333333</t>
        </is>
      </c>
      <c r="V63" t="inlineStr">
        <is>
          <t>oui</t>
        </is>
      </c>
      <c r="W63" t="inlineStr">
        <is>
          <t>Vitres</t>
        </is>
      </c>
      <c r="X63" t="inlineStr">
        <is>
          <t>Autre</t>
        </is>
      </c>
      <c r="Y63" t="inlineStr">
        <is>
          <t>SERVICES</t>
        </is>
      </c>
      <c r="Z63" t="inlineStr">
        <is>
          <t>Procédure Ouverte</t>
        </is>
      </c>
      <c r="AA63" t="inlineStr">
        <is>
          <t>Avis de marché</t>
        </is>
      </c>
      <c r="AB63" t="inlineStr">
        <is>
          <t>Nettoyage de locaux, Vitrerie</t>
        </is>
      </c>
      <c r="AC63" t="inlineStr">
        <is>
          <t>['sociaux', 'environnementaux']</t>
        </is>
      </c>
      <c r="AD63" s="11" t="inlineStr">
        <is>
          <t>https://www.boamp.fr/pages/avis/?q=idweb:26-70752</t>
        </is>
      </c>
      <c r="AE63" t="inlineStr">
        <is>
          <t>https://www.marches-publics.info/mpiaws/index.cfm?fuseaction=dematEnt.login&amp;amp;type=DCE&amp;amp;IDM=1850945</t>
        </is>
      </c>
      <c r="AF63" t="inlineStr">
        <is>
          <t>https://www.marches-publics.info/mpiaws/index.cfm?fuseaction=dematEnt.login&amp;amp;type=DCE&amp;amp;IDM=1850945</t>
        </is>
      </c>
      <c r="AG63" t="inlineStr">
        <is>
          <t>nettoyage</t>
        </is>
      </c>
      <c r="AH63" t="inlineStr">
        <is>
          <t>2</t>
        </is>
      </c>
      <c r="AI63" t="inlineStr">
        <is>
          <t>58</t>
        </is>
      </c>
      <c r="AJ63" t="inlineStr">
        <is>
          <t>INFO_PARTIELLE</t>
        </is>
      </c>
      <c r="AK63" t="inlineStr">
        <is>
          <t>25</t>
        </is>
      </c>
      <c r="AL63" s="16" t="inlineStr">
        <is>
          <t>FROID</t>
        </is>
      </c>
      <c r="AM63">
        <f>MIN(100,MAX(0,IF(OR(ISNUMBER(SEARCH("nettoyage",C63)),ISNUMBER(SEARCH("proprete",C63)),ISNUMBER(SEARCH("entretien",C63)),ISNUMBER(SEARCH("hygiene",C63))),35,0)+IF(SUM(--(N63="75")+--(O63="75"),--(N63="77")+--(O63="77"),--(N63="78")+--(O63="78"),--(N63="91")+--(O63="91"),--(N63="92")+--(O63="92"),--(N63="93")+--(O63="93"),--(N63="94")+--(O63="94"),--(N63="95")+--(O63="95"))&gt;0,25,4)+IF(S63="",10,IF(S63&lt;=50000,25,IF(S63&lt;=100000,20,IF(S63&lt;=200000,5,IF(S63&lt;=500000,-10,-20)))))+IF(I63&lt;&gt;"",4,0)+IF(J63&lt;&gt;"",4,0)+IF(E63&lt;&gt;"",3,0)+IF(K63&lt;&gt;"",2,0)+IF(M63&lt;&gt;"",1,0)+IF(AD63&lt;&gt;"",1,0)+IF(R63="",0,IF(R63&lt;TODAY(),-30,IF(R63&lt;TODAY()+5,-15,IF(R63&lt;=TODAY()+15,5,10))))))</f>
        <v/>
      </c>
      <c r="AN63">
        <f>IF(AM63&gt;=65,"CHAUD",IF(AM63&gt;=40,"TIEDE","FROID"))</f>
        <v/>
      </c>
      <c r="AO63">
        <f>IF((IF(I63&lt;&gt;"",1,0)+IF(J63&lt;&gt;"",1,0)+IF(E63&lt;&gt;"",1,0)+IF(K63&lt;&gt;"",1,0))&gt;=4,"Complet",IF((IF(I63&lt;&gt;"",1,0)+IF(J63&lt;&gt;"",1,0)+IF(E63&lt;&gt;"",1,0)+IF(K63&lt;&gt;"",1,0))&gt;=2,"Partiel","Vide"))</f>
        <v/>
      </c>
      <c r="AP63">
        <f>IF(AJ63="DCE_A_TELECHARGER","Telecharger DCE",IF(T63="A_VERIFIER_BUDGET","Verifier budget",IF(AN63="CHAUD","Contacter maintenant",IF(AN63="TIEDE","Surveiller / relancer","Basse priorite"))))</f>
        <v/>
      </c>
      <c r="AQ63" t="inlineStr">
        <is>
          <t>IA_CONTACT_A_COMPLETER</t>
        </is>
      </c>
      <c r="AR63" t="inlineStr">
        <is>
          <t>Completer les champs manquants depuis l'avis source, le site acheteur ou le DCE.</t>
        </is>
      </c>
      <c r="AS63" t="inlineStr">
        <is>
          <t>SIRET, adresse, ville</t>
        </is>
      </c>
      <c r="AT6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63" t="inlineStr">
        <is>
          <t>Verifier url_avis et DCE si disponible</t>
        </is>
      </c>
      <c r="AV63" t="inlineStr"/>
      <c r="AW63" t="inlineStr"/>
      <c r="AX63" t="inlineStr"/>
      <c r="AY63" t="inlineStr"/>
      <c r="AZ63" t="inlineStr"/>
      <c r="BA63" t="inlineStr"/>
      <c r="BB63" t="inlineStr">
        <is>
          <t>+35 nettoyage + categorie claire | -20 gros budget (&gt; 500 000 EUR) | +10 delai confortable 49j</t>
        </is>
      </c>
      <c r="BC63"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63"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63"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63" t="inlineStr"/>
      <c r="BG63" t="inlineStr"/>
      <c r="BH63" t="inlineStr"/>
      <c r="BI63" t="inlineStr"/>
      <c r="BJ63" t="inlineStr"/>
      <c r="BK63" t="inlineStr"/>
      <c r="BL63" t="inlineStr"/>
      <c r="BM63" t="inlineStr">
        <is>
          <t>2026-W29</t>
        </is>
      </c>
    </row>
    <row r="64">
      <c r="A64" t="inlineStr">
        <is>
          <t>BOAMP</t>
        </is>
      </c>
      <c r="B64" t="inlineStr">
        <is>
          <t>26-80530</t>
        </is>
      </c>
      <c r="C64" t="inlineStr">
        <is>
          <t>Acquisition et maintenance de soudeuses de tubulures, mobiles, mono-têtes et multi-têtes compatibles PVC et/ou EVA</t>
        </is>
      </c>
      <c r="D64" t="inlineStr">
        <is>
          <t>Etablissement français du sang</t>
        </is>
      </c>
      <c r="E64" t="inlineStr">
        <is>
          <t>42882285202140</t>
        </is>
      </c>
      <c r="F64" t="inlineStr">
        <is>
          <t>428822852</t>
        </is>
      </c>
      <c r="G64" t="inlineStr"/>
      <c r="H64" t="inlineStr"/>
      <c r="I64" t="inlineStr">
        <is>
          <t>Stde.marches.publics@efs.sante.fr</t>
        </is>
      </c>
      <c r="J64" t="inlineStr">
        <is>
          <t>0155939500</t>
        </is>
      </c>
      <c r="K64" t="inlineStr"/>
      <c r="L64" t="inlineStr"/>
      <c r="M64" t="inlineStr"/>
      <c r="N64" t="inlineStr">
        <is>
          <t>93</t>
        </is>
      </c>
      <c r="O64" t="inlineStr"/>
      <c r="P64" t="inlineStr">
        <is>
          <t>Ile-de-France</t>
        </is>
      </c>
      <c r="Q64" s="15" t="n">
        <v>46250</v>
      </c>
      <c r="R64" s="15" t="n">
        <v>46288</v>
      </c>
      <c r="S64" s="14" t="n">
        <v>1500000</v>
      </c>
      <c r="T64" t="inlineStr">
        <is>
          <t>BUDGET_EXPLICITE_OK</t>
        </is>
      </c>
      <c r="U64" t="inlineStr">
        <is>
          <t>3000000</t>
        </is>
      </c>
      <c r="V64" t="inlineStr">
        <is>
          <t>oui</t>
        </is>
      </c>
      <c r="W64" t="inlineStr">
        <is>
          <t>Batiments</t>
        </is>
      </c>
      <c r="X64" t="inlineStr">
        <is>
          <t>Autre</t>
        </is>
      </c>
      <c r="Y64" t="inlineStr">
        <is>
          <t>FOURNITURES</t>
        </is>
      </c>
      <c r="Z64" t="inlineStr">
        <is>
          <t>Procédure Ouverte</t>
        </is>
      </c>
      <c r="AA64" t="inlineStr">
        <is>
          <t>Avis de marché</t>
        </is>
      </c>
      <c r="AB64" t="inlineStr">
        <is>
          <t>Matériel médical</t>
        </is>
      </c>
      <c r="AC64" t="inlineStr">
        <is>
          <t>['environnementaux']</t>
        </is>
      </c>
      <c r="AD64" s="11" t="inlineStr">
        <is>
          <t>https://www.boamp.fr/pages/avis/?q=idweb:26-80530</t>
        </is>
      </c>
      <c r="AE64" t="inlineStr">
        <is>
          <t>https://www.marches-publics.gouv.fr/</t>
        </is>
      </c>
      <c r="AF64" t="inlineStr">
        <is>
          <t>https://www.marches-publics.gouv.fr/</t>
        </is>
      </c>
      <c r="AG64" t="inlineStr">
        <is>
          <t>nettoyage</t>
        </is>
      </c>
      <c r="AH64" t="inlineStr">
        <is>
          <t>3</t>
        </is>
      </c>
      <c r="AI64" t="inlineStr">
        <is>
          <t>68</t>
        </is>
      </c>
      <c r="AJ64" t="inlineStr">
        <is>
          <t>INFO_PARTIELLE</t>
        </is>
      </c>
      <c r="AK64" t="inlineStr">
        <is>
          <t>23.2</t>
        </is>
      </c>
      <c r="AL64" s="16" t="inlineStr">
        <is>
          <t>FROID</t>
        </is>
      </c>
      <c r="AM64">
        <f>MIN(100,MAX(0,IF(OR(ISNUMBER(SEARCH("nettoyage",C64)),ISNUMBER(SEARCH("proprete",C64)),ISNUMBER(SEARCH("entretien",C64)),ISNUMBER(SEARCH("hygiene",C64))),35,0)+IF(SUM(--(N64="75")+--(O64="75"),--(N64="77")+--(O64="77"),--(N64="78")+--(O64="78"),--(N64="91")+--(O64="91"),--(N64="92")+--(O64="92"),--(N64="93")+--(O64="93"),--(N64="94")+--(O64="94"),--(N64="95")+--(O64="95"))&gt;0,25,4)+IF(S64="",10,IF(S64&lt;=50000,25,IF(S64&lt;=100000,20,IF(S64&lt;=200000,5,IF(S64&lt;=500000,-10,-20)))))+IF(I64&lt;&gt;"",4,0)+IF(J64&lt;&gt;"",4,0)+IF(E64&lt;&gt;"",3,0)+IF(K64&lt;&gt;"",2,0)+IF(M64&lt;&gt;"",1,0)+IF(AD64&lt;&gt;"",1,0)+IF(R64="",0,IF(R64&lt;TODAY(),-30,IF(R64&lt;TODAY()+5,-15,IF(R64&lt;=TODAY()+15,5,10))))))</f>
        <v/>
      </c>
      <c r="AN64">
        <f>IF(AM64&gt;=65,"CHAUD",IF(AM64&gt;=40,"TIEDE","FROID"))</f>
        <v/>
      </c>
      <c r="AO64">
        <f>IF((IF(I64&lt;&gt;"",1,0)+IF(J64&lt;&gt;"",1,0)+IF(E64&lt;&gt;"",1,0)+IF(K64&lt;&gt;"",1,0))&gt;=4,"Complet",IF((IF(I64&lt;&gt;"",1,0)+IF(J64&lt;&gt;"",1,0)+IF(E64&lt;&gt;"",1,0)+IF(K64&lt;&gt;"",1,0))&gt;=2,"Partiel","Vide"))</f>
        <v/>
      </c>
      <c r="AP64">
        <f>IF(AJ64="DCE_A_TELECHARGER","Telecharger DCE",IF(T64="A_VERIFIER_BUDGET","Verifier budget",IF(AN64="CHAUD","Contacter maintenant",IF(AN64="TIEDE","Surveiller / relancer","Basse priorite"))))</f>
        <v/>
      </c>
      <c r="AQ64" t="inlineStr">
        <is>
          <t>IA_CONTACT_A_COMPLETER</t>
        </is>
      </c>
      <c r="AR64" t="inlineStr">
        <is>
          <t>Completer les champs manquants depuis l'avis source, le site acheteur ou le DCE.</t>
        </is>
      </c>
      <c r="AS64" t="inlineStr">
        <is>
          <t>adresse, ville</t>
        </is>
      </c>
      <c r="AT6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26-80530. Objet: Acquisition et maintenance de soudeuses de tubulures, mobiles, mono-têtes et multi-têtes compatibles PVC et/ou EVA. Acheteur: Etablissement français du sang. Lien: https://www.boamp.fr/pages/avis/?q=idweb:26-80530.</t>
        </is>
      </c>
      <c r="AU64" t="inlineStr">
        <is>
          <t>Verifier url_avis et DCE si disponible</t>
        </is>
      </c>
      <c r="AV64" t="inlineStr"/>
      <c r="AW64" t="inlineStr"/>
      <c r="AX64" t="inlineStr"/>
      <c r="AY64" t="inlineStr"/>
      <c r="AZ64" t="inlineStr"/>
      <c r="BA64" t="inlineStr"/>
      <c r="BB64" t="inlineStr">
        <is>
          <t>+33.5 nettoyage + categorie claire (1 termes) | -20.0 budget annualise 3 000 000 EUR | +8.2 delai 23 j | +1.5 dossier renseigne (3/4)</t>
        </is>
      </c>
      <c r="BC64" t="inlineStr">
        <is>
          <t>Etablissement français du sang publie un AO potentiellement pertinent pour CHRUTH : Acquisition et maintenance de soudeuses de tubulures, mobiles, mono-têtes et multi-têtes compatibles PVC et/ou EVA. Zone : 93. Budget detecte environ 1 500 000 EUR. Verifier le lien source avant contact.</t>
        </is>
      </c>
      <c r="BD64" t="inlineStr">
        <is>
          <t>Bonjour,
Je me permets de vous contacter au sujet de votre appel d'offres : Acquisition et maintenance de soudeuses de tubulures, mobiles, mono-têtes et multi-têtes compatibles PVC et/ou EVA.
CHRUTH accompagne les structures publiques et privées sur les besoins de nettoyage, d'entretien des locaux et d'organisation de prestations de service.
Serait-il possible d'échanger rapidement afin de vérifier les modalités de réponse et les attentes de Etablissement français du sang ?
Cordialement,</t>
        </is>
      </c>
      <c r="BE64" t="inlineStr">
        <is>
          <t>Bonjour, je vous appelle concernant un appel d'offres publié par Etablissement français du sang. Je souhaite vérifier les informations pratiques : périmètre des prestations, date limite, modalités de visite, contact technique et pièces attendues. Pouvez-vous m'indiquer la bonne personne à contacter ?</t>
        </is>
      </c>
      <c r="BF64" t="inlineStr"/>
      <c r="BG64" t="inlineStr"/>
      <c r="BH64" t="inlineStr"/>
      <c r="BI64" t="inlineStr"/>
      <c r="BJ64" t="inlineStr"/>
      <c r="BK64" t="inlineStr"/>
      <c r="BL64" t="inlineStr"/>
      <c r="BM64" t="inlineStr">
        <is>
          <t>2026-W33</t>
        </is>
      </c>
    </row>
    <row r="65">
      <c r="A65" t="inlineStr">
        <is>
          <t>BOAMP</t>
        </is>
      </c>
      <c r="B65" t="inlineStr">
        <is>
          <t>26-79741</t>
        </is>
      </c>
      <c r="C65" t="inlineStr">
        <is>
          <t>Le présent marché a pour objet la réalisation des prestations de bionettoyage, de nettoyage, ainsi que de la collecte interne des déchets et de la collecte interne du linge.</t>
        </is>
      </c>
      <c r="D65" t="inlineStr">
        <is>
          <t>GHU APHP Université Paris Saclay.</t>
        </is>
      </c>
      <c r="E65" t="inlineStr">
        <is>
          <t>26750045201928</t>
        </is>
      </c>
      <c r="F65" t="inlineStr">
        <is>
          <t>267500452</t>
        </is>
      </c>
      <c r="G65" t="inlineStr"/>
      <c r="H65" t="inlineStr"/>
      <c r="I65" t="inlineStr">
        <is>
          <t>chrisanderson.bakoumassensikou@aphp.fr</t>
        </is>
      </c>
      <c r="J65" t="inlineStr">
        <is>
          <t>0145212163</t>
        </is>
      </c>
      <c r="K65" t="inlineStr"/>
      <c r="L65" t="inlineStr"/>
      <c r="M65" t="inlineStr"/>
      <c r="N65" t="inlineStr">
        <is>
          <t>75,77,78,89,91,92,93,94,95</t>
        </is>
      </c>
      <c r="O65" t="inlineStr"/>
      <c r="P65" t="inlineStr">
        <is>
          <t>Ile-de-France</t>
        </is>
      </c>
      <c r="Q65" s="15" t="n">
        <v>46246</v>
      </c>
      <c r="R65" s="15" t="n">
        <v>46286</v>
      </c>
      <c r="S65" s="14" t="n">
        <v>12000000</v>
      </c>
      <c r="T65" t="inlineStr">
        <is>
          <t>BUDGET_EXPLICITE_OK</t>
        </is>
      </c>
      <c r="U65" t="inlineStr">
        <is>
          <t>12000000.0</t>
        </is>
      </c>
      <c r="V65" t="inlineStr">
        <is>
          <t>non</t>
        </is>
      </c>
      <c r="W65" t="inlineStr">
        <is>
          <t>Batiments</t>
        </is>
      </c>
      <c r="X65" t="inlineStr">
        <is>
          <t>Autre</t>
        </is>
      </c>
      <c r="Y65" t="inlineStr">
        <is>
          <t>SERVICES</t>
        </is>
      </c>
      <c r="Z65" t="inlineStr">
        <is>
          <t>Procédure Ouverte</t>
        </is>
      </c>
      <c r="AA65" t="inlineStr">
        <is>
          <t>Avis de marché</t>
        </is>
      </c>
      <c r="AB65" t="inlineStr">
        <is>
          <t>Déchets non ménagers (prestations), Nettoyage de locaux</t>
        </is>
      </c>
      <c r="AC65" t="inlineStr">
        <is>
          <t>['environnementaux']</t>
        </is>
      </c>
      <c r="AD65" s="11" t="inlineStr">
        <is>
          <t>https://www.boamp.fr/pages/avis/?q=idweb:26-79741</t>
        </is>
      </c>
      <c r="AE65" t="inlineStr">
        <is>
          <t>https://www.marches-publics.gouv.fr/?page=Entreprise.EntrepriseAdvancedSearch&amp;AllCons&amp;id=3053094&amp;orgAcronyme=x7c</t>
        </is>
      </c>
      <c r="AF65" t="inlineStr">
        <is>
          <t>https://www.marches-publics.gouv.fr/?page=Entreprise.EntrepriseAdvancedSearch&amp;AllCons&amp;id=3053094&amp;orgAcronyme=x7c</t>
        </is>
      </c>
      <c r="AG65" t="inlineStr">
        <is>
          <t>nettoyage, bionettoyage</t>
        </is>
      </c>
      <c r="AH65" t="inlineStr">
        <is>
          <t>3</t>
        </is>
      </c>
      <c r="AI65" t="inlineStr">
        <is>
          <t>76</t>
        </is>
      </c>
      <c r="AJ65" t="inlineStr">
        <is>
          <t>INFO_PARTIELLE</t>
        </is>
      </c>
      <c r="AK65" t="inlineStr">
        <is>
          <t>23.2</t>
        </is>
      </c>
      <c r="AL65" s="16" t="inlineStr">
        <is>
          <t>FROID</t>
        </is>
      </c>
      <c r="AM65">
        <f>MIN(100,MAX(0,IF(OR(ISNUMBER(SEARCH("nettoyage",C65)),ISNUMBER(SEARCH("proprete",C65)),ISNUMBER(SEARCH("entretien",C65)),ISNUMBER(SEARCH("hygiene",C65))),35,0)+IF(SUM(--(N65="75")+--(O65="75"),--(N65="77")+--(O65="77"),--(N65="78")+--(O65="78"),--(N65="91")+--(O65="91"),--(N65="92")+--(O65="92"),--(N65="93")+--(O65="93"),--(N65="94")+--(O65="94"),--(N65="95")+--(O65="95"))&gt;0,25,4)+IF(S65="",10,IF(S65&lt;=50000,25,IF(S65&lt;=100000,20,IF(S65&lt;=200000,5,IF(S65&lt;=500000,-10,-20)))))+IF(I65&lt;&gt;"",4,0)+IF(J65&lt;&gt;"",4,0)+IF(E65&lt;&gt;"",3,0)+IF(K65&lt;&gt;"",2,0)+IF(M65&lt;&gt;"",1,0)+IF(AD65&lt;&gt;"",1,0)+IF(R65="",0,IF(R65&lt;TODAY(),-30,IF(R65&lt;TODAY()+5,-15,IF(R65&lt;=TODAY()+15,5,10))))))</f>
        <v/>
      </c>
      <c r="AN65">
        <f>IF(AM65&gt;=65,"CHAUD",IF(AM65&gt;=40,"TIEDE","FROID"))</f>
        <v/>
      </c>
      <c r="AO65">
        <f>IF((IF(I65&lt;&gt;"",1,0)+IF(J65&lt;&gt;"",1,0)+IF(E65&lt;&gt;"",1,0)+IF(K65&lt;&gt;"",1,0))&gt;=4,"Complet",IF((IF(I65&lt;&gt;"",1,0)+IF(J65&lt;&gt;"",1,0)+IF(E65&lt;&gt;"",1,0)+IF(K65&lt;&gt;"",1,0))&gt;=2,"Partiel","Vide"))</f>
        <v/>
      </c>
      <c r="AP65">
        <f>IF(AJ65="DCE_A_TELECHARGER","Telecharger DCE",IF(T65="A_VERIFIER_BUDGET","Verifier budget",IF(AN65="CHAUD","Contacter maintenant",IF(AN65="TIEDE","Surveiller / relancer","Basse priorite"))))</f>
        <v/>
      </c>
      <c r="AQ65" t="inlineStr">
        <is>
          <t>IA_CONTACT_A_COMPLETER</t>
        </is>
      </c>
      <c r="AR65" t="inlineStr">
        <is>
          <t>Completer les champs manquants depuis l'avis source, le site acheteur ou le DCE.</t>
        </is>
      </c>
      <c r="AS65" t="inlineStr">
        <is>
          <t>adresse, ville</t>
        </is>
      </c>
      <c r="AT6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26-79741. Objet: Le présent marché a pour objet la réalisation des prestations de bionettoyage, de nettoyage, ainsi que de la collecte interne des déchets et de la collecte interne du linge.. Acheteur: GHU APHP Université Paris Saclay.. Lien: https://www.boamp.fr/pages/avis/?q=idweb:26-79741.</t>
        </is>
      </c>
      <c r="AU65" t="inlineStr">
        <is>
          <t>Verifier url_avis et DCE si disponible</t>
        </is>
      </c>
      <c r="AV65" t="inlineStr"/>
      <c r="AW65" t="inlineStr"/>
      <c r="AX65" t="inlineStr"/>
      <c r="AY65" t="inlineStr"/>
      <c r="AZ65" t="inlineStr"/>
      <c r="BA65" t="inlineStr"/>
      <c r="BB65" t="inlineStr">
        <is>
          <t>+34.0 nettoyage + categorie claire (2 termes) | -20.0 budget annualise 12 000 000 EUR | +7.8 delai 21 j | +1.5 dossier renseigne (3/4)</t>
        </is>
      </c>
      <c r="BC65" t="inlineStr">
        <is>
          <t>GHU APHP Université Paris Saclay. publie un AO potentiellement pertinent pour CHRUTH : Le présent marché a pour objet la réalisation des prestations de bionettoyage, de nettoyage, ainsi que de la collecte interne des déchets et de la collecte interne du linge.. Zone : 75,77,78,89,91,92,93,94,95. Budget detecte environ 12 000 000 EUR. Verifier le lien source avant contact.</t>
        </is>
      </c>
      <c r="BD65" t="inlineStr">
        <is>
          <t>Bonjour,
Je me permets de vous contacter au sujet de votre appel d'offres : Le présent marché a pour objet la réalisation des prestations de bionettoyage, de nettoyage, ainsi que de la collecte interne des déchets et de la collecte interne du linge..
CHRUTH accompagne les structures publiques et privées sur les besoins de nettoyage, d'entretien des locaux et d'organisation de prestations de service.
Serait-il possible d'échanger rapidement afin de vérifier les modalités de réponse et les attentes de GHU APHP Université Paris Saclay. ?
Cordialement,</t>
        </is>
      </c>
      <c r="BE65" t="inlineStr">
        <is>
          <t>Bonjour, je vous appelle concernant un appel d'offres publié par GHU APHP Université Paris Saclay.. Je souhaite vérifier les informations pratiques : périmètre des prestations, date limite, modalités de visite, contact technique et pièces attendues. Pouvez-vous m'indiquer la bonne personne à contacter ?</t>
        </is>
      </c>
      <c r="BF65" t="inlineStr"/>
      <c r="BG65" t="inlineStr"/>
      <c r="BH65" t="inlineStr"/>
      <c r="BI65" t="inlineStr"/>
      <c r="BJ65" t="inlineStr"/>
      <c r="BK65" t="inlineStr"/>
      <c r="BL65" t="inlineStr"/>
      <c r="BM65" t="inlineStr">
        <is>
          <t>2026-W33</t>
        </is>
      </c>
    </row>
    <row r="66">
      <c r="A66" t="inlineStr">
        <is>
          <t>BOAMP</t>
        </is>
      </c>
      <c r="B66" t="inlineStr">
        <is>
          <t>26-79241</t>
        </is>
      </c>
      <c r="C66" t="inlineStr">
        <is>
          <t>Prestations de suppléance dans les collèges publics du département de Seine-et-Marne via l’insertion par l’activité économique</t>
        </is>
      </c>
      <c r="D66" t="inlineStr">
        <is>
          <t>Département de Seine-et-Marne</t>
        </is>
      </c>
      <c r="E66" t="inlineStr">
        <is>
          <t>22770001000019</t>
        </is>
      </c>
      <c r="F66" t="inlineStr">
        <is>
          <t>227700010</t>
        </is>
      </c>
      <c r="G66" t="inlineStr"/>
      <c r="H66" t="inlineStr"/>
      <c r="I66" t="inlineStr">
        <is>
          <t>youblehoue.zionto@departement77.fr</t>
        </is>
      </c>
      <c r="J66" t="inlineStr">
        <is>
          <t>+33 164147467</t>
        </is>
      </c>
      <c r="K66" t="inlineStr"/>
      <c r="L66" t="inlineStr"/>
      <c r="M66" t="inlineStr"/>
      <c r="N66" t="inlineStr">
        <is>
          <t>77</t>
        </is>
      </c>
      <c r="O66" t="inlineStr"/>
      <c r="P66" t="inlineStr">
        <is>
          <t>Ile-de-France</t>
        </is>
      </c>
      <c r="Q66" s="15" t="n">
        <v>46243</v>
      </c>
      <c r="R66" s="15" t="n">
        <v>46290</v>
      </c>
      <c r="S66" t="inlineStr"/>
      <c r="T66" t="inlineStr">
        <is>
          <t>A_VERIFIER_BUDGET</t>
        </is>
      </c>
      <c r="U66" t="inlineStr"/>
      <c r="V66" t="inlineStr">
        <is>
          <t>non</t>
        </is>
      </c>
      <c r="W66" t="inlineStr">
        <is>
          <t>Personnel</t>
        </is>
      </c>
      <c r="X66" t="inlineStr">
        <is>
          <t>Autre</t>
        </is>
      </c>
      <c r="Y66" t="inlineStr">
        <is>
          <t>SERVICES</t>
        </is>
      </c>
      <c r="Z66" t="inlineStr">
        <is>
          <t>Procédure Ouverte</t>
        </is>
      </c>
      <c r="AA66" t="inlineStr">
        <is>
          <t>Avis de marché</t>
        </is>
      </c>
      <c r="AB66" t="inlineStr">
        <is>
          <t>Mise à disposition de personnel</t>
        </is>
      </c>
      <c r="AC66" t="inlineStr"/>
      <c r="AD66" s="11" t="inlineStr">
        <is>
          <t>https://www.boamp.fr/pages/avis/?q=idweb:26-79241</t>
        </is>
      </c>
      <c r="AE66" t="inlineStr">
        <is>
          <t>https://marches.maximilien.fr/entreprise/consultation/944928?orgAcronyme=g3h</t>
        </is>
      </c>
      <c r="AF66" t="inlineStr">
        <is>
          <t>https://marches.maximilien.fr/entreprise/consultation/944928?orgAcronyme=g3h</t>
        </is>
      </c>
      <c r="AG66" t="inlineStr"/>
      <c r="AH66" t="inlineStr">
        <is>
          <t>3</t>
        </is>
      </c>
      <c r="AI66" t="inlineStr">
        <is>
          <t>60</t>
        </is>
      </c>
      <c r="AJ66" t="inlineStr">
        <is>
          <t>INFO_PARTIELLE</t>
        </is>
      </c>
      <c r="AK66" t="inlineStr">
        <is>
          <t>20.2</t>
        </is>
      </c>
      <c r="AL66" s="16" t="inlineStr">
        <is>
          <t>FROID</t>
        </is>
      </c>
      <c r="AM66">
        <f>MIN(100,MAX(0,IF(OR(ISNUMBER(SEARCH("nettoyage",C66)),ISNUMBER(SEARCH("proprete",C66)),ISNUMBER(SEARCH("entretien",C66)),ISNUMBER(SEARCH("hygiene",C66))),35,0)+IF(SUM(--(N66="75")+--(O66="75"),--(N66="77")+--(O66="77"),--(N66="78")+--(O66="78"),--(N66="91")+--(O66="91"),--(N66="92")+--(O66="92"),--(N66="93")+--(O66="93"),--(N66="94")+--(O66="94"),--(N66="95")+--(O66="95"))&gt;0,25,4)+IF(S66="",10,IF(S66&lt;=50000,25,IF(S66&lt;=100000,20,IF(S66&lt;=200000,5,IF(S66&lt;=500000,-10,-20)))))+IF(I66&lt;&gt;"",4,0)+IF(J66&lt;&gt;"",4,0)+IF(E66&lt;&gt;"",3,0)+IF(K66&lt;&gt;"",2,0)+IF(M66&lt;&gt;"",1,0)+IF(AD66&lt;&gt;"",1,0)+IF(R66="",0,IF(R66&lt;TODAY(),-30,IF(R66&lt;TODAY()+5,-15,IF(R66&lt;=TODAY()+15,5,10))))))</f>
        <v/>
      </c>
      <c r="AN66">
        <f>IF(AM66&gt;=65,"CHAUD",IF(AM66&gt;=40,"TIEDE","FROID"))</f>
        <v/>
      </c>
      <c r="AO66">
        <f>IF((IF(I66&lt;&gt;"",1,0)+IF(J66&lt;&gt;"",1,0)+IF(E66&lt;&gt;"",1,0)+IF(K66&lt;&gt;"",1,0))&gt;=4,"Complet",IF((IF(I66&lt;&gt;"",1,0)+IF(J66&lt;&gt;"",1,0)+IF(E66&lt;&gt;"",1,0)+IF(K66&lt;&gt;"",1,0))&gt;=2,"Partiel","Vide"))</f>
        <v/>
      </c>
      <c r="AP66">
        <f>IF(AJ66="DCE_A_TELECHARGER","Telecharger DCE",IF(T66="A_VERIFIER_BUDGET","Verifier budget",IF(AN66="CHAUD","Contacter maintenant",IF(AN66="TIEDE","Surveiller / relancer","Basse priorite"))))</f>
        <v/>
      </c>
      <c r="AQ66" t="inlineStr">
        <is>
          <t>IA_BUDGET_A_VERIFIER</t>
        </is>
      </c>
      <c r="AR66" t="inlineStr">
        <is>
          <t>Verifier le budget dans l'avis source ou le DCE avant decision commerciale.</t>
        </is>
      </c>
      <c r="AS66" t="inlineStr">
        <is>
          <t>adresse, ville, budget</t>
        </is>
      </c>
      <c r="AT6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26-79241. Objet: Prestations de suppléance dans les collèges publics du département de Seine-et-Marne via l’insertion par l’activité économique. Acheteur: Département de Seine-et-Marne. Lien: https://www.boamp.fr/pages/avis/?q=idweb:26-79241.</t>
        </is>
      </c>
      <c r="AU66" t="inlineStr">
        <is>
          <t>Verifier url_avis et DCE si disponible</t>
        </is>
      </c>
      <c r="AV66" t="inlineStr">
        <is>
          <t>LIEN_SEUL</t>
        </is>
      </c>
      <c r="AW66" t="inlineStr"/>
      <c r="AX66" t="inlineStr"/>
      <c r="AY66" t="inlineStr"/>
      <c r="AZ66" t="inlineStr"/>
      <c r="BA66" t="inlineStr"/>
      <c r="BB66" t="inlineStr">
        <is>
          <t>0 pertinence metier faible | +10 budget non affiche (a verifier) | +8.8 delai 25 j | +1.5 dossier renseigne (3/4)</t>
        </is>
      </c>
      <c r="BC66" t="inlineStr">
        <is>
          <t>Département de Seine-et-Marne publie un AO potentiellement pertinent pour CHRUTH : Prestations de suppléance dans les collèges publics du département de Seine-et-Marne via l’insertion par l’activité économique. Zone : 77. Budget a verifier. Verifier le lien source avant contact.</t>
        </is>
      </c>
      <c r="BD66" t="inlineStr">
        <is>
          <t>Bonjour,
Je me permets de vous contacter au sujet de votre appel d'offres : Prestations de suppléance dans les collèges publics du département de Seine-et-Marne via l’insertion par l’activité économique.
CHRUTH accompagne les structures publiques et privées sur les besoins de nettoyage, d'entretien des locaux et d'organisation de prestations de service.
Serait-il possible d'échanger rapidement afin de vérifier les modalités de réponse et les attentes de Département de Seine-et-Marne ?
Cordialement,</t>
        </is>
      </c>
      <c r="BE66" t="inlineStr">
        <is>
          <t>Bonjour, je vous appelle concernant un appel d'offres publié par Département de Seine-et-Marne. Je souhaite vérifier les informations pratiques : périmètre des prestations, date limite, modalités de visite, contact technique et pièces attendues. Pouvez-vous m'indiquer la bonne personne à contacter ?</t>
        </is>
      </c>
      <c r="BF66" t="inlineStr"/>
      <c r="BG66" t="inlineStr"/>
      <c r="BH66" t="inlineStr"/>
      <c r="BI66" t="inlineStr"/>
      <c r="BJ66" t="inlineStr"/>
      <c r="BK66" t="inlineStr"/>
      <c r="BL66" t="inlineStr"/>
      <c r="BM66" t="inlineStr">
        <is>
          <t>2026-W32</t>
        </is>
      </c>
    </row>
    <row r="67">
      <c r="A67" t="inlineStr">
        <is>
          <t>BOAMP</t>
        </is>
      </c>
      <c r="B67" t="inlineStr">
        <is>
          <t>26-70841</t>
        </is>
      </c>
      <c r="C67" t="inlineStr">
        <is>
          <t>Prestations d'hébergement de l'Espace d'exposition faisant partie du pavillon Occitanie pour le 56e Salon International de l'Aéronautique et de l'Espace Paris - Relance consultation 26OCC09L</t>
        </is>
      </c>
      <c r="D67" t="inlineStr">
        <is>
          <t>CCI OCCITANIE PYRENEES-MEDITERRANEE</t>
        </is>
      </c>
      <c r="E67" t="inlineStr"/>
      <c r="F67" t="inlineStr"/>
      <c r="G67" t="inlineStr"/>
      <c r="H67" t="inlineStr"/>
      <c r="I67" t="inlineStr">
        <is>
          <t>publications-joue@aws-france.com</t>
        </is>
      </c>
      <c r="J67" t="inlineStr">
        <is>
          <t>+33480041260</t>
        </is>
      </c>
      <c r="K67" t="inlineStr"/>
      <c r="L67" t="inlineStr"/>
      <c r="M67" t="inlineStr"/>
      <c r="N67" t="inlineStr">
        <is>
          <t>75</t>
        </is>
      </c>
      <c r="O67" t="inlineStr"/>
      <c r="P67" t="inlineStr">
        <is>
          <t>Ile-de-France</t>
        </is>
      </c>
      <c r="Q67" s="15" t="n">
        <v>46220</v>
      </c>
      <c r="R67" s="15" t="n">
        <v>46251</v>
      </c>
      <c r="S67" t="inlineStr"/>
      <c r="T67" t="inlineStr">
        <is>
          <t>A_VERIFIER_BUDGET</t>
        </is>
      </c>
      <c r="U67" t="inlineStr"/>
      <c r="V67" t="inlineStr">
        <is>
          <t>non</t>
        </is>
      </c>
      <c r="W67" t="inlineStr">
        <is>
          <t>Personnel</t>
        </is>
      </c>
      <c r="X67" t="inlineStr">
        <is>
          <t>Autre</t>
        </is>
      </c>
      <c r="Y67" t="inlineStr">
        <is>
          <t>SERVICES</t>
        </is>
      </c>
      <c r="Z67" t="inlineStr">
        <is>
          <t>Procédure Ouverte</t>
        </is>
      </c>
      <c r="AA67" t="inlineStr">
        <is>
          <t>Avis de marché</t>
        </is>
      </c>
      <c r="AB67" t="inlineStr">
        <is>
          <t>Evénementiel</t>
        </is>
      </c>
      <c r="AC67" t="inlineStr"/>
      <c r="AD67" s="11" t="inlineStr">
        <is>
          <t>https://www.boamp.fr/pages/avis/?q=idweb:26-70841</t>
        </is>
      </c>
      <c r="AE67" t="inlineStr">
        <is>
          <t>https://www.marches-publics.gouv.fr/entreprise</t>
        </is>
      </c>
      <c r="AF67" t="inlineStr">
        <is>
          <t>https://www.marches-publics.gouv.fr/entreprise</t>
        </is>
      </c>
      <c r="AG67" t="inlineStr"/>
      <c r="AH67" t="inlineStr">
        <is>
          <t>2</t>
        </is>
      </c>
      <c r="AI67" t="inlineStr">
        <is>
          <t>50</t>
        </is>
      </c>
      <c r="AJ67" t="inlineStr">
        <is>
          <t>INFO_PARTIELLE</t>
        </is>
      </c>
      <c r="AK67" t="inlineStr">
        <is>
          <t>20</t>
        </is>
      </c>
      <c r="AL67" s="16" t="inlineStr">
        <is>
          <t>FROID</t>
        </is>
      </c>
      <c r="AM67">
        <f>MIN(100,MAX(0,IF(OR(ISNUMBER(SEARCH("nettoyage",C67)),ISNUMBER(SEARCH("proprete",C67)),ISNUMBER(SEARCH("entretien",C67)),ISNUMBER(SEARCH("hygiene",C67))),35,0)+IF(SUM(--(N67="75")+--(O67="75"),--(N67="77")+--(O67="77"),--(N67="78")+--(O67="78"),--(N67="91")+--(O67="91"),--(N67="92")+--(O67="92"),--(N67="93")+--(O67="93"),--(N67="94")+--(O67="94"),--(N67="95")+--(O67="95"))&gt;0,25,4)+IF(S67="",10,IF(S67&lt;=50000,25,IF(S67&lt;=100000,20,IF(S67&lt;=200000,5,IF(S67&lt;=500000,-10,-20)))))+IF(I67&lt;&gt;"",4,0)+IF(J67&lt;&gt;"",4,0)+IF(E67&lt;&gt;"",3,0)+IF(K67&lt;&gt;"",2,0)+IF(M67&lt;&gt;"",1,0)+IF(AD67&lt;&gt;"",1,0)+IF(R67="",0,IF(R67&lt;TODAY(),-30,IF(R67&lt;TODAY()+5,-15,IF(R67&lt;=TODAY()+15,5,10))))))</f>
        <v/>
      </c>
      <c r="AN67">
        <f>IF(AM67&gt;=65,"CHAUD",IF(AM67&gt;=40,"TIEDE","FROID"))</f>
        <v/>
      </c>
      <c r="AO67">
        <f>IF((IF(I67&lt;&gt;"",1,0)+IF(J67&lt;&gt;"",1,0)+IF(E67&lt;&gt;"",1,0)+IF(K67&lt;&gt;"",1,0))&gt;=4,"Complet",IF((IF(I67&lt;&gt;"",1,0)+IF(J67&lt;&gt;"",1,0)+IF(E67&lt;&gt;"",1,0)+IF(K67&lt;&gt;"",1,0))&gt;=2,"Partiel","Vide"))</f>
        <v/>
      </c>
      <c r="AP67">
        <f>IF(AJ67="DCE_A_TELECHARGER","Telecharger DCE",IF(T67="A_VERIFIER_BUDGET","Verifier budget",IF(AN67="CHAUD","Contacter maintenant",IF(AN67="TIEDE","Surveiller / relancer","Basse priorite"))))</f>
        <v/>
      </c>
      <c r="AQ67" t="inlineStr">
        <is>
          <t>IA_BUDGET_A_VERIFIER</t>
        </is>
      </c>
      <c r="AR67" t="inlineStr">
        <is>
          <t>Verifier le budget dans l'avis source ou le DCE avant decision commerciale.</t>
        </is>
      </c>
      <c r="AS67" t="inlineStr">
        <is>
          <t>SIRET, adresse, ville, budget</t>
        </is>
      </c>
      <c r="AT6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67" t="inlineStr">
        <is>
          <t>Verifier url_avis et DCE si disponible</t>
        </is>
      </c>
      <c r="AV67" t="inlineStr">
        <is>
          <t>LIEN_SEUL</t>
        </is>
      </c>
      <c r="AW67" t="inlineStr"/>
      <c r="AX67" t="inlineStr"/>
      <c r="AY67" t="inlineStr"/>
      <c r="AZ67" t="inlineStr"/>
      <c r="BA67" t="inlineStr"/>
      <c r="BB67" t="inlineStr">
        <is>
          <t>0 pertinence metier faible | +10 budget non affiche (a verifier) | +10 delai confortable 20j</t>
        </is>
      </c>
      <c r="BC67"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67"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67"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67" t="inlineStr"/>
      <c r="BG67" t="inlineStr"/>
      <c r="BH67" t="inlineStr"/>
      <c r="BI67" t="inlineStr"/>
      <c r="BJ67" t="inlineStr"/>
      <c r="BK67" t="inlineStr"/>
      <c r="BL67" t="inlineStr"/>
      <c r="BM67" t="inlineStr">
        <is>
          <t>2026-W29</t>
        </is>
      </c>
    </row>
    <row r="68">
      <c r="A68" t="inlineStr">
        <is>
          <t>BOAMP</t>
        </is>
      </c>
      <c r="B68" t="inlineStr">
        <is>
          <t>26-70040</t>
        </is>
      </c>
      <c r="C68" t="inlineStr">
        <is>
          <t>Prestations de gardiennage et sécurité incendie pour le campus HEC Paris</t>
        </is>
      </c>
      <c r="D68" t="inlineStr">
        <is>
          <t>HEC Paris</t>
        </is>
      </c>
      <c r="E68" t="inlineStr"/>
      <c r="F68" t="inlineStr"/>
      <c r="G68" t="inlineStr"/>
      <c r="H68" t="inlineStr"/>
      <c r="I68" t="inlineStr">
        <is>
          <t>publications-joue@aws-france.com</t>
        </is>
      </c>
      <c r="J68" t="inlineStr">
        <is>
          <t>+33480041260</t>
        </is>
      </c>
      <c r="K68" t="inlineStr"/>
      <c r="L68" t="inlineStr"/>
      <c r="M68" t="inlineStr"/>
      <c r="N68" t="inlineStr">
        <is>
          <t>78</t>
        </is>
      </c>
      <c r="O68" t="inlineStr"/>
      <c r="P68" t="inlineStr">
        <is>
          <t>Ile-de-France</t>
        </is>
      </c>
      <c r="Q68" s="15" t="n">
        <v>46218</v>
      </c>
      <c r="R68" s="15" t="n">
        <v>46282</v>
      </c>
      <c r="S68" t="inlineStr"/>
      <c r="T68" t="inlineStr">
        <is>
          <t>A_VERIFIER_BUDGET</t>
        </is>
      </c>
      <c r="U68" t="inlineStr"/>
      <c r="V68" t="inlineStr">
        <is>
          <t>non</t>
        </is>
      </c>
      <c r="W68" t="inlineStr">
        <is>
          <t>Personnel</t>
        </is>
      </c>
      <c r="X68" t="inlineStr">
        <is>
          <t>Autre</t>
        </is>
      </c>
      <c r="Y68" t="inlineStr">
        <is>
          <t>SERVICES</t>
        </is>
      </c>
      <c r="Z68" t="inlineStr">
        <is>
          <t>Procédure Ouverte</t>
        </is>
      </c>
      <c r="AA68" t="inlineStr">
        <is>
          <t>Avis de marché</t>
        </is>
      </c>
      <c r="AB68" t="inlineStr">
        <is>
          <t>Sécurité incendie, Gardiennage</t>
        </is>
      </c>
      <c r="AC68" t="inlineStr">
        <is>
          <t>['sociaux', 'environnementaux']</t>
        </is>
      </c>
      <c r="AD68" s="11" t="inlineStr">
        <is>
          <t>https://www.boamp.fr/pages/avis/?q=idweb:26-70040</t>
        </is>
      </c>
      <c r="AE68" t="inlineStr">
        <is>
          <t>https://www.marches-publics.info/mpiaws/index.cfm?fuseaction=dematEnt.login&amp;amp;type=DCE&amp;amp;IDM=1850314</t>
        </is>
      </c>
      <c r="AF68" t="inlineStr">
        <is>
          <t>https://www.marches-publics.info/mpiaws/index.cfm?fuseaction=dematEnt.login&amp;amp;type=DCE&amp;amp;IDM=1850314</t>
        </is>
      </c>
      <c r="AG68" t="inlineStr"/>
      <c r="AH68" t="inlineStr">
        <is>
          <t>2</t>
        </is>
      </c>
      <c r="AI68" t="inlineStr">
        <is>
          <t>50</t>
        </is>
      </c>
      <c r="AJ68" t="inlineStr">
        <is>
          <t>INFO_PARTIELLE</t>
        </is>
      </c>
      <c r="AK68" t="inlineStr">
        <is>
          <t>20</t>
        </is>
      </c>
      <c r="AL68" s="16" t="inlineStr">
        <is>
          <t>FROID</t>
        </is>
      </c>
      <c r="AM68">
        <f>MIN(100,MAX(0,IF(OR(ISNUMBER(SEARCH("nettoyage",C68)),ISNUMBER(SEARCH("proprete",C68)),ISNUMBER(SEARCH("entretien",C68)),ISNUMBER(SEARCH("hygiene",C68))),35,0)+IF(SUM(--(N68="75")+--(O68="75"),--(N68="77")+--(O68="77"),--(N68="78")+--(O68="78"),--(N68="91")+--(O68="91"),--(N68="92")+--(O68="92"),--(N68="93")+--(O68="93"),--(N68="94")+--(O68="94"),--(N68="95")+--(O68="95"))&gt;0,25,4)+IF(S68="",10,IF(S68&lt;=50000,25,IF(S68&lt;=100000,20,IF(S68&lt;=200000,5,IF(S68&lt;=500000,-10,-20)))))+IF(I68&lt;&gt;"",4,0)+IF(J68&lt;&gt;"",4,0)+IF(E68&lt;&gt;"",3,0)+IF(K68&lt;&gt;"",2,0)+IF(M68&lt;&gt;"",1,0)+IF(AD68&lt;&gt;"",1,0)+IF(R68="",0,IF(R68&lt;TODAY(),-30,IF(R68&lt;TODAY()+5,-15,IF(R68&lt;=TODAY()+15,5,10))))))</f>
        <v/>
      </c>
      <c r="AN68">
        <f>IF(AM68&gt;=65,"CHAUD",IF(AM68&gt;=40,"TIEDE","FROID"))</f>
        <v/>
      </c>
      <c r="AO68">
        <f>IF((IF(I68&lt;&gt;"",1,0)+IF(J68&lt;&gt;"",1,0)+IF(E68&lt;&gt;"",1,0)+IF(K68&lt;&gt;"",1,0))&gt;=4,"Complet",IF((IF(I68&lt;&gt;"",1,0)+IF(J68&lt;&gt;"",1,0)+IF(E68&lt;&gt;"",1,0)+IF(K68&lt;&gt;"",1,0))&gt;=2,"Partiel","Vide"))</f>
        <v/>
      </c>
      <c r="AP68">
        <f>IF(AJ68="DCE_A_TELECHARGER","Telecharger DCE",IF(T68="A_VERIFIER_BUDGET","Verifier budget",IF(AN68="CHAUD","Contacter maintenant",IF(AN68="TIEDE","Surveiller / relancer","Basse priorite"))))</f>
        <v/>
      </c>
      <c r="AQ68" t="inlineStr">
        <is>
          <t>IA_BUDGET_A_VERIFIER</t>
        </is>
      </c>
      <c r="AR68" t="inlineStr">
        <is>
          <t>Verifier le budget dans l'avis source ou le DCE avant decision commerciale.</t>
        </is>
      </c>
      <c r="AS68" t="inlineStr">
        <is>
          <t>SIRET, adresse, ville, budget</t>
        </is>
      </c>
      <c r="AT6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68" t="inlineStr">
        <is>
          <t>Verifier url_avis et DCE si disponible</t>
        </is>
      </c>
      <c r="AV68" t="inlineStr">
        <is>
          <t>LIEN_SEUL</t>
        </is>
      </c>
      <c r="AW68" t="inlineStr"/>
      <c r="AX68" t="inlineStr"/>
      <c r="AY68" t="inlineStr"/>
      <c r="AZ68" t="inlineStr"/>
      <c r="BA68" t="inlineStr"/>
      <c r="BB68" t="inlineStr">
        <is>
          <t>0 pertinence metier faible | +10 budget non affiche (a verifier) | +10 delai confortable 51j</t>
        </is>
      </c>
      <c r="BC68" t="inlineStr">
        <is>
          <t>HEC Paris publie un AO potentiellement pertinent pour CHRUTH : Prestations de gardiennage et sécurité incendie pour le campus HEC Paris. Zone : 78. Budget a verifier. Verifier le lien source avant contact.</t>
        </is>
      </c>
      <c r="BD68"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68"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68" t="inlineStr"/>
      <c r="BG68" t="inlineStr"/>
      <c r="BH68" t="inlineStr"/>
      <c r="BI68" t="inlineStr"/>
      <c r="BJ68" t="inlineStr"/>
      <c r="BK68" t="inlineStr"/>
      <c r="BL68" t="inlineStr"/>
      <c r="BM68" t="inlineStr">
        <is>
          <t>2026-W29</t>
        </is>
      </c>
    </row>
    <row r="69">
      <c r="A69" t="inlineStr">
        <is>
          <t>BOAMP</t>
        </is>
      </c>
      <c r="B69" t="inlineStr">
        <is>
          <t>26-74389</t>
        </is>
      </c>
      <c r="C69" t="inlineStr">
        <is>
          <t>Prestations de conseil et assistance en UX/UI, en développement, intégration et maintenance des projets numériques en 2 lots</t>
        </is>
      </c>
      <c r="D69" t="inlineStr">
        <is>
          <t>VILLE de PARIS - DFA - SDA</t>
        </is>
      </c>
      <c r="E69" t="inlineStr">
        <is>
          <t>21750001600019</t>
        </is>
      </c>
      <c r="F69" t="inlineStr">
        <is>
          <t>217500016</t>
        </is>
      </c>
      <c r="G69" t="inlineStr"/>
      <c r="H69" t="inlineStr"/>
      <c r="I69" t="inlineStr">
        <is>
          <t>dfa-bm1@paris.fr</t>
        </is>
      </c>
      <c r="J69" t="inlineStr">
        <is>
          <t>+33 171270264</t>
        </is>
      </c>
      <c r="K69" t="inlineStr"/>
      <c r="L69" t="inlineStr"/>
      <c r="M69" t="inlineStr"/>
      <c r="N69" t="inlineStr">
        <is>
          <t>75</t>
        </is>
      </c>
      <c r="O69" t="inlineStr"/>
      <c r="P69" t="inlineStr">
        <is>
          <t>Ile-de-France</t>
        </is>
      </c>
      <c r="Q69" s="15" t="n">
        <v>46229</v>
      </c>
      <c r="R69" s="15" t="n">
        <v>46287</v>
      </c>
      <c r="S69" s="14" t="n">
        <v>600000</v>
      </c>
      <c r="T69" t="inlineStr">
        <is>
          <t>BUDGET_EXPLICITE_OK</t>
        </is>
      </c>
      <c r="U69" t="inlineStr">
        <is>
          <t>1028571</t>
        </is>
      </c>
      <c r="V69" t="inlineStr">
        <is>
          <t>oui</t>
        </is>
      </c>
      <c r="W69" t="inlineStr">
        <is>
          <t>Personnel</t>
        </is>
      </c>
      <c r="X69" t="inlineStr">
        <is>
          <t>Mairie</t>
        </is>
      </c>
      <c r="Y69" t="inlineStr">
        <is>
          <t>SERVICES</t>
        </is>
      </c>
      <c r="Z69" t="inlineStr">
        <is>
          <t>Procédure Ouverte</t>
        </is>
      </c>
      <c r="AA69" t="inlineStr">
        <is>
          <t>Avis de marché</t>
        </is>
      </c>
      <c r="AB69" t="inlineStr">
        <is>
          <t>Gardiennage</t>
        </is>
      </c>
      <c r="AC69" t="inlineStr"/>
      <c r="AD69" s="11" t="inlineStr">
        <is>
          <t>https://www.boamp.fr/pages/avis/?q=idweb:26-74389</t>
        </is>
      </c>
      <c r="AE69" t="inlineStr">
        <is>
          <t>https://marches.maximilien.fr/entreprise/consultation/943956?orgAcronyme=r8t</t>
        </is>
      </c>
      <c r="AF69" t="inlineStr">
        <is>
          <t>https://marches.maximilien.fr/entreprise/consultation/943956?orgAcronyme=r8t</t>
        </is>
      </c>
      <c r="AG69" t="inlineStr"/>
      <c r="AH69" t="inlineStr">
        <is>
          <t>3</t>
        </is>
      </c>
      <c r="AI69" t="inlineStr">
        <is>
          <t>60</t>
        </is>
      </c>
      <c r="AJ69" t="inlineStr">
        <is>
          <t>INFO_PARTIELLE</t>
        </is>
      </c>
      <c r="AK69" t="inlineStr">
        <is>
          <t>15</t>
        </is>
      </c>
      <c r="AL69" s="16" t="inlineStr">
        <is>
          <t>FROID</t>
        </is>
      </c>
      <c r="AM69">
        <f>MIN(100,MAX(0,IF(OR(ISNUMBER(SEARCH("nettoyage",C69)),ISNUMBER(SEARCH("proprete",C69)),ISNUMBER(SEARCH("entretien",C69)),ISNUMBER(SEARCH("hygiene",C69))),35,0)+IF(SUM(--(N69="75")+--(O69="75"),--(N69="77")+--(O69="77"),--(N69="78")+--(O69="78"),--(N69="91")+--(O69="91"),--(N69="92")+--(O69="92"),--(N69="93")+--(O69="93"),--(N69="94")+--(O69="94"),--(N69="95")+--(O69="95"))&gt;0,25,4)+IF(S69="",10,IF(S69&lt;=50000,25,IF(S69&lt;=100000,20,IF(S69&lt;=200000,5,IF(S69&lt;=500000,-10,-20)))))+IF(I69&lt;&gt;"",4,0)+IF(J69&lt;&gt;"",4,0)+IF(E69&lt;&gt;"",3,0)+IF(K69&lt;&gt;"",2,0)+IF(M69&lt;&gt;"",1,0)+IF(AD69&lt;&gt;"",1,0)+IF(R69="",0,IF(R69&lt;TODAY(),-30,IF(R69&lt;TODAY()+5,-15,IF(R69&lt;=TODAY()+15,5,10))))))</f>
        <v/>
      </c>
      <c r="AN69">
        <f>IF(AM69&gt;=65,"CHAUD",IF(AM69&gt;=40,"TIEDE","FROID"))</f>
        <v/>
      </c>
      <c r="AO69">
        <f>IF((IF(I69&lt;&gt;"",1,0)+IF(J69&lt;&gt;"",1,0)+IF(E69&lt;&gt;"",1,0)+IF(K69&lt;&gt;"",1,0))&gt;=4,"Complet",IF((IF(I69&lt;&gt;"",1,0)+IF(J69&lt;&gt;"",1,0)+IF(E69&lt;&gt;"",1,0)+IF(K69&lt;&gt;"",1,0))&gt;=2,"Partiel","Vide"))</f>
        <v/>
      </c>
      <c r="AP69">
        <f>IF(AJ69="DCE_A_TELECHARGER","Telecharger DCE",IF(T69="A_VERIFIER_BUDGET","Verifier budget",IF(AN69="CHAUD","Contacter maintenant",IF(AN69="TIEDE","Surveiller / relancer","Basse priorite"))))</f>
        <v/>
      </c>
      <c r="AQ69" t="inlineStr">
        <is>
          <t>IA_CONTACT_A_COMPLETER</t>
        </is>
      </c>
      <c r="AR69" t="inlineStr">
        <is>
          <t>Completer les champs manquants depuis l'avis source, le site acheteur ou le DCE.</t>
        </is>
      </c>
      <c r="AS69" t="inlineStr">
        <is>
          <t>adresse, ville</t>
        </is>
      </c>
      <c r="AT6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69" t="inlineStr">
        <is>
          <t>Verifier url_avis et DCE si disponible</t>
        </is>
      </c>
      <c r="AV69" t="inlineStr"/>
      <c r="AW69" t="inlineStr"/>
      <c r="AX69" t="inlineStr"/>
      <c r="AY69" t="inlineStr"/>
      <c r="AZ69" t="inlineStr"/>
      <c r="BA69" t="inlineStr"/>
      <c r="BB69" t="inlineStr">
        <is>
          <t>0 pertinence metier faible | -20 gros budget (&gt; 500 000 EUR) | +15 procedure adaptee / MAPA / allotissement | +10 secteur cible Mairie | +10 delai confortable 56j</t>
        </is>
      </c>
      <c r="BC69"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69"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69"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69" t="inlineStr"/>
      <c r="BG69" t="inlineStr"/>
      <c r="BH69" t="inlineStr"/>
      <c r="BI69" t="inlineStr"/>
      <c r="BJ69" t="inlineStr"/>
      <c r="BK69" t="inlineStr"/>
      <c r="BL69" t="inlineStr"/>
      <c r="BM69" t="inlineStr">
        <is>
          <t>2026-W30</t>
        </is>
      </c>
    </row>
    <row r="70">
      <c r="A70" t="inlineStr">
        <is>
          <t>BOAMP</t>
        </is>
      </c>
      <c r="B70" t="inlineStr">
        <is>
          <t>26-73883</t>
        </is>
      </c>
      <c r="C70" t="inlineStr">
        <is>
          <t>Marché n°26.AO.MG.050 - Renfort de personnel au sein du télé-accueil de l'EPT Est Ensemble</t>
        </is>
      </c>
      <c r="D70" t="inlineStr">
        <is>
          <t>Est Ensemble</t>
        </is>
      </c>
      <c r="E70" t="inlineStr">
        <is>
          <t>20005787500011</t>
        </is>
      </c>
      <c r="F70" t="inlineStr">
        <is>
          <t>200057875</t>
        </is>
      </c>
      <c r="G70" t="inlineStr"/>
      <c r="H70" t="inlineStr"/>
      <c r="I70" t="inlineStr">
        <is>
          <t>marchespublics@est-ensemble.fr</t>
        </is>
      </c>
      <c r="J70" t="inlineStr">
        <is>
          <t>0578750001</t>
        </is>
      </c>
      <c r="K70" t="inlineStr"/>
      <c r="L70" t="inlineStr"/>
      <c r="M70" t="inlineStr"/>
      <c r="N70" t="inlineStr">
        <is>
          <t>93,75</t>
        </is>
      </c>
      <c r="O70" t="inlineStr"/>
      <c r="P70" t="inlineStr">
        <is>
          <t>Ile-de-France</t>
        </is>
      </c>
      <c r="Q70" s="15" t="n">
        <v>46228</v>
      </c>
      <c r="R70" s="15" t="n">
        <v>46283</v>
      </c>
      <c r="S70" s="14" t="n">
        <v>600000</v>
      </c>
      <c r="T70" t="inlineStr">
        <is>
          <t>BUDGET_EXPLICITE_OK</t>
        </is>
      </c>
      <c r="U70" t="inlineStr">
        <is>
          <t>150000</t>
        </is>
      </c>
      <c r="V70" t="inlineStr">
        <is>
          <t>oui</t>
        </is>
      </c>
      <c r="W70" t="inlineStr">
        <is>
          <t>Personnel</t>
        </is>
      </c>
      <c r="X70" t="inlineStr">
        <is>
          <t>Autre</t>
        </is>
      </c>
      <c r="Y70" t="inlineStr">
        <is>
          <t>SERVICES</t>
        </is>
      </c>
      <c r="Z70" t="inlineStr">
        <is>
          <t>Procédure Ouverte</t>
        </is>
      </c>
      <c r="AA70" t="inlineStr">
        <is>
          <t>Avis de marché</t>
        </is>
      </c>
      <c r="AB70" t="inlineStr">
        <is>
          <t>Télécommunications, Mise à disposition de personnel</t>
        </is>
      </c>
      <c r="AC70" t="inlineStr"/>
      <c r="AD70" s="11" t="inlineStr">
        <is>
          <t>https://www.boamp.fr/pages/avis/?q=idweb:26-73883</t>
        </is>
      </c>
      <c r="AE70" t="inlineStr">
        <is>
          <t>https://marches.maximilien.fr/?page=Entreprise.EntrepriseAdvancedSearch&amp;AllCons&amp;id=944029&amp;orgAcronyme=v8x</t>
        </is>
      </c>
      <c r="AF70" t="inlineStr">
        <is>
          <t>https://marches.maximilien.fr/?page=Entreprise.EntrepriseAdvancedSearch&amp;AllCons&amp;id=944029&amp;orgAcronyme=v8x</t>
        </is>
      </c>
      <c r="AG70" t="inlineStr"/>
      <c r="AH70" t="inlineStr">
        <is>
          <t>3</t>
        </is>
      </c>
      <c r="AI70" t="inlineStr">
        <is>
          <t>60</t>
        </is>
      </c>
      <c r="AJ70" t="inlineStr">
        <is>
          <t>INFO_PARTIELLE</t>
        </is>
      </c>
      <c r="AK70" t="inlineStr">
        <is>
          <t>15</t>
        </is>
      </c>
      <c r="AL70" s="16" t="inlineStr">
        <is>
          <t>FROID</t>
        </is>
      </c>
      <c r="AM70">
        <f>MIN(100,MAX(0,IF(OR(ISNUMBER(SEARCH("nettoyage",C70)),ISNUMBER(SEARCH("proprete",C70)),ISNUMBER(SEARCH("entretien",C70)),ISNUMBER(SEARCH("hygiene",C70))),35,0)+IF(SUM(--(N70="75")+--(O70="75"),--(N70="77")+--(O70="77"),--(N70="78")+--(O70="78"),--(N70="91")+--(O70="91"),--(N70="92")+--(O70="92"),--(N70="93")+--(O70="93"),--(N70="94")+--(O70="94"),--(N70="95")+--(O70="95"))&gt;0,25,4)+IF(S70="",10,IF(S70&lt;=50000,25,IF(S70&lt;=100000,20,IF(S70&lt;=200000,5,IF(S70&lt;=500000,-10,-20)))))+IF(I70&lt;&gt;"",4,0)+IF(J70&lt;&gt;"",4,0)+IF(E70&lt;&gt;"",3,0)+IF(K70&lt;&gt;"",2,0)+IF(M70&lt;&gt;"",1,0)+IF(AD70&lt;&gt;"",1,0)+IF(R70="",0,IF(R70&lt;TODAY(),-30,IF(R70&lt;TODAY()+5,-15,IF(R70&lt;=TODAY()+15,5,10))))))</f>
        <v/>
      </c>
      <c r="AN70">
        <f>IF(AM70&gt;=65,"CHAUD",IF(AM70&gt;=40,"TIEDE","FROID"))</f>
        <v/>
      </c>
      <c r="AO70">
        <f>IF((IF(I70&lt;&gt;"",1,0)+IF(J70&lt;&gt;"",1,0)+IF(E70&lt;&gt;"",1,0)+IF(K70&lt;&gt;"",1,0))&gt;=4,"Complet",IF((IF(I70&lt;&gt;"",1,0)+IF(J70&lt;&gt;"",1,0)+IF(E70&lt;&gt;"",1,0)+IF(K70&lt;&gt;"",1,0))&gt;=2,"Partiel","Vide"))</f>
        <v/>
      </c>
      <c r="AP70">
        <f>IF(AJ70="DCE_A_TELECHARGER","Telecharger DCE",IF(T70="A_VERIFIER_BUDGET","Verifier budget",IF(AN70="CHAUD","Contacter maintenant",IF(AN70="TIEDE","Surveiller / relancer","Basse priorite"))))</f>
        <v/>
      </c>
      <c r="AQ70" t="inlineStr">
        <is>
          <t>IA_CONTACT_A_COMPLETER</t>
        </is>
      </c>
      <c r="AR70" t="inlineStr">
        <is>
          <t>Completer les champs manquants depuis l'avis source, le site acheteur ou le DCE.</t>
        </is>
      </c>
      <c r="AS70" t="inlineStr">
        <is>
          <t>adresse, ville</t>
        </is>
      </c>
      <c r="AT7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70" t="inlineStr">
        <is>
          <t>Verifier url_avis et DCE si disponible</t>
        </is>
      </c>
      <c r="AV70" t="inlineStr"/>
      <c r="AW70" t="inlineStr"/>
      <c r="AX70" t="inlineStr"/>
      <c r="AY70" t="inlineStr"/>
      <c r="AZ70" t="inlineStr"/>
      <c r="BA70" t="inlineStr"/>
      <c r="BB70" t="inlineStr">
        <is>
          <t>0 pertinence metier faible | +5 budget annualise &lt;= 200 000 EUR | +10 delai confortable 52j</t>
        </is>
      </c>
      <c r="BC70" t="inlineStr">
        <is>
          <t>Est Ensemble publie un AO potentiellement pertinent pour CHRUTH : Marché n°26.AO.MG.050 - Renfort de personnel au sein du télé-accueil de l'EPT Est Ensemble. Zone : 93,75. Budget detecte environ 600 000 EUR. Verifier le lien source avant contact.</t>
        </is>
      </c>
      <c r="BD70"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70"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70" t="inlineStr"/>
      <c r="BG70" t="inlineStr"/>
      <c r="BH70" t="inlineStr"/>
      <c r="BI70" t="inlineStr"/>
      <c r="BJ70" t="inlineStr"/>
      <c r="BK70" t="inlineStr"/>
      <c r="BL70" t="inlineStr"/>
      <c r="BM70" t="inlineStr">
        <is>
          <t>2026-W30</t>
        </is>
      </c>
    </row>
    <row r="71">
      <c r="A71" t="inlineStr">
        <is>
          <t>BOAMP</t>
        </is>
      </c>
      <c r="B71" t="inlineStr">
        <is>
          <t>26-70598</t>
        </is>
      </c>
      <c r="C71" t="inlineStr">
        <is>
          <t>Location et entretien de linge de restauration et de maison pour le compte des Ministères sociaux</t>
        </is>
      </c>
      <c r="D71" t="inlineStr">
        <is>
          <t>Ministères sociaux, DFAS/SDADD</t>
        </is>
      </c>
      <c r="E71" t="inlineStr">
        <is>
          <t>11000201100044</t>
        </is>
      </c>
      <c r="F71" t="inlineStr">
        <is>
          <t>110002011</t>
        </is>
      </c>
      <c r="G71" t="inlineStr"/>
      <c r="H71" t="inlineStr"/>
      <c r="I71" t="inlineStr">
        <is>
          <t>maxime.peyronnet@sg.social.gouv.fr</t>
        </is>
      </c>
      <c r="J71" t="inlineStr">
        <is>
          <t>0201100044</t>
        </is>
      </c>
      <c r="K71" t="inlineStr"/>
      <c r="L71" t="inlineStr"/>
      <c r="M71" t="inlineStr"/>
      <c r="N71" t="inlineStr">
        <is>
          <t>75,77,78,91,92,93,94,95</t>
        </is>
      </c>
      <c r="O71" t="inlineStr"/>
      <c r="P71" t="inlineStr">
        <is>
          <t>Ile-de-France</t>
        </is>
      </c>
      <c r="Q71" s="15" t="n">
        <v>46220</v>
      </c>
      <c r="R71" s="15" t="n">
        <v>46241</v>
      </c>
      <c r="S71" s="14" t="n">
        <v>852000</v>
      </c>
      <c r="T71" t="inlineStr">
        <is>
          <t>BUDGET_EXPLICITE_OK</t>
        </is>
      </c>
      <c r="U71" t="inlineStr">
        <is>
          <t>5112000</t>
        </is>
      </c>
      <c r="V71" t="inlineStr">
        <is>
          <t>oui</t>
        </is>
      </c>
      <c r="W71" t="inlineStr">
        <is>
          <t>Mixte/Autre</t>
        </is>
      </c>
      <c r="X71" t="inlineStr">
        <is>
          <t>Autre</t>
        </is>
      </c>
      <c r="Y71" t="inlineStr">
        <is>
          <t>SERVICES</t>
        </is>
      </c>
      <c r="Z71" t="inlineStr">
        <is>
          <t>Procédure Ouverte</t>
        </is>
      </c>
      <c r="AA71" t="inlineStr">
        <is>
          <t>Avis de marché</t>
        </is>
      </c>
      <c r="AB71" t="inlineStr">
        <is>
          <t>Location (matériels), Blanchissage</t>
        </is>
      </c>
      <c r="AC71" t="inlineStr">
        <is>
          <t>['sociaux', 'environnementaux']</t>
        </is>
      </c>
      <c r="AD71" s="11" t="inlineStr">
        <is>
          <t>https://www.boamp.fr/pages/avis/?q=idweb:26-70598</t>
        </is>
      </c>
      <c r="AE71" t="inlineStr">
        <is>
          <t>https://www.marches-publics.gouv.fr/</t>
        </is>
      </c>
      <c r="AF71" t="inlineStr">
        <is>
          <t>https://www.marches-publics.gouv.fr/</t>
        </is>
      </c>
      <c r="AG71" t="inlineStr">
        <is>
          <t>nettoyage</t>
        </is>
      </c>
      <c r="AH71" t="inlineStr">
        <is>
          <t>3</t>
        </is>
      </c>
      <c r="AI71" t="inlineStr">
        <is>
          <t>68</t>
        </is>
      </c>
      <c r="AJ71" t="inlineStr">
        <is>
          <t>INFO_PARTIELLE</t>
        </is>
      </c>
      <c r="AK71" t="inlineStr">
        <is>
          <t>15</t>
        </is>
      </c>
      <c r="AL71" s="16" t="inlineStr">
        <is>
          <t>FROID</t>
        </is>
      </c>
      <c r="AM71">
        <f>MIN(100,MAX(0,IF(OR(ISNUMBER(SEARCH("nettoyage",C71)),ISNUMBER(SEARCH("proprete",C71)),ISNUMBER(SEARCH("entretien",C71)),ISNUMBER(SEARCH("hygiene",C71))),35,0)+IF(SUM(--(N71="75")+--(O71="75"),--(N71="77")+--(O71="77"),--(N71="78")+--(O71="78"),--(N71="91")+--(O71="91"),--(N71="92")+--(O71="92"),--(N71="93")+--(O71="93"),--(N71="94")+--(O71="94"),--(N71="95")+--(O71="95"))&gt;0,25,4)+IF(S71="",10,IF(S71&lt;=50000,25,IF(S71&lt;=100000,20,IF(S71&lt;=200000,5,IF(S71&lt;=500000,-10,-20)))))+IF(I71&lt;&gt;"",4,0)+IF(J71&lt;&gt;"",4,0)+IF(E71&lt;&gt;"",3,0)+IF(K71&lt;&gt;"",2,0)+IF(M71&lt;&gt;"",1,0)+IF(AD71&lt;&gt;"",1,0)+IF(R71="",0,IF(R71&lt;TODAY(),-30,IF(R71&lt;TODAY()+5,-15,IF(R71&lt;=TODAY()+15,5,10))))))</f>
        <v/>
      </c>
      <c r="AN71">
        <f>IF(AM71&gt;=65,"CHAUD",IF(AM71&gt;=40,"TIEDE","FROID"))</f>
        <v/>
      </c>
      <c r="AO71">
        <f>IF((IF(I71&lt;&gt;"",1,0)+IF(J71&lt;&gt;"",1,0)+IF(E71&lt;&gt;"",1,0)+IF(K71&lt;&gt;"",1,0))&gt;=4,"Complet",IF((IF(I71&lt;&gt;"",1,0)+IF(J71&lt;&gt;"",1,0)+IF(E71&lt;&gt;"",1,0)+IF(K71&lt;&gt;"",1,0))&gt;=2,"Partiel","Vide"))</f>
        <v/>
      </c>
      <c r="AP71">
        <f>IF(AJ71="DCE_A_TELECHARGER","Telecharger DCE",IF(T71="A_VERIFIER_BUDGET","Verifier budget",IF(AN71="CHAUD","Contacter maintenant",IF(AN71="TIEDE","Surveiller / relancer","Basse priorite"))))</f>
        <v/>
      </c>
      <c r="AQ71" t="inlineStr">
        <is>
          <t>IA_CONTACT_A_COMPLETER</t>
        </is>
      </c>
      <c r="AR71" t="inlineStr">
        <is>
          <t>Completer les champs manquants depuis l'avis source, le site acheteur ou le DCE.</t>
        </is>
      </c>
      <c r="AS71" t="inlineStr">
        <is>
          <t>adresse, ville</t>
        </is>
      </c>
      <c r="AT7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71" t="inlineStr">
        <is>
          <t>Verifier url_avis et DCE si disponible</t>
        </is>
      </c>
      <c r="AV71" t="inlineStr"/>
      <c r="AW71" t="inlineStr"/>
      <c r="AX71" t="inlineStr"/>
      <c r="AY71" t="inlineStr"/>
      <c r="AZ71" t="inlineStr"/>
      <c r="BA71" t="inlineStr"/>
      <c r="BB71" t="inlineStr">
        <is>
          <t>+30 mots-cles nettoyage forts | -20 gros budget (&gt; 500 000 EUR) | +5 delai court 10j</t>
        </is>
      </c>
      <c r="BC71"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71"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71"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71" t="inlineStr"/>
      <c r="BG71" t="inlineStr"/>
      <c r="BH71" t="inlineStr"/>
      <c r="BI71" t="inlineStr"/>
      <c r="BJ71" t="inlineStr"/>
      <c r="BK71" t="inlineStr"/>
      <c r="BL71" t="inlineStr"/>
      <c r="BM71" t="inlineStr">
        <is>
          <t>2026-W29</t>
        </is>
      </c>
    </row>
    <row r="72">
      <c r="A72" t="inlineStr">
        <is>
          <t>BOAMP</t>
        </is>
      </c>
      <c r="B72" t="inlineStr">
        <is>
          <t>26-79560</t>
        </is>
      </c>
      <c r="C72" t="inlineStr">
        <is>
          <t>Confection et fourniture de vêtements de travail pour les agents d'accueil et agents d'entretien sanitaires de la tour Eiffel</t>
        </is>
      </c>
      <c r="D72" t="inlineStr">
        <is>
          <t>Société d'Exploitation de la Tour Eiffel</t>
        </is>
      </c>
      <c r="E72" t="inlineStr">
        <is>
          <t>48262252900048</t>
        </is>
      </c>
      <c r="F72" t="inlineStr">
        <is>
          <t>482622529</t>
        </is>
      </c>
      <c r="G72" t="inlineStr"/>
      <c r="H72" t="inlineStr"/>
      <c r="I72" t="inlineStr">
        <is>
          <t>marches@toureiffel.paris</t>
        </is>
      </c>
      <c r="J72" t="inlineStr">
        <is>
          <t>0144112346</t>
        </is>
      </c>
      <c r="K72" t="inlineStr"/>
      <c r="L72" t="inlineStr"/>
      <c r="M72" t="inlineStr"/>
      <c r="N72" t="inlineStr">
        <is>
          <t>75,77,78,60</t>
        </is>
      </c>
      <c r="O72" t="inlineStr"/>
      <c r="P72" t="inlineStr">
        <is>
          <t>Ile-de-France</t>
        </is>
      </c>
      <c r="Q72" s="15" t="n">
        <v>46246</v>
      </c>
      <c r="R72" t="inlineStr"/>
      <c r="S72" t="inlineStr"/>
      <c r="T72" t="inlineStr">
        <is>
          <t>A_VERIFIER_BUDGET</t>
        </is>
      </c>
      <c r="U72" t="inlineStr"/>
      <c r="V72" t="inlineStr">
        <is>
          <t>non</t>
        </is>
      </c>
      <c r="W72" t="inlineStr">
        <is>
          <t>Personnel</t>
        </is>
      </c>
      <c r="X72" t="inlineStr">
        <is>
          <t>Autre</t>
        </is>
      </c>
      <c r="Y72" t="inlineStr">
        <is>
          <t>FOURNITURES</t>
        </is>
      </c>
      <c r="Z72" t="inlineStr">
        <is>
          <t>Procédure Dialogue compétitif</t>
        </is>
      </c>
      <c r="AA72" t="inlineStr">
        <is>
          <t>Avis de marché</t>
        </is>
      </c>
      <c r="AB72" t="inlineStr">
        <is>
          <t>Habillement</t>
        </is>
      </c>
      <c r="AC72" t="inlineStr">
        <is>
          <t>['sociaux', 'environnementaux']</t>
        </is>
      </c>
      <c r="AD72" s="11" t="inlineStr">
        <is>
          <t>https://www.boamp.fr/pages/avis/?q=idweb:26-79560</t>
        </is>
      </c>
      <c r="AE72" t="inlineStr">
        <is>
          <t>https://www.achatpublic.com/sdm/ent/gen/ent_detail.do?PCSLID=CSL_2026_lNMqePOVGB</t>
        </is>
      </c>
      <c r="AF72" t="inlineStr">
        <is>
          <t>https://www.achatpublic.com/sdm/ent/gen/ent_detail.do?PCSLID=CSL_2026_lNMqePOVGB</t>
        </is>
      </c>
      <c r="AG72" t="inlineStr"/>
      <c r="AH72" t="inlineStr">
        <is>
          <t>3</t>
        </is>
      </c>
      <c r="AI72" t="inlineStr">
        <is>
          <t>60</t>
        </is>
      </c>
      <c r="AJ72" t="inlineStr">
        <is>
          <t>INFO_PARTIELLE</t>
        </is>
      </c>
      <c r="AK72" t="inlineStr">
        <is>
          <t>11.5</t>
        </is>
      </c>
      <c r="AL72" s="16" t="inlineStr">
        <is>
          <t>FROID</t>
        </is>
      </c>
      <c r="AM72">
        <f>MIN(100,MAX(0,IF(OR(ISNUMBER(SEARCH("nettoyage",C72)),ISNUMBER(SEARCH("proprete",C72)),ISNUMBER(SEARCH("entretien",C72)),ISNUMBER(SEARCH("hygiene",C72))),35,0)+IF(SUM(--(N72="75")+--(O72="75"),--(N72="77")+--(O72="77"),--(N72="78")+--(O72="78"),--(N72="91")+--(O72="91"),--(N72="92")+--(O72="92"),--(N72="93")+--(O72="93"),--(N72="94")+--(O72="94"),--(N72="95")+--(O72="95"))&gt;0,25,4)+IF(S72="",10,IF(S72&lt;=50000,25,IF(S72&lt;=100000,20,IF(S72&lt;=200000,5,IF(S72&lt;=500000,-10,-20)))))+IF(I72&lt;&gt;"",4,0)+IF(J72&lt;&gt;"",4,0)+IF(E72&lt;&gt;"",3,0)+IF(K72&lt;&gt;"",2,0)+IF(M72&lt;&gt;"",1,0)+IF(AD72&lt;&gt;"",1,0)+IF(R72="",0,IF(R72&lt;TODAY(),-30,IF(R72&lt;TODAY()+5,-15,IF(R72&lt;=TODAY()+15,5,10))))))</f>
        <v/>
      </c>
      <c r="AN72">
        <f>IF(AM72&gt;=65,"CHAUD",IF(AM72&gt;=40,"TIEDE","FROID"))</f>
        <v/>
      </c>
      <c r="AO72">
        <f>IF((IF(I72&lt;&gt;"",1,0)+IF(J72&lt;&gt;"",1,0)+IF(E72&lt;&gt;"",1,0)+IF(K72&lt;&gt;"",1,0))&gt;=4,"Complet",IF((IF(I72&lt;&gt;"",1,0)+IF(J72&lt;&gt;"",1,0)+IF(E72&lt;&gt;"",1,0)+IF(K72&lt;&gt;"",1,0))&gt;=2,"Partiel","Vide"))</f>
        <v/>
      </c>
      <c r="AP72">
        <f>IF(AJ72="DCE_A_TELECHARGER","Telecharger DCE",IF(T72="A_VERIFIER_BUDGET","Verifier budget",IF(AN72="CHAUD","Contacter maintenant",IF(AN72="TIEDE","Surveiller / relancer","Basse priorite"))))</f>
        <v/>
      </c>
      <c r="AQ72" t="inlineStr">
        <is>
          <t>IA_BUDGET_A_VERIFIER</t>
        </is>
      </c>
      <c r="AR72" t="inlineStr">
        <is>
          <t>Verifier le budget dans l'avis source ou le DCE avant decision commerciale.</t>
        </is>
      </c>
      <c r="AS72" t="inlineStr">
        <is>
          <t>adresse, ville, budget</t>
        </is>
      </c>
      <c r="AT7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26-79560. Objet: Confection et fourniture de vêtements de travail pour les agents d'accueil et agents d'entretien sanitaires de la tour Eiffel. Acheteur: Société d'Exploitation de la Tour Eiffel. Lien: https://www.boamp.fr/pages/avis/?q=idweb:26-79560.</t>
        </is>
      </c>
      <c r="AU72" t="inlineStr">
        <is>
          <t>Verifier url_avis et DCE si disponible</t>
        </is>
      </c>
      <c r="AV72" t="inlineStr">
        <is>
          <t>LIEN_SEUL</t>
        </is>
      </c>
      <c r="AW72" t="inlineStr"/>
      <c r="AX72" t="inlineStr"/>
      <c r="AY72" t="inlineStr"/>
      <c r="AZ72" t="inlineStr"/>
      <c r="BA72" t="inlineStr"/>
      <c r="BB72" t="inlineStr">
        <is>
          <t>0 pertinence metier faible | +10 budget non affiche (a verifier) | 0 date limite absente | +1.5 dossier renseigne (3/4)</t>
        </is>
      </c>
      <c r="BC72" t="inlineStr">
        <is>
          <t>Société d'Exploitation de la Tour Eiffel publie un AO potentiellement pertinent pour CHRUTH : Confection et fourniture de vêtements de travail pour les agents d'accueil et agents d'entretien sanitaires de la tour Eiffel. Zone : 75,77,78,60. Budget a verifier. Verifier le lien source avant contact.</t>
        </is>
      </c>
      <c r="BD72" t="inlineStr">
        <is>
          <t>Bonjour,
Je me permets de vous contacter au sujet de votre appel d'offres : Confection et fourniture de vêtements de travail pour les agents d'accueil et agents d'entretien sanitaires de la tour Eiffel.
CHRUTH accompagne les structures publiques et privées sur les besoins de nettoyage, d'entretien des locaux et d'organisation de prestations de service.
Serait-il possible d'échanger rapidement afin de vérifier les modalités de réponse et les attentes de Société d'Exploitation de la Tour Eiffel ?
Cordialement,</t>
        </is>
      </c>
      <c r="BE72" t="inlineStr">
        <is>
          <t>Bonjour, je vous appelle concernant un appel d'offres publié par Société d'Exploitation de la Tour Eiffel. Je souhaite vérifier les informations pratiques : périmètre des prestations, date limite, modalités de visite, contact technique et pièces attendues. Pouvez-vous m'indiquer la bonne personne à contacter ?</t>
        </is>
      </c>
      <c r="BF72" t="inlineStr"/>
      <c r="BG72" t="inlineStr"/>
      <c r="BH72" t="inlineStr"/>
      <c r="BI72" t="inlineStr"/>
      <c r="BJ72" t="inlineStr"/>
      <c r="BK72" t="inlineStr"/>
      <c r="BL72" t="inlineStr"/>
      <c r="BM72" t="inlineStr">
        <is>
          <t>2026-W33</t>
        </is>
      </c>
    </row>
    <row r="73">
      <c r="A73" t="inlineStr">
        <is>
          <t>BOAMP</t>
        </is>
      </c>
      <c r="B73" t="inlineStr">
        <is>
          <t>26-76712</t>
        </is>
      </c>
      <c r="C73" t="inlineStr">
        <is>
          <t>ACCORD CADRE N°26066-S-AC
DE PRESTATIONS DE SURETE, SECURITE ET MULTI-MAINTENANCE POUR LES SITES :
- JARDIN DES PLANTES
- MUSEE DE L'HOMME
- PARC ZOOLOGIQUE DE PARIS
POUR LE COMPTE DU MUSEUM MNHN</t>
        </is>
      </c>
      <c r="D73" t="inlineStr">
        <is>
          <t>Museum National d'Histoire Naturelle</t>
        </is>
      </c>
      <c r="E73" t="inlineStr">
        <is>
          <t>45072478600030</t>
        </is>
      </c>
      <c r="F73" t="inlineStr">
        <is>
          <t>450724786</t>
        </is>
      </c>
      <c r="G73" t="inlineStr"/>
      <c r="H73" t="inlineStr"/>
      <c r="I73" t="inlineStr">
        <is>
          <t>thierry.lejeune@mnhn.fr</t>
        </is>
      </c>
      <c r="J73" t="inlineStr">
        <is>
          <t>+33 140793247</t>
        </is>
      </c>
      <c r="K73" t="inlineStr"/>
      <c r="L73" t="inlineStr"/>
      <c r="M73" t="inlineStr"/>
      <c r="N73" t="inlineStr">
        <is>
          <t>75</t>
        </is>
      </c>
      <c r="O73" t="inlineStr"/>
      <c r="P73" t="inlineStr">
        <is>
          <t>Ile-de-France</t>
        </is>
      </c>
      <c r="Q73" s="15" t="n">
        <v>46236</v>
      </c>
      <c r="R73" t="inlineStr"/>
      <c r="S73" t="inlineStr"/>
      <c r="T73" t="inlineStr">
        <is>
          <t>A_VERIFIER_BUDGET</t>
        </is>
      </c>
      <c r="U73" t="inlineStr"/>
      <c r="V73" t="inlineStr">
        <is>
          <t>non</t>
        </is>
      </c>
      <c r="W73" t="inlineStr">
        <is>
          <t>Personnel</t>
        </is>
      </c>
      <c r="X73" t="inlineStr">
        <is>
          <t>Autre</t>
        </is>
      </c>
      <c r="Y73" t="inlineStr">
        <is>
          <t>SERVICES</t>
        </is>
      </c>
      <c r="Z73" t="inlineStr">
        <is>
          <t>Procédure Restreinte</t>
        </is>
      </c>
      <c r="AA73" t="inlineStr">
        <is>
          <t>Avis de marché</t>
        </is>
      </c>
      <c r="AB73" t="inlineStr">
        <is>
          <t>Gardiennage, Maintenance</t>
        </is>
      </c>
      <c r="AC73" t="inlineStr"/>
      <c r="AD73" s="11" t="inlineStr">
        <is>
          <t>https://www.boamp.fr/pages/avis/?q=idweb:26-76712</t>
        </is>
      </c>
      <c r="AE73" t="inlineStr">
        <is>
          <t>https://mnhn.e-marchespublics.com</t>
        </is>
      </c>
      <c r="AF73" t="inlineStr">
        <is>
          <t>https://mnhn.e-marchespublics.com</t>
        </is>
      </c>
      <c r="AG73" t="inlineStr"/>
      <c r="AH73" t="inlineStr">
        <is>
          <t>3</t>
        </is>
      </c>
      <c r="AI73" t="inlineStr">
        <is>
          <t>60</t>
        </is>
      </c>
      <c r="AJ73" t="inlineStr">
        <is>
          <t>INFO_PARTIELLE</t>
        </is>
      </c>
      <c r="AK73" t="inlineStr">
        <is>
          <t>11.5</t>
        </is>
      </c>
      <c r="AL73" s="16" t="inlineStr">
        <is>
          <t>FROID</t>
        </is>
      </c>
      <c r="AM73">
        <f>MIN(100,MAX(0,IF(OR(ISNUMBER(SEARCH("nettoyage",C73)),ISNUMBER(SEARCH("proprete",C73)),ISNUMBER(SEARCH("entretien",C73)),ISNUMBER(SEARCH("hygiene",C73))),35,0)+IF(SUM(--(N73="75")+--(O73="75"),--(N73="77")+--(O73="77"),--(N73="78")+--(O73="78"),--(N73="91")+--(O73="91"),--(N73="92")+--(O73="92"),--(N73="93")+--(O73="93"),--(N73="94")+--(O73="94"),--(N73="95")+--(O73="95"))&gt;0,25,4)+IF(S73="",10,IF(S73&lt;=50000,25,IF(S73&lt;=100000,20,IF(S73&lt;=200000,5,IF(S73&lt;=500000,-10,-20)))))+IF(I73&lt;&gt;"",4,0)+IF(J73&lt;&gt;"",4,0)+IF(E73&lt;&gt;"",3,0)+IF(K73&lt;&gt;"",2,0)+IF(M73&lt;&gt;"",1,0)+IF(AD73&lt;&gt;"",1,0)+IF(R73="",0,IF(R73&lt;TODAY(),-30,IF(R73&lt;TODAY()+5,-15,IF(R73&lt;=TODAY()+15,5,10))))))</f>
        <v/>
      </c>
      <c r="AN73">
        <f>IF(AM73&gt;=65,"CHAUD",IF(AM73&gt;=40,"TIEDE","FROID"))</f>
        <v/>
      </c>
      <c r="AO73">
        <f>IF((IF(I73&lt;&gt;"",1,0)+IF(J73&lt;&gt;"",1,0)+IF(E73&lt;&gt;"",1,0)+IF(K73&lt;&gt;"",1,0))&gt;=4,"Complet",IF((IF(I73&lt;&gt;"",1,0)+IF(J73&lt;&gt;"",1,0)+IF(E73&lt;&gt;"",1,0)+IF(K73&lt;&gt;"",1,0))&gt;=2,"Partiel","Vide"))</f>
        <v/>
      </c>
      <c r="AP73">
        <f>IF(AJ73="DCE_A_TELECHARGER","Telecharger DCE",IF(T73="A_VERIFIER_BUDGET","Verifier budget",IF(AN73="CHAUD","Contacter maintenant",IF(AN73="TIEDE","Surveiller / relancer","Basse priorite"))))</f>
        <v/>
      </c>
      <c r="AQ73" t="inlineStr">
        <is>
          <t>IA_BUDGET_A_VERIFIER</t>
        </is>
      </c>
      <c r="AR73" t="inlineStr">
        <is>
          <t>Verifier le budget dans l'avis source ou le DCE avant decision commerciale.</t>
        </is>
      </c>
      <c r="AS73" t="inlineStr">
        <is>
          <t>adresse, ville, budget</t>
        </is>
      </c>
      <c r="AT7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26-76712. Objet: ACCORD CADRE N°26066-S-AC
DE PRESTATIONS DE SURETE, SECURITE ET MULTI-MAINTENANCE POUR LES SITES :
- JARDIN DES PLANTES
- MUSEE DE L'HOMME
- PARC ZOOLOGIQUE DE PARIS
POUR LE COMPTE DU MUSEUM MNHN. Acheteur: Museum National d'Histoire Naturelle. Lien: https://www.boamp.fr/pages/avis/?q=idweb:26-76712.</t>
        </is>
      </c>
      <c r="AU73" t="inlineStr">
        <is>
          <t>Verifier url_avis et DCE si disponible</t>
        </is>
      </c>
      <c r="AV73" t="inlineStr">
        <is>
          <t>LIEN_SEUL</t>
        </is>
      </c>
      <c r="AW73" t="inlineStr"/>
      <c r="AX73" t="inlineStr"/>
      <c r="AY73" t="inlineStr"/>
      <c r="AZ73" t="inlineStr"/>
      <c r="BA73" t="inlineStr"/>
      <c r="BB73" t="inlineStr">
        <is>
          <t>0 pertinence metier faible | +10 budget non affiche (a verifier) | 0 date limite absente | +1.5 dossier renseigne (3/4)</t>
        </is>
      </c>
      <c r="BC73" t="inlineStr">
        <is>
          <t>Museum National d'Histoire Naturelle publie un AO potentiellement pertinent pour CHRUTH : ACCORD CADRE N°26066-S-AC
DE PRESTATIONS DE SURETE, SECURITE ET MULTI-MAINTENANCE POUR LES SITES :
- JARDIN DES PLANTES
- MUSEE DE L'HOMME
- PARC ZOOLOGIQUE DE PARIS
POUR LE COMPTE DU MUSEUM MNHN. Zone : 75. Budget a verifier. Verifier le lien source avant contact.</t>
        </is>
      </c>
      <c r="BD73" t="inlineStr">
        <is>
          <t>Bonjour,
Je me permets de vous contacter au sujet de votre appel d'offres : ACCORD CADRE N°26066-S-AC
DE PRESTATIONS DE SURETE, SECURITE ET MULTI-MAINTENANCE POUR LES SITES :
- JARDIN DES PLANTES
- MUSEE DE L'HOMME
- PARC ZOOLOGIQUE DE PARIS
POUR LE COMPTE DU MUSEUM MNHN.
CHRUTH accompagne les structures publiques et privées sur les besoins de nettoyage, d'entretien des locaux et d'organisation de prestations de service.
Serait-il possible d'échanger rapidement afin de vérifier les modalités de réponse et les attentes de Museum National d'Histoire Naturelle ?
Cordialement,</t>
        </is>
      </c>
      <c r="BE73" t="inlineStr">
        <is>
          <t>Bonjour, je vous appelle concernant un appel d'offres publié par Museum National d'Histoire Naturelle. Je souhaite vérifier les informations pratiques : périmètre des prestations, date limite, modalités de visite, contact technique et pièces attendues. Pouvez-vous m'indiquer la bonne personne à contacter ?</t>
        </is>
      </c>
      <c r="BF73" t="inlineStr"/>
      <c r="BG73" t="inlineStr"/>
      <c r="BH73" t="inlineStr"/>
      <c r="BI73" t="inlineStr"/>
      <c r="BJ73" t="inlineStr"/>
      <c r="BK73" t="inlineStr"/>
      <c r="BL73" t="inlineStr"/>
      <c r="BM73" t="inlineStr">
        <is>
          <t>2026-W31</t>
        </is>
      </c>
    </row>
    <row r="74">
      <c r="A74" t="inlineStr">
        <is>
          <t>BOAMP</t>
        </is>
      </c>
      <c r="B74" t="inlineStr">
        <is>
          <t>26-72867</t>
        </is>
      </c>
      <c r="C74" t="inlineStr">
        <is>
          <t>La présente consultation a pour objet des prestations de sécurité incendie, de gardiennage des locaux et d’assistance aux personnels et usagers de l’arrondissement judiciaire de Paris.</t>
        </is>
      </c>
      <c r="D74" t="inlineStr">
        <is>
          <t>Cour d'appel de Paris - SAR</t>
        </is>
      </c>
      <c r="E74" t="inlineStr"/>
      <c r="F74" t="inlineStr"/>
      <c r="G74" t="inlineStr"/>
      <c r="H74" t="inlineStr"/>
      <c r="I74" t="inlineStr">
        <is>
          <t>mp.sar.ca-paris@justice.fr</t>
        </is>
      </c>
      <c r="J74" t="inlineStr">
        <is>
          <t>0144325084</t>
        </is>
      </c>
      <c r="K74" t="inlineStr"/>
      <c r="L74" t="inlineStr"/>
      <c r="M74" t="inlineStr"/>
      <c r="N74" t="inlineStr">
        <is>
          <t>75,77,89,91,93,94,95</t>
        </is>
      </c>
      <c r="O74" t="inlineStr"/>
      <c r="P74" t="inlineStr">
        <is>
          <t>Ile-de-France</t>
        </is>
      </c>
      <c r="Q74" s="15" t="n">
        <v>46226</v>
      </c>
      <c r="R74" t="inlineStr"/>
      <c r="S74" t="inlineStr"/>
      <c r="T74" t="inlineStr">
        <is>
          <t>A_VERIFIER_BUDGET</t>
        </is>
      </c>
      <c r="U74" t="inlineStr"/>
      <c r="V74" t="inlineStr">
        <is>
          <t>non</t>
        </is>
      </c>
      <c r="W74" t="inlineStr">
        <is>
          <t>Personnel</t>
        </is>
      </c>
      <c r="X74" t="inlineStr">
        <is>
          <t>Autre</t>
        </is>
      </c>
      <c r="Y74" t="inlineStr">
        <is>
          <t>SERVICES</t>
        </is>
      </c>
      <c r="Z74" t="inlineStr">
        <is>
          <t>Procédure Restreinte</t>
        </is>
      </c>
      <c r="AA74" t="inlineStr">
        <is>
          <t>Avis de marché</t>
        </is>
      </c>
      <c r="AB74" t="inlineStr">
        <is>
          <t>Gardiennage, Sécurité incendie</t>
        </is>
      </c>
      <c r="AC74" t="inlineStr"/>
      <c r="AD74" s="11" t="inlineStr">
        <is>
          <t>https://www.boamp.fr/pages/avis/?q=idweb:26-72867</t>
        </is>
      </c>
      <c r="AE74" t="inlineStr">
        <is>
          <t>https://www.marches-publics.gouv.fr/entreprise</t>
        </is>
      </c>
      <c r="AF74" t="inlineStr">
        <is>
          <t>https://www.marches-publics.gouv.fr/entreprise</t>
        </is>
      </c>
      <c r="AG74" t="inlineStr"/>
      <c r="AH74" t="inlineStr">
        <is>
          <t>2</t>
        </is>
      </c>
      <c r="AI74" t="inlineStr">
        <is>
          <t>50</t>
        </is>
      </c>
      <c r="AJ74" t="inlineStr">
        <is>
          <t>INFO_PARTIELLE</t>
        </is>
      </c>
      <c r="AK74" t="inlineStr">
        <is>
          <t>10</t>
        </is>
      </c>
      <c r="AL74" s="16" t="inlineStr">
        <is>
          <t>FROID</t>
        </is>
      </c>
      <c r="AM74">
        <f>MIN(100,MAX(0,IF(OR(ISNUMBER(SEARCH("nettoyage",C74)),ISNUMBER(SEARCH("proprete",C74)),ISNUMBER(SEARCH("entretien",C74)),ISNUMBER(SEARCH("hygiene",C74))),35,0)+IF(SUM(--(N74="75")+--(O74="75"),--(N74="77")+--(O74="77"),--(N74="78")+--(O74="78"),--(N74="91")+--(O74="91"),--(N74="92")+--(O74="92"),--(N74="93")+--(O74="93"),--(N74="94")+--(O74="94"),--(N74="95")+--(O74="95"))&gt;0,25,4)+IF(S74="",10,IF(S74&lt;=50000,25,IF(S74&lt;=100000,20,IF(S74&lt;=200000,5,IF(S74&lt;=500000,-10,-20)))))+IF(I74&lt;&gt;"",4,0)+IF(J74&lt;&gt;"",4,0)+IF(E74&lt;&gt;"",3,0)+IF(K74&lt;&gt;"",2,0)+IF(M74&lt;&gt;"",1,0)+IF(AD74&lt;&gt;"",1,0)+IF(R74="",0,IF(R74&lt;TODAY(),-30,IF(R74&lt;TODAY()+5,-15,IF(R74&lt;=TODAY()+15,5,10))))))</f>
        <v/>
      </c>
      <c r="AN74">
        <f>IF(AM74&gt;=65,"CHAUD",IF(AM74&gt;=40,"TIEDE","FROID"))</f>
        <v/>
      </c>
      <c r="AO74">
        <f>IF((IF(I74&lt;&gt;"",1,0)+IF(J74&lt;&gt;"",1,0)+IF(E74&lt;&gt;"",1,0)+IF(K74&lt;&gt;"",1,0))&gt;=4,"Complet",IF((IF(I74&lt;&gt;"",1,0)+IF(J74&lt;&gt;"",1,0)+IF(E74&lt;&gt;"",1,0)+IF(K74&lt;&gt;"",1,0))&gt;=2,"Partiel","Vide"))</f>
        <v/>
      </c>
      <c r="AP74">
        <f>IF(AJ74="DCE_A_TELECHARGER","Telecharger DCE",IF(T74="A_VERIFIER_BUDGET","Verifier budget",IF(AN74="CHAUD","Contacter maintenant",IF(AN74="TIEDE","Surveiller / relancer","Basse priorite"))))</f>
        <v/>
      </c>
      <c r="AQ74" t="inlineStr">
        <is>
          <t>IA_BUDGET_A_VERIFIER</t>
        </is>
      </c>
      <c r="AR74" t="inlineStr">
        <is>
          <t>Verifier le budget dans l'avis source ou le DCE avant decision commerciale.</t>
        </is>
      </c>
      <c r="AS74" t="inlineStr">
        <is>
          <t>SIRET, adresse, ville, budget</t>
        </is>
      </c>
      <c r="AT7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74" t="inlineStr">
        <is>
          <t>Verifier url_avis et DCE si disponible</t>
        </is>
      </c>
      <c r="AV74" t="inlineStr">
        <is>
          <t>LIEN_SEUL</t>
        </is>
      </c>
      <c r="AW74" t="inlineStr"/>
      <c r="AX74" t="inlineStr"/>
      <c r="AY74" t="inlineStr"/>
      <c r="AZ74" t="inlineStr"/>
      <c r="BA74" t="inlineStr"/>
      <c r="BB74" t="inlineStr">
        <is>
          <t>0 pertinence metier faible | +10 budget non affiche (a verifier) | 0 date limite absente</t>
        </is>
      </c>
      <c r="BC7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7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7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74" t="inlineStr"/>
      <c r="BG74" t="inlineStr"/>
      <c r="BH74" t="inlineStr"/>
      <c r="BI74" t="inlineStr"/>
      <c r="BJ74" t="inlineStr"/>
      <c r="BK74" t="inlineStr"/>
      <c r="BL74" t="inlineStr"/>
      <c r="BM74" t="inlineStr">
        <is>
          <t>2026-W30</t>
        </is>
      </c>
    </row>
    <row r="75">
      <c r="A75" t="inlineStr">
        <is>
          <t>BOAMP</t>
        </is>
      </c>
      <c r="B75" t="inlineStr">
        <is>
          <t>26-77508</t>
        </is>
      </c>
      <c r="C75" t="inlineStr">
        <is>
          <t>Nettoyage des zones nécessitant des exigences techniques et habilitations spécifiques</t>
        </is>
      </c>
      <c r="D75" t="inlineStr">
        <is>
          <t>EFS ILE-DE-FRANCE</t>
        </is>
      </c>
      <c r="E75" t="inlineStr">
        <is>
          <t>42882285201811</t>
        </is>
      </c>
      <c r="F75" t="inlineStr">
        <is>
          <t>428822852</t>
        </is>
      </c>
      <c r="G75" t="inlineStr"/>
      <c r="H75" t="inlineStr"/>
      <c r="I75" t="inlineStr">
        <is>
          <t>marches-publics.idf@efs.sante.fr</t>
        </is>
      </c>
      <c r="J75" t="inlineStr">
        <is>
          <t>0143905000</t>
        </is>
      </c>
      <c r="K75" t="inlineStr"/>
      <c r="L75" t="inlineStr"/>
      <c r="M75" t="inlineStr"/>
      <c r="N75" t="inlineStr">
        <is>
          <t>94</t>
        </is>
      </c>
      <c r="O75" t="inlineStr"/>
      <c r="P75" t="inlineStr">
        <is>
          <t>Ile-de-France</t>
        </is>
      </c>
      <c r="Q75" s="15" t="n">
        <v>46239</v>
      </c>
      <c r="R75" s="15" t="n">
        <v>46268</v>
      </c>
      <c r="S75" s="14" t="n">
        <v>450000</v>
      </c>
      <c r="T75" t="inlineStr">
        <is>
          <t>BUDGET_EXPLICITE_OK</t>
        </is>
      </c>
      <c r="U75" t="inlineStr">
        <is>
          <t>450000</t>
        </is>
      </c>
      <c r="V75" t="inlineStr">
        <is>
          <t>oui</t>
        </is>
      </c>
      <c r="W75" t="inlineStr">
        <is>
          <t>Batiments</t>
        </is>
      </c>
      <c r="X75" t="inlineStr">
        <is>
          <t>Autre</t>
        </is>
      </c>
      <c r="Y75" t="inlineStr">
        <is>
          <t>SERVICES</t>
        </is>
      </c>
      <c r="Z75" t="inlineStr">
        <is>
          <t>Procédure Ouverte</t>
        </is>
      </c>
      <c r="AA75" t="inlineStr">
        <is>
          <t>Avis de marché</t>
        </is>
      </c>
      <c r="AB75" t="inlineStr">
        <is>
          <t>Nettoyage de locaux</t>
        </is>
      </c>
      <c r="AC75" t="inlineStr">
        <is>
          <t>['environnementaux']</t>
        </is>
      </c>
      <c r="AD75" s="11" t="inlineStr">
        <is>
          <t>https://www.boamp.fr/pages/avis/?q=idweb:26-77508</t>
        </is>
      </c>
      <c r="AE75" t="inlineStr">
        <is>
          <t>https://www.marches-publics.gouv.fr/?page=entreprise.EntrepriseHome</t>
        </is>
      </c>
      <c r="AF75" t="inlineStr">
        <is>
          <t>https://www.marches-publics.gouv.fr/?page=entreprise.EntrepriseHome</t>
        </is>
      </c>
      <c r="AG75" t="inlineStr">
        <is>
          <t>nettoyage</t>
        </is>
      </c>
      <c r="AH75" t="inlineStr">
        <is>
          <t>3</t>
        </is>
      </c>
      <c r="AI75" t="inlineStr">
        <is>
          <t>68</t>
        </is>
      </c>
      <c r="AJ75" t="inlineStr">
        <is>
          <t>INFO_PARTIELLE</t>
        </is>
      </c>
      <c r="AK75" t="inlineStr">
        <is>
          <t>8.8</t>
        </is>
      </c>
      <c r="AL75" s="16" t="inlineStr">
        <is>
          <t>FROID</t>
        </is>
      </c>
      <c r="AM75">
        <f>MIN(100,MAX(0,IF(OR(ISNUMBER(SEARCH("nettoyage",C75)),ISNUMBER(SEARCH("proprete",C75)),ISNUMBER(SEARCH("entretien",C75)),ISNUMBER(SEARCH("hygiene",C75))),35,0)+IF(SUM(--(N75="75")+--(O75="75"),--(N75="77")+--(O75="77"),--(N75="78")+--(O75="78"),--(N75="91")+--(O75="91"),--(N75="92")+--(O75="92"),--(N75="93")+--(O75="93"),--(N75="94")+--(O75="94"),--(N75="95")+--(O75="95"))&gt;0,25,4)+IF(S75="",10,IF(S75&lt;=50000,25,IF(S75&lt;=100000,20,IF(S75&lt;=200000,5,IF(S75&lt;=500000,-10,-20)))))+IF(I75&lt;&gt;"",4,0)+IF(J75&lt;&gt;"",4,0)+IF(E75&lt;&gt;"",3,0)+IF(K75&lt;&gt;"",2,0)+IF(M75&lt;&gt;"",1,0)+IF(AD75&lt;&gt;"",1,0)+IF(R75="",0,IF(R75&lt;TODAY(),-30,IF(R75&lt;TODAY()+5,-15,IF(R75&lt;=TODAY()+15,5,10))))))</f>
        <v/>
      </c>
      <c r="AN75">
        <f>IF(AM75&gt;=65,"CHAUD",IF(AM75&gt;=40,"TIEDE","FROID"))</f>
        <v/>
      </c>
      <c r="AO75">
        <f>IF((IF(I75&lt;&gt;"",1,0)+IF(J75&lt;&gt;"",1,0)+IF(E75&lt;&gt;"",1,0)+IF(K75&lt;&gt;"",1,0))&gt;=4,"Complet",IF((IF(I75&lt;&gt;"",1,0)+IF(J75&lt;&gt;"",1,0)+IF(E75&lt;&gt;"",1,0)+IF(K75&lt;&gt;"",1,0))&gt;=2,"Partiel","Vide"))</f>
        <v/>
      </c>
      <c r="AP75">
        <f>IF(AJ75="DCE_A_TELECHARGER","Telecharger DCE",IF(T75="A_VERIFIER_BUDGET","Verifier budget",IF(AN75="CHAUD","Contacter maintenant",IF(AN75="TIEDE","Surveiller / relancer","Basse priorite"))))</f>
        <v/>
      </c>
      <c r="AQ75" t="inlineStr">
        <is>
          <t>IA_CONTACT_A_COMPLETER</t>
        </is>
      </c>
      <c r="AR75" t="inlineStr">
        <is>
          <t>Completer les champs manquants depuis l'avis source, le site acheteur ou le DCE.</t>
        </is>
      </c>
      <c r="AS75" t="inlineStr">
        <is>
          <t>adresse, ville</t>
        </is>
      </c>
      <c r="AT7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26-77508. Objet: Nettoyage des zones nécessitant des exigences techniques et habilitations spécifiques. Acheteur: EFS ILE-DE-FRANCE. Lien: https://www.boamp.fr/pages/avis/?q=idweb:26-77508.</t>
        </is>
      </c>
      <c r="AU75" t="inlineStr">
        <is>
          <t>Verifier url_avis et DCE si disponible</t>
        </is>
      </c>
      <c r="AV75" t="inlineStr"/>
      <c r="AW75" t="inlineStr"/>
      <c r="AX75" t="inlineStr"/>
      <c r="AY75" t="inlineStr"/>
      <c r="AZ75" t="inlineStr"/>
      <c r="BA75" t="inlineStr"/>
      <c r="BB75" t="inlineStr">
        <is>
          <t>+33.5 nettoyage + categorie claire (1 termes) | -12.5 budget annualise 450 000 EUR | -13.7 delai 3 j | +1.5 dossier renseigne (3/4)</t>
        </is>
      </c>
      <c r="BC75" t="inlineStr">
        <is>
          <t>EFS ILE-DE-FRANCE publie un AO potentiellement pertinent pour CHRUTH : Nettoyage des zones nécessitant des exigences techniques et habilitations spécifiques. Zone : 94. Budget detecte environ 450 000 EUR. Verifier le lien source avant contact.</t>
        </is>
      </c>
      <c r="BD75" t="inlineStr">
        <is>
          <t>Bonjour,
Je me permets de vous contacter au sujet de votre appel d'offres : Nettoyage des zones nécessitant des exigences techniques et habilitations spécifiques.
CHRUTH accompagne les structures publiques et privées sur les besoins de nettoyage, d'entretien des locaux et d'organisation de prestations de service.
Serait-il possible d'échanger rapidement afin de vérifier les modalités de réponse et les attentes de EFS ILE-DE-FRANCE ?
Cordialement,</t>
        </is>
      </c>
      <c r="BE75" t="inlineStr">
        <is>
          <t>Bonjour, je vous appelle concernant un appel d'offres publié par EFS ILE-DE-FRANCE. Je souhaite vérifier les informations pratiques : périmètre des prestations, date limite, modalités de visite, contact technique et pièces attendues. Pouvez-vous m'indiquer la bonne personne à contacter ?</t>
        </is>
      </c>
      <c r="BF75" t="inlineStr"/>
      <c r="BG75" t="inlineStr"/>
      <c r="BH75" t="inlineStr"/>
      <c r="BI75" t="inlineStr"/>
      <c r="BJ75" t="inlineStr"/>
      <c r="BK75" t="inlineStr"/>
      <c r="BL75" t="inlineStr"/>
      <c r="BM75" t="inlineStr">
        <is>
          <t>2026-W32</t>
        </is>
      </c>
    </row>
    <row r="76">
      <c r="A76" t="inlineStr">
        <is>
          <t>BOAMP</t>
        </is>
      </c>
      <c r="B76" t="inlineStr">
        <is>
          <t>26-79004</t>
        </is>
      </c>
      <c r="C76" t="inlineStr">
        <is>
          <t>Accord-cadre relatif à la mise à disposition de personnel intérimaire</t>
        </is>
      </c>
      <c r="D76" t="inlineStr">
        <is>
          <t>ANRU.</t>
        </is>
      </c>
      <c r="E76" t="inlineStr">
        <is>
          <t>45367825200025</t>
        </is>
      </c>
      <c r="F76" t="inlineStr">
        <is>
          <t>453678252</t>
        </is>
      </c>
      <c r="G76" t="inlineStr"/>
      <c r="H76" t="inlineStr"/>
      <c r="I76" t="inlineStr">
        <is>
          <t>scapet@anru.fr</t>
        </is>
      </c>
      <c r="J76" t="inlineStr">
        <is>
          <t>0761066208</t>
        </is>
      </c>
      <c r="K76" t="inlineStr"/>
      <c r="L76" t="inlineStr"/>
      <c r="M76" t="inlineStr"/>
      <c r="N76" t="inlineStr">
        <is>
          <t>93</t>
        </is>
      </c>
      <c r="O76" t="inlineStr"/>
      <c r="P76" t="inlineStr">
        <is>
          <t>Ile-de-France</t>
        </is>
      </c>
      <c r="Q76" s="15" t="n">
        <v>46243</v>
      </c>
      <c r="R76" s="15" t="n">
        <v>46272</v>
      </c>
      <c r="S76" t="inlineStr"/>
      <c r="T76" t="inlineStr">
        <is>
          <t>A_VERIFIER_BUDGET</t>
        </is>
      </c>
      <c r="U76" t="inlineStr"/>
      <c r="V76" t="inlineStr">
        <is>
          <t>non</t>
        </is>
      </c>
      <c r="W76" t="inlineStr">
        <is>
          <t>Personnel</t>
        </is>
      </c>
      <c r="X76" t="inlineStr">
        <is>
          <t>Autre</t>
        </is>
      </c>
      <c r="Y76" t="inlineStr">
        <is>
          <t>SERVICES</t>
        </is>
      </c>
      <c r="Z76" t="inlineStr">
        <is>
          <t>Procédure Ouverte</t>
        </is>
      </c>
      <c r="AA76" t="inlineStr">
        <is>
          <t>Avis de marché</t>
        </is>
      </c>
      <c r="AB76" t="inlineStr">
        <is>
          <t>Prestations de services</t>
        </is>
      </c>
      <c r="AC76" t="inlineStr">
        <is>
          <t>['sociaux', 'environnementaux']</t>
        </is>
      </c>
      <c r="AD76" s="11" t="inlineStr">
        <is>
          <t>https://www.boamp.fr/pages/avis/?q=idweb:26-79004</t>
        </is>
      </c>
      <c r="AE76" t="inlineStr">
        <is>
          <t>https://www.marches-publics.gouv.fr/entreprise</t>
        </is>
      </c>
      <c r="AF76" t="inlineStr">
        <is>
          <t>https://www.marches-publics.gouv.fr/entreprise</t>
        </is>
      </c>
      <c r="AG76" t="inlineStr"/>
      <c r="AH76" t="inlineStr">
        <is>
          <t>3</t>
        </is>
      </c>
      <c r="AI76" t="inlineStr">
        <is>
          <t>60</t>
        </is>
      </c>
      <c r="AJ76" t="inlineStr">
        <is>
          <t>INFO_PARTIELLE</t>
        </is>
      </c>
      <c r="AK76" t="inlineStr">
        <is>
          <t>8.5</t>
        </is>
      </c>
      <c r="AL76" s="16" t="inlineStr">
        <is>
          <t>FROID</t>
        </is>
      </c>
      <c r="AM76">
        <f>MIN(100,MAX(0,IF(OR(ISNUMBER(SEARCH("nettoyage",C76)),ISNUMBER(SEARCH("proprete",C76)),ISNUMBER(SEARCH("entretien",C76)),ISNUMBER(SEARCH("hygiene",C76))),35,0)+IF(SUM(--(N76="75")+--(O76="75"),--(N76="77")+--(O76="77"),--(N76="78")+--(O76="78"),--(N76="91")+--(O76="91"),--(N76="92")+--(O76="92"),--(N76="93")+--(O76="93"),--(N76="94")+--(O76="94"),--(N76="95")+--(O76="95"))&gt;0,25,4)+IF(S76="",10,IF(S76&lt;=50000,25,IF(S76&lt;=100000,20,IF(S76&lt;=200000,5,IF(S76&lt;=500000,-10,-20)))))+IF(I76&lt;&gt;"",4,0)+IF(J76&lt;&gt;"",4,0)+IF(E76&lt;&gt;"",3,0)+IF(K76&lt;&gt;"",2,0)+IF(M76&lt;&gt;"",1,0)+IF(AD76&lt;&gt;"",1,0)+IF(R76="",0,IF(R76&lt;TODAY(),-30,IF(R76&lt;TODAY()+5,-15,IF(R76&lt;=TODAY()+15,5,10))))))</f>
        <v/>
      </c>
      <c r="AN76">
        <f>IF(AM76&gt;=65,"CHAUD",IF(AM76&gt;=40,"TIEDE","FROID"))</f>
        <v/>
      </c>
      <c r="AO76">
        <f>IF((IF(I76&lt;&gt;"",1,0)+IF(J76&lt;&gt;"",1,0)+IF(E76&lt;&gt;"",1,0)+IF(K76&lt;&gt;"",1,0))&gt;=4,"Complet",IF((IF(I76&lt;&gt;"",1,0)+IF(J76&lt;&gt;"",1,0)+IF(E76&lt;&gt;"",1,0)+IF(K76&lt;&gt;"",1,0))&gt;=2,"Partiel","Vide"))</f>
        <v/>
      </c>
      <c r="AP76">
        <f>IF(AJ76="DCE_A_TELECHARGER","Telecharger DCE",IF(T76="A_VERIFIER_BUDGET","Verifier budget",IF(AN76="CHAUD","Contacter maintenant",IF(AN76="TIEDE","Surveiller / relancer","Basse priorite"))))</f>
        <v/>
      </c>
      <c r="AQ76" t="inlineStr">
        <is>
          <t>IA_BUDGET_A_VERIFIER</t>
        </is>
      </c>
      <c r="AR76" t="inlineStr">
        <is>
          <t>Verifier le budget dans l'avis source ou le DCE avant decision commerciale.</t>
        </is>
      </c>
      <c r="AS76" t="inlineStr">
        <is>
          <t>adresse, ville, budget</t>
        </is>
      </c>
      <c r="AT7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26-79004. Objet: Accord-cadre relatif à la mise à disposition de personnel intérimaire. Acheteur: ANRU.. Lien: https://www.boamp.fr/pages/avis/?q=idweb:26-79004.</t>
        </is>
      </c>
      <c r="AU76" t="inlineStr">
        <is>
          <t>Verifier url_avis et DCE si disponible</t>
        </is>
      </c>
      <c r="AV76" t="inlineStr">
        <is>
          <t>LIEN_SEUL</t>
        </is>
      </c>
      <c r="AW76" t="inlineStr"/>
      <c r="AX76" t="inlineStr"/>
      <c r="AY76" t="inlineStr"/>
      <c r="AZ76" t="inlineStr"/>
      <c r="BA76" t="inlineStr"/>
      <c r="BB76" t="inlineStr">
        <is>
          <t>0 pertinence metier faible | +10 budget non affiche (a verifier) | -3.0 delai 7 j | +1.5 dossier renseigne (3/4)</t>
        </is>
      </c>
      <c r="BC76" t="inlineStr">
        <is>
          <t>ANRU. publie un AO potentiellement pertinent pour CHRUTH : Accord-cadre relatif à la mise à disposition de personnel intérimaire. Zone : 93. Budget a verifier. Verifier le lien source avant contact.</t>
        </is>
      </c>
      <c r="BD76" t="inlineStr">
        <is>
          <t>Bonjour,
Je me permets de vous contacter au sujet de votre appel d'offres : Accord-cadre relatif à la mise à disposition de personnel intérimaire.
CHRUTH accompagne les structures publiques et privées sur les besoins de nettoyage, d'entretien des locaux et d'organisation de prestations de service.
Serait-il possible d'échanger rapidement afin de vérifier les modalités de réponse et les attentes de ANRU. ?
Cordialement,</t>
        </is>
      </c>
      <c r="BE76" t="inlineStr">
        <is>
          <t>Bonjour, je vous appelle concernant un appel d'offres publié par ANRU.. Je souhaite vérifier les informations pratiques : périmètre des prestations, date limite, modalités de visite, contact technique et pièces attendues. Pouvez-vous m'indiquer la bonne personne à contacter ?</t>
        </is>
      </c>
      <c r="BF76" t="inlineStr"/>
      <c r="BG76" t="inlineStr"/>
      <c r="BH76" t="inlineStr"/>
      <c r="BI76" t="inlineStr"/>
      <c r="BJ76" t="inlineStr"/>
      <c r="BK76" t="inlineStr"/>
      <c r="BL76" t="inlineStr"/>
      <c r="BM76" t="inlineStr">
        <is>
          <t>2026-W32</t>
        </is>
      </c>
    </row>
    <row r="77">
      <c r="A77" t="inlineStr">
        <is>
          <t>BOAMP</t>
        </is>
      </c>
      <c r="B77" t="inlineStr">
        <is>
          <t>26-81752</t>
        </is>
      </c>
      <c r="C77" t="inlineStr">
        <is>
          <t>Prestations d'accompagnement au recrutement et de mise à disposition de personnel intérimaire et prestations associées</t>
        </is>
      </c>
      <c r="D77" t="inlineStr">
        <is>
          <t>Conseil National Ordre Des Pharmaciens</t>
        </is>
      </c>
      <c r="E77" t="inlineStr">
        <is>
          <t>17750111101763</t>
        </is>
      </c>
      <c r="F77" t="inlineStr">
        <is>
          <t>177501111</t>
        </is>
      </c>
      <c r="G77" t="inlineStr"/>
      <c r="H77" t="inlineStr"/>
      <c r="I77" t="inlineStr">
        <is>
          <t>fpette@ordre.pharmacien.fr</t>
        </is>
      </c>
      <c r="J77" t="inlineStr">
        <is>
          <t>+33 156213580</t>
        </is>
      </c>
      <c r="K77" t="inlineStr"/>
      <c r="L77" t="inlineStr"/>
      <c r="M77" t="inlineStr"/>
      <c r="N77" t="inlineStr">
        <is>
          <t>75</t>
        </is>
      </c>
      <c r="O77" t="inlineStr"/>
      <c r="P77" t="inlineStr">
        <is>
          <t>Ile-de-France</t>
        </is>
      </c>
      <c r="Q77" s="15" t="n">
        <v>46255</v>
      </c>
      <c r="R77" s="15" t="n">
        <v>46293</v>
      </c>
      <c r="S77" s="14" t="n">
        <v>2500000</v>
      </c>
      <c r="T77" t="inlineStr">
        <is>
          <t>BUDGET_EXPLICITE_OK</t>
        </is>
      </c>
      <c r="U77" t="inlineStr">
        <is>
          <t>2500000.0</t>
        </is>
      </c>
      <c r="V77" t="inlineStr">
        <is>
          <t>non</t>
        </is>
      </c>
      <c r="W77" t="inlineStr">
        <is>
          <t>Personnel</t>
        </is>
      </c>
      <c r="X77" t="inlineStr">
        <is>
          <t>Autre</t>
        </is>
      </c>
      <c r="Y77" t="inlineStr">
        <is>
          <t>SERVICES</t>
        </is>
      </c>
      <c r="Z77" t="inlineStr">
        <is>
          <t>Procédure Ouverte</t>
        </is>
      </c>
      <c r="AA77" t="inlineStr">
        <is>
          <t>Avis de marché</t>
        </is>
      </c>
      <c r="AB77" t="inlineStr">
        <is>
          <t>Prestations de services</t>
        </is>
      </c>
      <c r="AC77" t="inlineStr"/>
      <c r="AD77" s="11" t="inlineStr">
        <is>
          <t>https://www.boamp.fr/pages/avis/?q=idweb:26-81752</t>
        </is>
      </c>
      <c r="AE77" t="inlineStr">
        <is>
          <t>https://ordre-pharmacien.e-marchespublics.com</t>
        </is>
      </c>
      <c r="AF77" t="inlineStr">
        <is>
          <t>https://ordre-pharmacien.e-marchespublics.com</t>
        </is>
      </c>
      <c r="AG77" t="inlineStr"/>
      <c r="AH77" t="inlineStr">
        <is>
          <t>3</t>
        </is>
      </c>
      <c r="AI77" t="inlineStr">
        <is>
          <t>60</t>
        </is>
      </c>
      <c r="AJ77" t="inlineStr">
        <is>
          <t>INFO_PARTIELLE</t>
        </is>
      </c>
      <c r="AK77" t="inlineStr">
        <is>
          <t>0.0</t>
        </is>
      </c>
      <c r="AL77" s="16" t="inlineStr">
        <is>
          <t>FROID</t>
        </is>
      </c>
      <c r="AM77">
        <f>MIN(100,MAX(0,IF(OR(ISNUMBER(SEARCH("nettoyage",C77)),ISNUMBER(SEARCH("proprete",C77)),ISNUMBER(SEARCH("entretien",C77)),ISNUMBER(SEARCH("hygiene",C77))),35,0)+IF(SUM(--(N77="75")+--(O77="75"),--(N77="77")+--(O77="77"),--(N77="78")+--(O77="78"),--(N77="91")+--(O77="91"),--(N77="92")+--(O77="92"),--(N77="93")+--(O77="93"),--(N77="94")+--(O77="94"),--(N77="95")+--(O77="95"))&gt;0,25,4)+IF(S77="",10,IF(S77&lt;=50000,25,IF(S77&lt;=100000,20,IF(S77&lt;=200000,5,IF(S77&lt;=500000,-10,-20)))))+IF(I77&lt;&gt;"",4,0)+IF(J77&lt;&gt;"",4,0)+IF(E77&lt;&gt;"",3,0)+IF(K77&lt;&gt;"",2,0)+IF(M77&lt;&gt;"",1,0)+IF(AD77&lt;&gt;"",1,0)+IF(R77="",0,IF(R77&lt;TODAY(),-30,IF(R77&lt;TODAY()+5,-15,IF(R77&lt;=TODAY()+15,5,10))))))</f>
        <v/>
      </c>
      <c r="AN77">
        <f>IF(AM77&gt;=65,"CHAUD",IF(AM77&gt;=40,"TIEDE","FROID"))</f>
        <v/>
      </c>
      <c r="AO77">
        <f>IF((IF(I77&lt;&gt;"",1,0)+IF(J77&lt;&gt;"",1,0)+IF(E77&lt;&gt;"",1,0)+IF(K77&lt;&gt;"",1,0))&gt;=4,"Complet",IF((IF(I77&lt;&gt;"",1,0)+IF(J77&lt;&gt;"",1,0)+IF(E77&lt;&gt;"",1,0)+IF(K77&lt;&gt;"",1,0))&gt;=2,"Partiel","Vide"))</f>
        <v/>
      </c>
      <c r="AP77">
        <f>IF(AJ77="DCE_A_TELECHARGER","Telecharger DCE",IF(T77="A_VERIFIER_BUDGET","Verifier budget",IF(AN77="CHAUD","Contacter maintenant",IF(AN77="TIEDE","Surveiller / relancer","Basse priorite"))))</f>
        <v/>
      </c>
      <c r="AQ77" t="inlineStr">
        <is>
          <t>IA_CONTACT_A_COMPLETER</t>
        </is>
      </c>
      <c r="AR77" t="inlineStr">
        <is>
          <t>Completer les champs manquants depuis l'avis source, le site acheteur ou le DCE.</t>
        </is>
      </c>
      <c r="AS77" t="inlineStr">
        <is>
          <t>adresse, ville</t>
        </is>
      </c>
      <c r="AT7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26-81752. Objet: Prestations d'accompagnement au recrutement et de mise à disposition de personnel intérimaire et prestations associées. Acheteur: Conseil National Ordre Des Pharmaciens. Lien: https://www.boamp.fr/pages/avis/?q=idweb:26-81752.</t>
        </is>
      </c>
      <c r="AU77" t="inlineStr">
        <is>
          <t>Verifier url_avis et DCE si disponible</t>
        </is>
      </c>
      <c r="AV77" t="inlineStr"/>
      <c r="AW77" t="inlineStr"/>
      <c r="AX77" t="inlineStr"/>
      <c r="AY77" t="inlineStr"/>
      <c r="AZ77" t="inlineStr"/>
      <c r="BA77" t="inlineStr"/>
      <c r="BB77" t="inlineStr">
        <is>
          <t>0 pertinence metier faible | -20.0 budget annualise 2 500 000 EUR | +9.5 delai 28 j | +1.5 dossier renseigne (3/4)</t>
        </is>
      </c>
      <c r="BC77" t="inlineStr">
        <is>
          <t>Conseil National Ordre Des Pharmaciens publie un AO potentiellement pertinent pour CHRUTH : Prestations d'accompagnement au recrutement et de mise à disposition de personnel intérimaire et prestations associées. Zone : 75. Budget detecte environ 2 500 000 EUR. Verifier le lien source avant contact.</t>
        </is>
      </c>
      <c r="BD77" t="inlineStr">
        <is>
          <t>Bonjour,
Je me permets de vous contacter au sujet de votre appel d'offres : Prestations d'accompagnement au recrutement et de mise à disposition de personnel intérimaire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Conseil National Ordre Des Pharmaciens ?
Cordialement,</t>
        </is>
      </c>
      <c r="BE77" t="inlineStr">
        <is>
          <t>Bonjour, je vous appelle concernant un appel d'offres publié par Conseil National Ordre Des Pharmaciens. Je souhaite vérifier les informations pratiques : périmètre des prestations, date limite, modalités de visite, contact technique et pièces attendues. Pouvez-vous m'indiquer la bonne personne à contacter ?</t>
        </is>
      </c>
      <c r="BF77" t="inlineStr"/>
      <c r="BG77" t="inlineStr"/>
      <c r="BH77" t="inlineStr"/>
      <c r="BI77" t="inlineStr"/>
      <c r="BJ77" t="inlineStr"/>
      <c r="BK77" t="inlineStr"/>
      <c r="BL77" t="inlineStr"/>
      <c r="BM77" t="inlineStr">
        <is>
          <t>2026-W34</t>
        </is>
      </c>
    </row>
    <row r="78">
      <c r="A78" t="inlineStr">
        <is>
          <t>BOAMP</t>
        </is>
      </c>
      <c r="B78" t="inlineStr">
        <is>
          <t>26-80563</t>
        </is>
      </c>
      <c r="C78" t="inlineStr">
        <is>
          <t>ACCORD-CADRE RELATIF AUX PRESTATIONS DE SECURITE DES PERSONNES ET DE SURVEILLANCE DES BIENS POUR LES SITES DES CIRCONSCRIPTIONS DES DELEGATIONS REGIONALES D’ILE-DE-FRANCE DU CNRS</t>
        </is>
      </c>
      <c r="D78" t="inlineStr">
        <is>
          <t>CNRS VILLEJUIF</t>
        </is>
      </c>
      <c r="E78" t="inlineStr">
        <is>
          <t>18008901303720</t>
        </is>
      </c>
      <c r="F78" t="inlineStr">
        <is>
          <t>180089013</t>
        </is>
      </c>
      <c r="G78" t="inlineStr"/>
      <c r="H78" t="inlineStr"/>
      <c r="I78" t="inlineStr">
        <is>
          <t>fabien.allaire@cnrs.fr</t>
        </is>
      </c>
      <c r="J78" t="inlineStr">
        <is>
          <t>0890130372</t>
        </is>
      </c>
      <c r="K78" t="inlineStr"/>
      <c r="L78" t="inlineStr"/>
      <c r="M78" t="inlineStr"/>
      <c r="N78" t="inlineStr">
        <is>
          <t>94,91,75,92</t>
        </is>
      </c>
      <c r="O78" t="inlineStr"/>
      <c r="P78" t="inlineStr">
        <is>
          <t>Ile-de-France</t>
        </is>
      </c>
      <c r="Q78" s="15" t="n">
        <v>46250</v>
      </c>
      <c r="R78" s="15" t="n">
        <v>46252</v>
      </c>
      <c r="S78" s="14" t="n">
        <v>18800000</v>
      </c>
      <c r="T78" t="inlineStr">
        <is>
          <t>BUDGET_EXPLICITE_OK</t>
        </is>
      </c>
      <c r="U78" t="inlineStr">
        <is>
          <t>112800000</t>
        </is>
      </c>
      <c r="V78" t="inlineStr">
        <is>
          <t>oui</t>
        </is>
      </c>
      <c r="W78" t="inlineStr">
        <is>
          <t>Personnel</t>
        </is>
      </c>
      <c r="X78" t="inlineStr">
        <is>
          <t>Autre</t>
        </is>
      </c>
      <c r="Y78" t="inlineStr">
        <is>
          <t>SERVICES</t>
        </is>
      </c>
      <c r="Z78" t="inlineStr">
        <is>
          <t>Procédure Ouverte</t>
        </is>
      </c>
      <c r="AA78" t="inlineStr">
        <is>
          <t>Avis de marché</t>
        </is>
      </c>
      <c r="AB78" t="inlineStr">
        <is>
          <t>Gardiennage, Sécurité incendie, Surveillance</t>
        </is>
      </c>
      <c r="AC78" t="inlineStr">
        <is>
          <t>['sociaux', 'environnementaux']</t>
        </is>
      </c>
      <c r="AD78" s="11" t="inlineStr">
        <is>
          <t>https://www.boamp.fr/pages/avis/?q=idweb:26-80563</t>
        </is>
      </c>
      <c r="AE78" t="inlineStr">
        <is>
          <t>https://www.marches-publics.gouv.fr/entreprise</t>
        </is>
      </c>
      <c r="AF78" t="inlineStr">
        <is>
          <t>https://www.marches-publics.gouv.fr/entreprise</t>
        </is>
      </c>
      <c r="AG78" t="inlineStr"/>
      <c r="AH78" t="inlineStr">
        <is>
          <t>3</t>
        </is>
      </c>
      <c r="AI78" t="inlineStr">
        <is>
          <t>60</t>
        </is>
      </c>
      <c r="AJ78" t="inlineStr">
        <is>
          <t>INFO_PARTIELLE</t>
        </is>
      </c>
      <c r="AK78" t="inlineStr">
        <is>
          <t>0.0</t>
        </is>
      </c>
      <c r="AL78" s="16" t="inlineStr">
        <is>
          <t>FROID</t>
        </is>
      </c>
      <c r="AM78">
        <f>MIN(100,MAX(0,IF(OR(ISNUMBER(SEARCH("nettoyage",C78)),ISNUMBER(SEARCH("proprete",C78)),ISNUMBER(SEARCH("entretien",C78)),ISNUMBER(SEARCH("hygiene",C78))),35,0)+IF(SUM(--(N78="75")+--(O78="75"),--(N78="77")+--(O78="77"),--(N78="78")+--(O78="78"),--(N78="91")+--(O78="91"),--(N78="92")+--(O78="92"),--(N78="93")+--(O78="93"),--(N78="94")+--(O78="94"),--(N78="95")+--(O78="95"))&gt;0,25,4)+IF(S78="",10,IF(S78&lt;=50000,25,IF(S78&lt;=100000,20,IF(S78&lt;=200000,5,IF(S78&lt;=500000,-10,-20)))))+IF(I78&lt;&gt;"",4,0)+IF(J78&lt;&gt;"",4,0)+IF(E78&lt;&gt;"",3,0)+IF(K78&lt;&gt;"",2,0)+IF(M78&lt;&gt;"",1,0)+IF(AD78&lt;&gt;"",1,0)+IF(R78="",0,IF(R78&lt;TODAY(),-30,IF(R78&lt;TODAY()+5,-15,IF(R78&lt;=TODAY()+15,5,10))))))</f>
        <v/>
      </c>
      <c r="AN78">
        <f>IF(AM78&gt;=65,"CHAUD",IF(AM78&gt;=40,"TIEDE","FROID"))</f>
        <v/>
      </c>
      <c r="AO78">
        <f>IF((IF(I78&lt;&gt;"",1,0)+IF(J78&lt;&gt;"",1,0)+IF(E78&lt;&gt;"",1,0)+IF(K78&lt;&gt;"",1,0))&gt;=4,"Complet",IF((IF(I78&lt;&gt;"",1,0)+IF(J78&lt;&gt;"",1,0)+IF(E78&lt;&gt;"",1,0)+IF(K78&lt;&gt;"",1,0))&gt;=2,"Partiel","Vide"))</f>
        <v/>
      </c>
      <c r="AP78">
        <f>IF(AJ78="DCE_A_TELECHARGER","Telecharger DCE",IF(T78="A_VERIFIER_BUDGET","Verifier budget",IF(AN78="CHAUD","Contacter maintenant",IF(AN78="TIEDE","Surveiller / relancer","Basse priorite"))))</f>
        <v/>
      </c>
      <c r="AQ78" t="inlineStr">
        <is>
          <t>IA_CONTACT_A_COMPLETER</t>
        </is>
      </c>
      <c r="AR78" t="inlineStr">
        <is>
          <t>Completer les champs manquants depuis l'avis source, le site acheteur ou le DCE.</t>
        </is>
      </c>
      <c r="AS78" t="inlineStr">
        <is>
          <t>adresse, ville</t>
        </is>
      </c>
      <c r="AT7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26-80563. Objet: ACCORD-CADRE RELATIF AUX PRESTATIONS DE SECURITE DES PERSONNES ET DE SURVEILLANCE DES BIENS POUR LES SITES DES CIRCONSCRIPTIONS DES DELEGATIONS REGIONALES D’ILE-DE-FRANCE DU CNRS. Acheteur: CNRS VILLEJUIF. Lien: https://www.boamp.fr/pages/avis/?q=idweb:26-80563.</t>
        </is>
      </c>
      <c r="AU78" t="inlineStr">
        <is>
          <t>Verifier url_avis et DCE si disponible</t>
        </is>
      </c>
      <c r="AV78" t="inlineStr"/>
      <c r="AW78" t="inlineStr"/>
      <c r="AX78" t="inlineStr"/>
      <c r="AY78" t="inlineStr"/>
      <c r="AZ78" t="inlineStr"/>
      <c r="BA78" t="inlineStr"/>
      <c r="BB78" t="inlineStr">
        <is>
          <t>0 pertinence metier faible | -20.0 budget annualise 112 800 000 EUR | -30 AO expire | +1.5 dossier renseigne (3/4)</t>
        </is>
      </c>
      <c r="BC78" t="inlineStr">
        <is>
          <t>CNRS VILLEJUIF publie un AO potentiellement pertinent pour CHRUTH : ACCORD-CADRE RELATIF AUX PRESTATIONS DE SECURITE DES PERSONNES ET DE SURVEILLANCE DES BIENS POUR LES SITES DES CIRCONSCRIPTIONS DES DELEGATIONS REGIONALES D’ILE-DE-FRANCE DU CNRS. Zone : 94,91,75,92. Budget detecte environ 18 800 000 EUR. Verifier le lien source avant contact.</t>
        </is>
      </c>
      <c r="BD78" t="inlineStr">
        <is>
          <t>Bonjour,
Je me permets de vous contacter au sujet de votre appel d'offres : ACCORD-CADRE RELATIF AUX PRESTATIONS DE SECURITE DES PERSONNES ET DE SURVEILLANCE DES BIENS POUR LES SITES DES CIRCONSCRIPTIONS DES DELEGATIONS REGIONALES D’ILE-DE-FRANCE DU CNRS.
CHRUTH accompagne les structures publiques et privées sur les besoins de nettoyage, d'entretien des locaux et d'organisation de prestations de service.
Serait-il possible d'échanger rapidement afin de vérifier les modalités de réponse et les attentes de CNRS VILLEJUIF ?
Cordialement,</t>
        </is>
      </c>
      <c r="BE78" t="inlineStr">
        <is>
          <t>Bonjour, je vous appelle concernant un appel d'offres publié par CNRS VILLEJUIF. Je souhaite vérifier les informations pratiques : périmètre des prestations, date limite, modalités de visite, contact technique et pièces attendues. Pouvez-vous m'indiquer la bonne personne à contacter ?</t>
        </is>
      </c>
      <c r="BF78" t="inlineStr"/>
      <c r="BG78" t="inlineStr"/>
      <c r="BH78" t="inlineStr"/>
      <c r="BI78" t="inlineStr"/>
      <c r="BJ78" t="inlineStr"/>
      <c r="BK78" t="inlineStr"/>
      <c r="BL78" t="inlineStr"/>
      <c r="BM78" t="inlineStr">
        <is>
          <t>2026-W33</t>
        </is>
      </c>
    </row>
    <row r="79">
      <c r="A79" t="inlineStr">
        <is>
          <t>BOAMP</t>
        </is>
      </c>
      <c r="B79" t="inlineStr">
        <is>
          <t>26-80651</t>
        </is>
      </c>
      <c r="C79" t="inlineStr">
        <is>
          <t>ENTRETIEN DES ESPACES VERTS</t>
        </is>
      </c>
      <c r="D79" t="inlineStr">
        <is>
          <t>COMMUNE DE FONTENAY-SOUS-BOIS</t>
        </is>
      </c>
      <c r="E79" t="inlineStr">
        <is>
          <t>21940033000011</t>
        </is>
      </c>
      <c r="F79" t="inlineStr">
        <is>
          <t>219400330</t>
        </is>
      </c>
      <c r="G79" t="inlineStr"/>
      <c r="H79" t="inlineStr"/>
      <c r="I79" t="inlineStr">
        <is>
          <t>achats@fontenay-sous-bois.fr</t>
        </is>
      </c>
      <c r="J79" t="inlineStr">
        <is>
          <t>+33 149747474</t>
        </is>
      </c>
      <c r="K79" t="inlineStr"/>
      <c r="L79" t="inlineStr"/>
      <c r="M79" t="inlineStr"/>
      <c r="N79" t="inlineStr">
        <is>
          <t>94</t>
        </is>
      </c>
      <c r="O79" t="inlineStr"/>
      <c r="P79" t="inlineStr">
        <is>
          <t>Ile-de-France</t>
        </is>
      </c>
      <c r="Q79" s="15" t="n">
        <v>46250</v>
      </c>
      <c r="R79" s="15" t="n">
        <v>46283</v>
      </c>
      <c r="S79" s="14" t="n">
        <v>1500000</v>
      </c>
      <c r="T79" t="inlineStr">
        <is>
          <t>BUDGET_EXPLICITE_OK</t>
        </is>
      </c>
      <c r="U79" t="inlineStr">
        <is>
          <t>1500000.0</t>
        </is>
      </c>
      <c r="V79" t="inlineStr">
        <is>
          <t>non</t>
        </is>
      </c>
      <c r="W79" t="inlineStr">
        <is>
          <t>Personnel</t>
        </is>
      </c>
      <c r="X79" t="inlineStr">
        <is>
          <t>Mairie</t>
        </is>
      </c>
      <c r="Y79" t="inlineStr">
        <is>
          <t>SERVICES</t>
        </is>
      </c>
      <c r="Z79" t="inlineStr">
        <is>
          <t>Procédure Ouverte</t>
        </is>
      </c>
      <c r="AA79" t="inlineStr">
        <is>
          <t>Avis de marché</t>
        </is>
      </c>
      <c r="AB79" t="inlineStr">
        <is>
          <t>Espaces verts</t>
        </is>
      </c>
      <c r="AC79" t="inlineStr"/>
      <c r="AD79" s="11" t="inlineStr">
        <is>
          <t>https://www.boamp.fr/pages/avis/?q=idweb:26-80651</t>
        </is>
      </c>
      <c r="AE79" t="inlineStr">
        <is>
          <t>https://www.fontenay.fr/index.html</t>
        </is>
      </c>
      <c r="AF79" t="inlineStr"/>
      <c r="AG79" t="inlineStr"/>
      <c r="AH79" t="inlineStr">
        <is>
          <t>3</t>
        </is>
      </c>
      <c r="AI79" t="inlineStr">
        <is>
          <t>60</t>
        </is>
      </c>
      <c r="AJ79" t="inlineStr">
        <is>
          <t>INFO_PARTIELLE</t>
        </is>
      </c>
      <c r="AK79" t="inlineStr">
        <is>
          <t>0.0</t>
        </is>
      </c>
      <c r="AL79" s="16" t="inlineStr">
        <is>
          <t>FROID</t>
        </is>
      </c>
      <c r="AM79">
        <f>MIN(100,MAX(0,IF(OR(ISNUMBER(SEARCH("nettoyage",C79)),ISNUMBER(SEARCH("proprete",C79)),ISNUMBER(SEARCH("entretien",C79)),ISNUMBER(SEARCH("hygiene",C79))),35,0)+IF(SUM(--(N79="75")+--(O79="75"),--(N79="77")+--(O79="77"),--(N79="78")+--(O79="78"),--(N79="91")+--(O79="91"),--(N79="92")+--(O79="92"),--(N79="93")+--(O79="93"),--(N79="94")+--(O79="94"),--(N79="95")+--(O79="95"))&gt;0,25,4)+IF(S79="",10,IF(S79&lt;=50000,25,IF(S79&lt;=100000,20,IF(S79&lt;=200000,5,IF(S79&lt;=500000,-10,-20)))))+IF(I79&lt;&gt;"",4,0)+IF(J79&lt;&gt;"",4,0)+IF(E79&lt;&gt;"",3,0)+IF(K79&lt;&gt;"",2,0)+IF(M79&lt;&gt;"",1,0)+IF(AD79&lt;&gt;"",1,0)+IF(R79="",0,IF(R79&lt;TODAY(),-30,IF(R79&lt;TODAY()+5,-15,IF(R79&lt;=TODAY()+15,5,10))))))</f>
        <v/>
      </c>
      <c r="AN79">
        <f>IF(AM79&gt;=65,"CHAUD",IF(AM79&gt;=40,"TIEDE","FROID"))</f>
        <v/>
      </c>
      <c r="AO79">
        <f>IF((IF(I79&lt;&gt;"",1,0)+IF(J79&lt;&gt;"",1,0)+IF(E79&lt;&gt;"",1,0)+IF(K79&lt;&gt;"",1,0))&gt;=4,"Complet",IF((IF(I79&lt;&gt;"",1,0)+IF(J79&lt;&gt;"",1,0)+IF(E79&lt;&gt;"",1,0)+IF(K79&lt;&gt;"",1,0))&gt;=2,"Partiel","Vide"))</f>
        <v/>
      </c>
      <c r="AP79">
        <f>IF(AJ79="DCE_A_TELECHARGER","Telecharger DCE",IF(T79="A_VERIFIER_BUDGET","Verifier budget",IF(AN79="CHAUD","Contacter maintenant",IF(AN79="TIEDE","Surveiller / relancer","Basse priorite"))))</f>
        <v/>
      </c>
      <c r="AQ79" t="inlineStr">
        <is>
          <t>IA_CONTACT_A_COMPLETER</t>
        </is>
      </c>
      <c r="AR79" t="inlineStr">
        <is>
          <t>Completer les champs manquants depuis l'avis source, le site acheteur ou le DCE.</t>
        </is>
      </c>
      <c r="AS79" t="inlineStr">
        <is>
          <t>adresse, ville</t>
        </is>
      </c>
      <c r="AT7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26-80651. Objet: ENTRETIEN DES ESPACES VERTS. Acheteur: COMMUNE DE FONTENAY-SOUS-BOIS. Lien: https://www.boamp.fr/pages/avis/?q=idweb:26-80651.</t>
        </is>
      </c>
      <c r="AU79" t="inlineStr">
        <is>
          <t>Verifier url_avis et DCE si disponible</t>
        </is>
      </c>
      <c r="AV79" t="inlineStr"/>
      <c r="AW79" t="inlineStr"/>
      <c r="AX79" t="inlineStr"/>
      <c r="AY79" t="inlineStr"/>
      <c r="AZ79" t="inlineStr"/>
      <c r="BA79" t="inlineStr"/>
      <c r="BB79" t="inlineStr">
        <is>
          <t>0 pertinence metier faible | -20.0 budget annualise 1 500 000 EUR | +10 secteur cible Mairie | +7.0 delai 18 j | +1.5 dossier renseigne (3/4)</t>
        </is>
      </c>
      <c r="BC79" t="inlineStr">
        <is>
          <t>COMMUNE DE FONTENAY-SOUS-BOIS publie un AO potentiellement pertinent pour CHRUTH : ENTRETIEN DES ESPACES VERTS. Zone : 94. Budget detecte environ 1 500 000 EUR. Verifier le lien source avant contact.</t>
        </is>
      </c>
      <c r="BD79"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79"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79" t="inlineStr"/>
      <c r="BG79" t="inlineStr"/>
      <c r="BH79" t="inlineStr"/>
      <c r="BI79" t="inlineStr"/>
      <c r="BJ79" t="inlineStr"/>
      <c r="BK79" t="inlineStr"/>
      <c r="BL79" t="inlineStr"/>
      <c r="BM79" t="inlineStr">
        <is>
          <t>2026-W33</t>
        </is>
      </c>
    </row>
    <row r="80">
      <c r="A80" t="inlineStr">
        <is>
          <t>BOAMP</t>
        </is>
      </c>
      <c r="B80" t="inlineStr">
        <is>
          <t>26-73122</t>
        </is>
      </c>
      <c r="C80" t="inlineStr">
        <is>
          <t>Mise à disposition de professionnels paramédicaux et éducatifs pour la Direction de la protection de l'enfance et de la jeunesse.</t>
        </is>
      </c>
      <c r="D80" t="inlineStr">
        <is>
          <t>Département du Val-de-Marne</t>
        </is>
      </c>
      <c r="E80" t="inlineStr">
        <is>
          <t>22940028800010</t>
        </is>
      </c>
      <c r="F80" t="inlineStr">
        <is>
          <t>229400288</t>
        </is>
      </c>
      <c r="G80" t="inlineStr"/>
      <c r="H80" t="inlineStr"/>
      <c r="I80" t="inlineStr">
        <is>
          <t>dapm@valdemarne.fr</t>
        </is>
      </c>
      <c r="J80" t="inlineStr">
        <is>
          <t>0704900017</t>
        </is>
      </c>
      <c r="K80" t="inlineStr"/>
      <c r="L80" t="inlineStr"/>
      <c r="M80" t="inlineStr"/>
      <c r="N80" t="inlineStr">
        <is>
          <t>94</t>
        </is>
      </c>
      <c r="O80" t="inlineStr"/>
      <c r="P80" t="inlineStr">
        <is>
          <t>Ile-de-France</t>
        </is>
      </c>
      <c r="Q80" s="15" t="n">
        <v>46226</v>
      </c>
      <c r="R80" s="15" t="n">
        <v>46276</v>
      </c>
      <c r="S80" s="14" t="n">
        <v>2800000</v>
      </c>
      <c r="T80" t="inlineStr">
        <is>
          <t>BUDGET_EXPLICITE_OK</t>
        </is>
      </c>
      <c r="U80" t="inlineStr">
        <is>
          <t>2800000</t>
        </is>
      </c>
      <c r="V80" t="inlineStr">
        <is>
          <t>oui</t>
        </is>
      </c>
      <c r="W80" t="inlineStr">
        <is>
          <t>Personnel</t>
        </is>
      </c>
      <c r="X80" t="inlineStr">
        <is>
          <t>Autre</t>
        </is>
      </c>
      <c r="Y80" t="inlineStr">
        <is>
          <t>SERVICES</t>
        </is>
      </c>
      <c r="Z80" t="inlineStr">
        <is>
          <t>Procédure Ouverte</t>
        </is>
      </c>
      <c r="AA80" t="inlineStr">
        <is>
          <t>Avis de marché</t>
        </is>
      </c>
      <c r="AB80" t="inlineStr">
        <is>
          <t>Mise à disposition de personnel</t>
        </is>
      </c>
      <c r="AC80" t="inlineStr">
        <is>
          <t>['environnementaux']</t>
        </is>
      </c>
      <c r="AD80" s="11" t="inlineStr">
        <is>
          <t>https://www.boamp.fr/pages/avis/?q=idweb:26-73122</t>
        </is>
      </c>
      <c r="AE80" t="inlineStr">
        <is>
          <t>https://marches.maximilien.fr/?page=Entreprise.EntrepriseAdvancedSearch&amp;AllCons&amp;id=943156&amp;orgAcronyme=a8z</t>
        </is>
      </c>
      <c r="AF80" t="inlineStr">
        <is>
          <t>https://marches.maximilien.fr/?page=Entreprise.EntrepriseAdvancedSearch&amp;AllCons&amp;id=943156&amp;orgAcronyme=a8z</t>
        </is>
      </c>
      <c r="AG80" t="inlineStr"/>
      <c r="AH80" t="inlineStr">
        <is>
          <t>3</t>
        </is>
      </c>
      <c r="AI80" t="inlineStr">
        <is>
          <t>60</t>
        </is>
      </c>
      <c r="AJ80" t="inlineStr">
        <is>
          <t>INFO_PARTIELLE</t>
        </is>
      </c>
      <c r="AK80" t="inlineStr">
        <is>
          <t>0</t>
        </is>
      </c>
      <c r="AL80" s="16" t="inlineStr">
        <is>
          <t>FROID</t>
        </is>
      </c>
      <c r="AM80">
        <f>MIN(100,MAX(0,IF(OR(ISNUMBER(SEARCH("nettoyage",C80)),ISNUMBER(SEARCH("proprete",C80)),ISNUMBER(SEARCH("entretien",C80)),ISNUMBER(SEARCH("hygiene",C80))),35,0)+IF(SUM(--(N80="75")+--(O80="75"),--(N80="77")+--(O80="77"),--(N80="78")+--(O80="78"),--(N80="91")+--(O80="91"),--(N80="92")+--(O80="92"),--(N80="93")+--(O80="93"),--(N80="94")+--(O80="94"),--(N80="95")+--(O80="95"))&gt;0,25,4)+IF(S80="",10,IF(S80&lt;=50000,25,IF(S80&lt;=100000,20,IF(S80&lt;=200000,5,IF(S80&lt;=500000,-10,-20)))))+IF(I80&lt;&gt;"",4,0)+IF(J80&lt;&gt;"",4,0)+IF(E80&lt;&gt;"",3,0)+IF(K80&lt;&gt;"",2,0)+IF(M80&lt;&gt;"",1,0)+IF(AD80&lt;&gt;"",1,0)+IF(R80="",0,IF(R80&lt;TODAY(),-30,IF(R80&lt;TODAY()+5,-15,IF(R80&lt;=TODAY()+15,5,10))))))</f>
        <v/>
      </c>
      <c r="AN80">
        <f>IF(AM80&gt;=65,"CHAUD",IF(AM80&gt;=40,"TIEDE","FROID"))</f>
        <v/>
      </c>
      <c r="AO80">
        <f>IF((IF(I80&lt;&gt;"",1,0)+IF(J80&lt;&gt;"",1,0)+IF(E80&lt;&gt;"",1,0)+IF(K80&lt;&gt;"",1,0))&gt;=4,"Complet",IF((IF(I80&lt;&gt;"",1,0)+IF(J80&lt;&gt;"",1,0)+IF(E80&lt;&gt;"",1,0)+IF(K80&lt;&gt;"",1,0))&gt;=2,"Partiel","Vide"))</f>
        <v/>
      </c>
      <c r="AP80">
        <f>IF(AJ80="DCE_A_TELECHARGER","Telecharger DCE",IF(T80="A_VERIFIER_BUDGET","Verifier budget",IF(AN80="CHAUD","Contacter maintenant",IF(AN80="TIEDE","Surveiller / relancer","Basse priorite"))))</f>
        <v/>
      </c>
      <c r="AQ80" t="inlineStr">
        <is>
          <t>IA_CONTACT_A_COMPLETER</t>
        </is>
      </c>
      <c r="AR80" t="inlineStr">
        <is>
          <t>Completer les champs manquants depuis l'avis source, le site acheteur ou le DCE.</t>
        </is>
      </c>
      <c r="AS80" t="inlineStr">
        <is>
          <t>adresse, ville</t>
        </is>
      </c>
      <c r="AT8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80" t="inlineStr">
        <is>
          <t>Verifier url_avis et DCE si disponible</t>
        </is>
      </c>
      <c r="AV80" t="inlineStr"/>
      <c r="AW80" t="inlineStr"/>
      <c r="AX80" t="inlineStr"/>
      <c r="AY80" t="inlineStr"/>
      <c r="AZ80" t="inlineStr"/>
      <c r="BA80" t="inlineStr"/>
      <c r="BB80" t="inlineStr">
        <is>
          <t>0 pertinence metier faible | -20 gros budget (&gt; 500 000 EUR) | +10 delai confortable 45j</t>
        </is>
      </c>
      <c r="BC80"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80"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80"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80" t="inlineStr"/>
      <c r="BG80" t="inlineStr"/>
      <c r="BH80" t="inlineStr"/>
      <c r="BI80" t="inlineStr"/>
      <c r="BJ80" t="inlineStr"/>
      <c r="BK80" t="inlineStr"/>
      <c r="BL80" t="inlineStr"/>
      <c r="BM80" t="inlineStr">
        <is>
          <t>2026-W30</t>
        </is>
      </c>
    </row>
    <row r="81">
      <c r="A81" t="inlineStr">
        <is>
          <t>BOAMP</t>
        </is>
      </c>
      <c r="B81" t="inlineStr">
        <is>
          <t>26-70414</t>
        </is>
      </c>
      <c r="C81" t="inlineStr">
        <is>
          <t>prestations de gestion de l'entretien et des réparations des flottes de véhicules terrestres d’un PTAC ≤ 3,5 tonnes et des prestations d’assistance pour les véhicules en auto assurance</t>
        </is>
      </c>
      <c r="D81" t="inlineStr">
        <is>
          <t>Direction des Achats de l'Etat (DAE)</t>
        </is>
      </c>
      <c r="E81" t="inlineStr">
        <is>
          <t>13002220500012</t>
        </is>
      </c>
      <c r="F81" t="inlineStr">
        <is>
          <t>130022205</t>
        </is>
      </c>
      <c r="G81" t="inlineStr"/>
      <c r="H81" t="inlineStr"/>
      <c r="I81" t="inlineStr">
        <is>
          <t>mobilite.dae@finances.gouv.fr</t>
        </is>
      </c>
      <c r="J81" t="inlineStr">
        <is>
          <t>0222050001</t>
        </is>
      </c>
      <c r="K81" t="inlineStr"/>
      <c r="L81" t="inlineStr"/>
      <c r="M81" t="inlineStr"/>
      <c r="N81" t="inlineStr">
        <is>
          <t>75</t>
        </is>
      </c>
      <c r="O81" t="inlineStr"/>
      <c r="P81" t="inlineStr">
        <is>
          <t>Ile-de-France</t>
        </is>
      </c>
      <c r="Q81" s="15" t="n">
        <v>46220</v>
      </c>
      <c r="R81" s="15" t="n">
        <v>46233</v>
      </c>
      <c r="S81" s="14" t="n">
        <v>580000000</v>
      </c>
      <c r="T81" t="inlineStr">
        <is>
          <t>BUDGET_EXPLICITE_OK</t>
        </is>
      </c>
      <c r="U81" t="inlineStr">
        <is>
          <t>1160000000</t>
        </is>
      </c>
      <c r="V81" t="inlineStr">
        <is>
          <t>oui</t>
        </is>
      </c>
      <c r="W81" t="inlineStr">
        <is>
          <t>Personnel</t>
        </is>
      </c>
      <c r="X81" t="inlineStr">
        <is>
          <t>Autre</t>
        </is>
      </c>
      <c r="Y81" t="inlineStr">
        <is>
          <t>SERVICES</t>
        </is>
      </c>
      <c r="Z81" t="inlineStr">
        <is>
          <t>Procédure Ouverte</t>
        </is>
      </c>
      <c r="AA81" t="inlineStr">
        <is>
          <t>Avis de marché</t>
        </is>
      </c>
      <c r="AB81" t="inlineStr">
        <is>
          <t>Prestations de services</t>
        </is>
      </c>
      <c r="AC81" t="inlineStr">
        <is>
          <t>['sociaux', 'environnementaux']</t>
        </is>
      </c>
      <c r="AD81" s="11" t="inlineStr">
        <is>
          <t>https://www.boamp.fr/pages/avis/?q=idweb:26-70414</t>
        </is>
      </c>
      <c r="AE81" t="inlineStr">
        <is>
          <t>https://www.marches-publics.gouv.fr</t>
        </is>
      </c>
      <c r="AF81" t="inlineStr">
        <is>
          <t>https://www.marches-publics.gouv.fr</t>
        </is>
      </c>
      <c r="AG81" t="inlineStr"/>
      <c r="AH81" t="inlineStr">
        <is>
          <t>3</t>
        </is>
      </c>
      <c r="AI81" t="inlineStr">
        <is>
          <t>60</t>
        </is>
      </c>
      <c r="AJ81" t="inlineStr">
        <is>
          <t>INFO_PARTIELLE</t>
        </is>
      </c>
      <c r="AK81" t="inlineStr">
        <is>
          <t>0</t>
        </is>
      </c>
      <c r="AL81" s="16" t="inlineStr">
        <is>
          <t>FROID</t>
        </is>
      </c>
      <c r="AM81">
        <f>MIN(100,MAX(0,IF(OR(ISNUMBER(SEARCH("nettoyage",C81)),ISNUMBER(SEARCH("proprete",C81)),ISNUMBER(SEARCH("entretien",C81)),ISNUMBER(SEARCH("hygiene",C81))),35,0)+IF(SUM(--(N81="75")+--(O81="75"),--(N81="77")+--(O81="77"),--(N81="78")+--(O81="78"),--(N81="91")+--(O81="91"),--(N81="92")+--(O81="92"),--(N81="93")+--(O81="93"),--(N81="94")+--(O81="94"),--(N81="95")+--(O81="95"))&gt;0,25,4)+IF(S81="",10,IF(S81&lt;=50000,25,IF(S81&lt;=100000,20,IF(S81&lt;=200000,5,IF(S81&lt;=500000,-10,-20)))))+IF(I81&lt;&gt;"",4,0)+IF(J81&lt;&gt;"",4,0)+IF(E81&lt;&gt;"",3,0)+IF(K81&lt;&gt;"",2,0)+IF(M81&lt;&gt;"",1,0)+IF(AD81&lt;&gt;"",1,0)+IF(R81="",0,IF(R81&lt;TODAY(),-30,IF(R81&lt;TODAY()+5,-15,IF(R81&lt;=TODAY()+15,5,10))))))</f>
        <v/>
      </c>
      <c r="AN81">
        <f>IF(AM81&gt;=65,"CHAUD",IF(AM81&gt;=40,"TIEDE","FROID"))</f>
        <v/>
      </c>
      <c r="AO81">
        <f>IF((IF(I81&lt;&gt;"",1,0)+IF(J81&lt;&gt;"",1,0)+IF(E81&lt;&gt;"",1,0)+IF(K81&lt;&gt;"",1,0))&gt;=4,"Complet",IF((IF(I81&lt;&gt;"",1,0)+IF(J81&lt;&gt;"",1,0)+IF(E81&lt;&gt;"",1,0)+IF(K81&lt;&gt;"",1,0))&gt;=2,"Partiel","Vide"))</f>
        <v/>
      </c>
      <c r="AP81">
        <f>IF(AJ81="DCE_A_TELECHARGER","Telecharger DCE",IF(T81="A_VERIFIER_BUDGET","Verifier budget",IF(AN81="CHAUD","Contacter maintenant",IF(AN81="TIEDE","Surveiller / relancer","Basse priorite"))))</f>
        <v/>
      </c>
      <c r="AQ81" t="inlineStr">
        <is>
          <t>IA_CONTACT_A_COMPLETER</t>
        </is>
      </c>
      <c r="AR81" t="inlineStr">
        <is>
          <t>Completer les champs manquants depuis l'avis source, le site acheteur ou le DCE.</t>
        </is>
      </c>
      <c r="AS81" t="inlineStr">
        <is>
          <t>adresse, ville</t>
        </is>
      </c>
      <c r="AT8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81" t="inlineStr">
        <is>
          <t>Verifier url_avis et DCE si disponible</t>
        </is>
      </c>
      <c r="AV81" t="inlineStr"/>
      <c r="AW81" t="inlineStr"/>
      <c r="AX81" t="inlineStr"/>
      <c r="AY81" t="inlineStr"/>
      <c r="AZ81" t="inlineStr"/>
      <c r="BA81" t="inlineStr"/>
      <c r="BB81" t="inlineStr">
        <is>
          <t>0 pertinence metier faible | -20 gros budget (&gt; 500 000 EUR) | -15 delai critique 2j</t>
        </is>
      </c>
      <c r="BC81"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81"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81"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81" t="inlineStr"/>
      <c r="BG81" t="inlineStr"/>
      <c r="BH81" t="inlineStr"/>
      <c r="BI81" t="inlineStr"/>
      <c r="BJ81" t="inlineStr"/>
      <c r="BK81" t="inlineStr"/>
      <c r="BL81" t="inlineStr"/>
      <c r="BM81" t="inlineStr">
        <is>
          <t>2026-W29</t>
        </is>
      </c>
    </row>
    <row r="82">
      <c r="A82" t="inlineStr">
        <is>
          <t>BOAMP</t>
        </is>
      </c>
      <c r="B82" t="inlineStr">
        <is>
          <t>26-70509</t>
        </is>
      </c>
      <c r="C82" t="inlineStr">
        <is>
          <t>GARDIENNAGE ET SURVEILLANCE DU CENTRE DE FORMATION DE GURCY-LE-CHATEL</t>
        </is>
      </c>
      <c r="D82" t="inlineStr">
        <is>
          <t>SDIS 77 de Seine-et-Marne</t>
        </is>
      </c>
      <c r="E82" t="inlineStr">
        <is>
          <t>28770831700014</t>
        </is>
      </c>
      <c r="F82" t="inlineStr">
        <is>
          <t>287708317</t>
        </is>
      </c>
      <c r="G82" t="inlineStr"/>
      <c r="H82" t="inlineStr"/>
      <c r="I82" t="inlineStr">
        <is>
          <t>marchespublics@sdis77.fr</t>
        </is>
      </c>
      <c r="J82" t="inlineStr">
        <is>
          <t>0831700014</t>
        </is>
      </c>
      <c r="K82" t="inlineStr"/>
      <c r="L82" t="inlineStr"/>
      <c r="M82" t="inlineStr"/>
      <c r="N82" t="inlineStr">
        <is>
          <t>77,91</t>
        </is>
      </c>
      <c r="O82" t="inlineStr"/>
      <c r="P82" t="inlineStr">
        <is>
          <t>Ile-de-France</t>
        </is>
      </c>
      <c r="Q82" s="15" t="n">
        <v>46220</v>
      </c>
      <c r="R82" t="inlineStr"/>
      <c r="S82" s="14" t="n">
        <v>250000</v>
      </c>
      <c r="T82" t="inlineStr">
        <is>
          <t>BUDGET_EXPLICITE_OK</t>
        </is>
      </c>
      <c r="U82" t="inlineStr">
        <is>
          <t>500000</t>
        </is>
      </c>
      <c r="V82" t="inlineStr">
        <is>
          <t>oui</t>
        </is>
      </c>
      <c r="W82" t="inlineStr">
        <is>
          <t>Personnel</t>
        </is>
      </c>
      <c r="X82" t="inlineStr">
        <is>
          <t>Autre</t>
        </is>
      </c>
      <c r="Y82" t="inlineStr">
        <is>
          <t>SERVICES</t>
        </is>
      </c>
      <c r="Z82" t="inlineStr">
        <is>
          <t>Procédure Restreinte</t>
        </is>
      </c>
      <c r="AA82" t="inlineStr">
        <is>
          <t>Avis de marché</t>
        </is>
      </c>
      <c r="AB82" t="inlineStr">
        <is>
          <t>Gardiennage</t>
        </is>
      </c>
      <c r="AC82" t="inlineStr">
        <is>
          <t>['environnementaux']</t>
        </is>
      </c>
      <c r="AD82" s="11" t="inlineStr">
        <is>
          <t>https://www.boamp.fr/pages/avis/?q=idweb:26-70509</t>
        </is>
      </c>
      <c r="AE82" t="inlineStr">
        <is>
          <t>http://melun.tribunal-administratif.fr</t>
        </is>
      </c>
      <c r="AF82" t="inlineStr"/>
      <c r="AG82" t="inlineStr"/>
      <c r="AH82" t="inlineStr">
        <is>
          <t>3</t>
        </is>
      </c>
      <c r="AI82" t="inlineStr">
        <is>
          <t>60</t>
        </is>
      </c>
      <c r="AJ82" t="inlineStr">
        <is>
          <t>INFO_PARTIELLE</t>
        </is>
      </c>
      <c r="AK82" t="inlineStr">
        <is>
          <t>0</t>
        </is>
      </c>
      <c r="AL82" s="16" t="inlineStr">
        <is>
          <t>FROID</t>
        </is>
      </c>
      <c r="AM82">
        <f>MIN(100,MAX(0,IF(OR(ISNUMBER(SEARCH("nettoyage",C82)),ISNUMBER(SEARCH("proprete",C82)),ISNUMBER(SEARCH("entretien",C82)),ISNUMBER(SEARCH("hygiene",C82))),35,0)+IF(SUM(--(N82="75")+--(O82="75"),--(N82="77")+--(O82="77"),--(N82="78")+--(O82="78"),--(N82="91")+--(O82="91"),--(N82="92")+--(O82="92"),--(N82="93")+--(O82="93"),--(N82="94")+--(O82="94"),--(N82="95")+--(O82="95"))&gt;0,25,4)+IF(S82="",10,IF(S82&lt;=50000,25,IF(S82&lt;=100000,20,IF(S82&lt;=200000,5,IF(S82&lt;=500000,-10,-20)))))+IF(I82&lt;&gt;"",4,0)+IF(J82&lt;&gt;"",4,0)+IF(E82&lt;&gt;"",3,0)+IF(K82&lt;&gt;"",2,0)+IF(M82&lt;&gt;"",1,0)+IF(AD82&lt;&gt;"",1,0)+IF(R82="",0,IF(R82&lt;TODAY(),-30,IF(R82&lt;TODAY()+5,-15,IF(R82&lt;=TODAY()+15,5,10))))))</f>
        <v/>
      </c>
      <c r="AN82">
        <f>IF(AM82&gt;=65,"CHAUD",IF(AM82&gt;=40,"TIEDE","FROID"))</f>
        <v/>
      </c>
      <c r="AO82">
        <f>IF((IF(I82&lt;&gt;"",1,0)+IF(J82&lt;&gt;"",1,0)+IF(E82&lt;&gt;"",1,0)+IF(K82&lt;&gt;"",1,0))&gt;=4,"Complet",IF((IF(I82&lt;&gt;"",1,0)+IF(J82&lt;&gt;"",1,0)+IF(E82&lt;&gt;"",1,0)+IF(K82&lt;&gt;"",1,0))&gt;=2,"Partiel","Vide"))</f>
        <v/>
      </c>
      <c r="AP82">
        <f>IF(AJ82="DCE_A_TELECHARGER","Telecharger DCE",IF(T82="A_VERIFIER_BUDGET","Verifier budget",IF(AN82="CHAUD","Contacter maintenant",IF(AN82="TIEDE","Surveiller / relancer","Basse priorite"))))</f>
        <v/>
      </c>
      <c r="AQ82" t="inlineStr">
        <is>
          <t>IA_CONTACT_A_COMPLETER</t>
        </is>
      </c>
      <c r="AR82" t="inlineStr">
        <is>
          <t>Completer les champs manquants depuis l'avis source, le site acheteur ou le DCE.</t>
        </is>
      </c>
      <c r="AS82" t="inlineStr">
        <is>
          <t>adresse, ville</t>
        </is>
      </c>
      <c r="AT8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82" t="inlineStr">
        <is>
          <t>Verifier url_avis et DCE si disponible</t>
        </is>
      </c>
      <c r="AV82" t="inlineStr"/>
      <c r="AW82" t="inlineStr"/>
      <c r="AX82" t="inlineStr"/>
      <c r="AY82" t="inlineStr"/>
      <c r="AZ82" t="inlineStr"/>
      <c r="BA82" t="inlineStr"/>
      <c r="BB82" t="inlineStr">
        <is>
          <t>0 pertinence metier faible | -10 budget annualise &lt;= 500 000 EUR | 0 date limite absente</t>
        </is>
      </c>
      <c r="BC82" t="inlineStr">
        <is>
          <t>SDIS 77 de Seine-et-Marne publie un AO potentiellement pertinent pour CHRUTH : GARDIENNAGE ET SURVEILLANCE DU CENTRE DE FORMATION DE GURCY-LE-CHATEL. Zone : 77,91. Budget detecte environ 250 000 EUR. Verifier le lien source avant contact.</t>
        </is>
      </c>
      <c r="BD82"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82"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82" t="inlineStr"/>
      <c r="BG82" t="inlineStr"/>
      <c r="BH82" t="inlineStr"/>
      <c r="BI82" t="inlineStr"/>
      <c r="BJ82" t="inlineStr"/>
      <c r="BK82" t="inlineStr"/>
      <c r="BL82" t="inlineStr"/>
      <c r="BM82" t="inlineStr">
        <is>
          <t>2026-W29</t>
        </is>
      </c>
    </row>
    <row r="83">
      <c r="A83" t="inlineStr">
        <is>
          <t>BOAMP</t>
        </is>
      </c>
      <c r="B83" t="inlineStr">
        <is>
          <t>26-70374</t>
        </is>
      </c>
      <c r="C83" t="inlineStr">
        <is>
          <t>Mise en propreté des abords du site principal du Centre National d’Art et de Culture Georges Pompidou et des bâtiments annexes (CNAC-GP) (2 lots) - Vague 2 : lot 2 (26-CP04-044-AC)</t>
        </is>
      </c>
      <c r="D83" t="inlineStr">
        <is>
          <t>CENTRE POMPIDOU</t>
        </is>
      </c>
      <c r="E83" t="inlineStr">
        <is>
          <t>18004602100028</t>
        </is>
      </c>
      <c r="F83" t="inlineStr">
        <is>
          <t>180046021</t>
        </is>
      </c>
      <c r="G83" t="inlineStr"/>
      <c r="H83" t="inlineStr"/>
      <c r="I83" t="inlineStr">
        <is>
          <t>achat@centrepompidou.fr</t>
        </is>
      </c>
      <c r="J83" t="inlineStr">
        <is>
          <t>0460210002</t>
        </is>
      </c>
      <c r="K83" t="inlineStr"/>
      <c r="L83" t="inlineStr"/>
      <c r="M83" t="inlineStr"/>
      <c r="N83" t="inlineStr">
        <is>
          <t>75</t>
        </is>
      </c>
      <c r="O83" t="inlineStr"/>
      <c r="P83" t="inlineStr">
        <is>
          <t>Ile-de-France</t>
        </is>
      </c>
      <c r="Q83" s="15" t="n">
        <v>46220</v>
      </c>
      <c r="R83" s="15" t="n">
        <v>46223</v>
      </c>
      <c r="S83" s="14" t="n">
        <v>600000</v>
      </c>
      <c r="T83" t="inlineStr">
        <is>
          <t>BUDGET_EXPLICITE_OK</t>
        </is>
      </c>
      <c r="U83" t="inlineStr">
        <is>
          <t>600000.0</t>
        </is>
      </c>
      <c r="V83" t="inlineStr">
        <is>
          <t>non</t>
        </is>
      </c>
      <c r="W83" t="inlineStr">
        <is>
          <t>Batiments</t>
        </is>
      </c>
      <c r="X83" t="inlineStr">
        <is>
          <t>Autre</t>
        </is>
      </c>
      <c r="Y83" t="inlineStr">
        <is>
          <t>SERVICES</t>
        </is>
      </c>
      <c r="Z83" t="inlineStr">
        <is>
          <t>Procédure Ouverte</t>
        </is>
      </c>
      <c r="AA83" t="inlineStr">
        <is>
          <t>Avis de marché</t>
        </is>
      </c>
      <c r="AB83" t="inlineStr">
        <is>
          <t>Nettoyage de locaux</t>
        </is>
      </c>
      <c r="AC83" t="inlineStr">
        <is>
          <t>['environnementaux']</t>
        </is>
      </c>
      <c r="AD83" s="11" t="inlineStr">
        <is>
          <t>https://www.boamp.fr/pages/avis/?q=idweb:26-70374</t>
        </is>
      </c>
      <c r="AE83" t="inlineStr">
        <is>
          <t>https://www.marches-publics.gouv.fr/</t>
        </is>
      </c>
      <c r="AF83" t="inlineStr">
        <is>
          <t>https://www.marches-publics.gouv.fr/</t>
        </is>
      </c>
      <c r="AG83" t="inlineStr">
        <is>
          <t>nettoyage, proprete</t>
        </is>
      </c>
      <c r="AH83" t="inlineStr">
        <is>
          <t>3</t>
        </is>
      </c>
      <c r="AI83" t="inlineStr">
        <is>
          <t>76</t>
        </is>
      </c>
      <c r="AJ83" t="inlineStr">
        <is>
          <t>INFO_PARTIELLE</t>
        </is>
      </c>
      <c r="AK83" t="inlineStr">
        <is>
          <t>0</t>
        </is>
      </c>
      <c r="AL83" s="16" t="inlineStr">
        <is>
          <t>FROID</t>
        </is>
      </c>
      <c r="AM83">
        <f>MIN(100,MAX(0,IF(OR(ISNUMBER(SEARCH("nettoyage",C83)),ISNUMBER(SEARCH("proprete",C83)),ISNUMBER(SEARCH("entretien",C83)),ISNUMBER(SEARCH("hygiene",C83))),35,0)+IF(SUM(--(N83="75")+--(O83="75"),--(N83="77")+--(O83="77"),--(N83="78")+--(O83="78"),--(N83="91")+--(O83="91"),--(N83="92")+--(O83="92"),--(N83="93")+--(O83="93"),--(N83="94")+--(O83="94"),--(N83="95")+--(O83="95"))&gt;0,25,4)+IF(S83="",10,IF(S83&lt;=50000,25,IF(S83&lt;=100000,20,IF(S83&lt;=200000,5,IF(S83&lt;=500000,-10,-20)))))+IF(I83&lt;&gt;"",4,0)+IF(J83&lt;&gt;"",4,0)+IF(E83&lt;&gt;"",3,0)+IF(K83&lt;&gt;"",2,0)+IF(M83&lt;&gt;"",1,0)+IF(AD83&lt;&gt;"",1,0)+IF(R83="",0,IF(R83&lt;TODAY(),-30,IF(R83&lt;TODAY()+5,-15,IF(R83&lt;=TODAY()+15,5,10))))))</f>
        <v/>
      </c>
      <c r="AN83">
        <f>IF(AM83&gt;=65,"CHAUD",IF(AM83&gt;=40,"TIEDE","FROID"))</f>
        <v/>
      </c>
      <c r="AO83">
        <f>IF((IF(I83&lt;&gt;"",1,0)+IF(J83&lt;&gt;"",1,0)+IF(E83&lt;&gt;"",1,0)+IF(K83&lt;&gt;"",1,0))&gt;=4,"Complet",IF((IF(I83&lt;&gt;"",1,0)+IF(J83&lt;&gt;"",1,0)+IF(E83&lt;&gt;"",1,0)+IF(K83&lt;&gt;"",1,0))&gt;=2,"Partiel","Vide"))</f>
        <v/>
      </c>
      <c r="AP83">
        <f>IF(AJ83="DCE_A_TELECHARGER","Telecharger DCE",IF(T83="A_VERIFIER_BUDGET","Verifier budget",IF(AN83="CHAUD","Contacter maintenant",IF(AN83="TIEDE","Surveiller / relancer","Basse priorite"))))</f>
        <v/>
      </c>
      <c r="AQ83" t="inlineStr">
        <is>
          <t>IA_CONTACT_A_COMPLETER</t>
        </is>
      </c>
      <c r="AR83" t="inlineStr">
        <is>
          <t>Completer les champs manquants depuis l'avis source, le site acheteur ou le DCE.</t>
        </is>
      </c>
      <c r="AS83" t="inlineStr">
        <is>
          <t>adresse, ville</t>
        </is>
      </c>
      <c r="AT8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83" t="inlineStr">
        <is>
          <t>Verifier url_avis et DCE si disponible</t>
        </is>
      </c>
      <c r="AV83" t="inlineStr"/>
      <c r="AW83" t="inlineStr"/>
      <c r="AX83" t="inlineStr"/>
      <c r="AY83" t="inlineStr"/>
      <c r="AZ83" t="inlineStr"/>
      <c r="BA83" t="inlineStr"/>
      <c r="BB83" t="inlineStr">
        <is>
          <t>+35 nettoyage + categorie claire | -20 gros budget (&gt; 500 000 EUR) | +15 procedure adaptee / MAPA / allotissement | -30 AO expire</t>
        </is>
      </c>
      <c r="BC8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8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8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83" t="inlineStr"/>
      <c r="BG83" t="inlineStr"/>
      <c r="BH83" t="inlineStr"/>
      <c r="BI83" t="inlineStr"/>
      <c r="BJ83" t="inlineStr"/>
      <c r="BK83" t="inlineStr"/>
      <c r="BL83" t="inlineStr"/>
      <c r="BM83"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 xmlns:r="http://schemas.openxmlformats.org/officeDocument/2006/relationships" ref="AD63" r:id="rId62"/>
    <hyperlink xmlns:r="http://schemas.openxmlformats.org/officeDocument/2006/relationships" ref="AD64" r:id="rId63"/>
    <hyperlink xmlns:r="http://schemas.openxmlformats.org/officeDocument/2006/relationships" ref="AD65" r:id="rId64"/>
    <hyperlink xmlns:r="http://schemas.openxmlformats.org/officeDocument/2006/relationships" ref="AD66" r:id="rId65"/>
    <hyperlink xmlns:r="http://schemas.openxmlformats.org/officeDocument/2006/relationships" ref="AD67" r:id="rId66"/>
    <hyperlink xmlns:r="http://schemas.openxmlformats.org/officeDocument/2006/relationships" ref="AD68" r:id="rId67"/>
    <hyperlink xmlns:r="http://schemas.openxmlformats.org/officeDocument/2006/relationships" ref="AD69" r:id="rId68"/>
    <hyperlink xmlns:r="http://schemas.openxmlformats.org/officeDocument/2006/relationships" ref="AD70" r:id="rId69"/>
    <hyperlink xmlns:r="http://schemas.openxmlformats.org/officeDocument/2006/relationships" ref="AD71" r:id="rId70"/>
    <hyperlink xmlns:r="http://schemas.openxmlformats.org/officeDocument/2006/relationships" ref="AD72" r:id="rId71"/>
    <hyperlink xmlns:r="http://schemas.openxmlformats.org/officeDocument/2006/relationships" ref="AD73" r:id="rId72"/>
    <hyperlink xmlns:r="http://schemas.openxmlformats.org/officeDocument/2006/relationships" ref="AD74" r:id="rId73"/>
    <hyperlink xmlns:r="http://schemas.openxmlformats.org/officeDocument/2006/relationships" ref="AD75" r:id="rId74"/>
    <hyperlink xmlns:r="http://schemas.openxmlformats.org/officeDocument/2006/relationships" ref="AD76" r:id="rId75"/>
    <hyperlink xmlns:r="http://schemas.openxmlformats.org/officeDocument/2006/relationships" ref="AD77" r:id="rId76"/>
    <hyperlink xmlns:r="http://schemas.openxmlformats.org/officeDocument/2006/relationships" ref="AD78" r:id="rId77"/>
    <hyperlink xmlns:r="http://schemas.openxmlformats.org/officeDocument/2006/relationships" ref="AD79" r:id="rId78"/>
    <hyperlink xmlns:r="http://schemas.openxmlformats.org/officeDocument/2006/relationships" ref="AD80" r:id="rId79"/>
    <hyperlink xmlns:r="http://schemas.openxmlformats.org/officeDocument/2006/relationships" ref="AD81" r:id="rId80"/>
    <hyperlink xmlns:r="http://schemas.openxmlformats.org/officeDocument/2006/relationships" ref="AD82" r:id="rId81"/>
    <hyperlink xmlns:r="http://schemas.openxmlformats.org/officeDocument/2006/relationships" ref="AD83" r:id="rId82"/>
  </hyperlinks>
  <pageMargins left="0.75" right="0.75" top="1" bottom="1" header="0.5" footer="0.5"/>
  <tableParts count="1">
    <tablePart xmlns:r="http://schemas.openxmlformats.org/officeDocument/2006/relationships" r:id="rId83"/>
  </tableParts>
</worksheet>
</file>

<file path=xl/worksheets/sheet5.xml><?xml version="1.0" encoding="utf-8"?>
<worksheet xmlns="http://schemas.openxmlformats.org/spreadsheetml/2006/main">
  <sheetPr>
    <outlinePr summaryBelow="1" summaryRight="1"/>
    <pageSetUpPr/>
  </sheetPr>
  <dimension ref="A1:BM8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5" customWidth="1" min="9" max="9"/>
    <col width="15" customWidth="1" min="10" max="10"/>
    <col width="55" customWidth="1" min="11" max="11"/>
    <col width="13" customWidth="1" min="12" max="12"/>
    <col width="25"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26-82960</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46260</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NC</t>
        </is>
      </c>
      <c r="AA2" t="inlineStr">
        <is>
          <t>Avis de marché</t>
        </is>
      </c>
      <c r="AB2" t="inlineStr">
        <is>
          <t>Formation, Nettoyage de locaux</t>
        </is>
      </c>
      <c r="AC2" t="inlineStr"/>
      <c r="AD2" s="11" t="inlineStr">
        <is>
          <t>https://www.boamp.fr/pages/avis/?q=idweb:26-82960</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89.8</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26-82960. Objet: Accord cadre de missions de formation de lutte contre la discrimination et de lutte contre les violences sexistes et sexuelles à destination du tissu associatif en deux lots séparés.. Acheteur: VILLE de PARIS - DFA - SDA. Lien: https://www.boamp.fr/pages/avis/?q=idweb:26-82960.</t>
        </is>
      </c>
      <c r="AU2" t="inlineStr">
        <is>
          <t>Verifier url_avis et DCE si disponible</t>
        </is>
      </c>
      <c r="AV2" t="inlineStr"/>
      <c r="AW2" t="inlineStr"/>
      <c r="AX2" t="inlineStr"/>
      <c r="AY2" t="inlineStr"/>
      <c r="AZ2" t="inlineStr"/>
      <c r="BA2" t="inlineStr"/>
      <c r="BB2" t="inlineStr">
        <is>
          <t>+33.5 nettoyage + categorie claire (1 termes) | +23.5 budget annualise 40 000 EUR | +15 procedure adaptee / MAPA / allotissement | +10 secteur cible Mairie | +6.2 delai 15 j | +1.5 dossier renseigne (3/4)</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2026-W35</t>
        </is>
      </c>
    </row>
    <row r="3">
      <c r="A3" t="inlineStr">
        <is>
          <t>BOAMP</t>
        </is>
      </c>
      <c r="B3" t="inlineStr">
        <is>
          <t>26-83419</t>
        </is>
      </c>
      <c r="C3" t="inlineStr">
        <is>
          <t>Prestations d'entretien ménager</t>
        </is>
      </c>
      <c r="D3" t="inlineStr">
        <is>
          <t>VILLE DE LOUVRES</t>
        </is>
      </c>
      <c r="E3" t="inlineStr">
        <is>
          <t>21950351300018</t>
        </is>
      </c>
      <c r="F3" t="inlineStr">
        <is>
          <t>219503513</t>
        </is>
      </c>
      <c r="G3" t="inlineStr"/>
      <c r="H3" t="inlineStr"/>
      <c r="I3" t="inlineStr">
        <is>
          <t>ireydant@ville-louvres.fr</t>
        </is>
      </c>
      <c r="J3" t="inlineStr">
        <is>
          <t>0351300018</t>
        </is>
      </c>
      <c r="K3" t="inlineStr"/>
      <c r="L3" t="inlineStr"/>
      <c r="M3" t="inlineStr"/>
      <c r="N3" t="inlineStr">
        <is>
          <t>95</t>
        </is>
      </c>
      <c r="O3" t="inlineStr"/>
      <c r="P3" t="inlineStr">
        <is>
          <t>Ile-de-France</t>
        </is>
      </c>
      <c r="Q3" s="15" t="n">
        <v>46261</v>
      </c>
      <c r="R3" s="15" t="n">
        <v>46300</v>
      </c>
      <c r="S3" s="14" t="n">
        <v>10000</v>
      </c>
      <c r="T3" t="inlineStr">
        <is>
          <t>BUDGET_SOUS_SEUIL</t>
        </is>
      </c>
      <c r="U3" t="inlineStr">
        <is>
          <t>10000.0</t>
        </is>
      </c>
      <c r="V3" t="inlineStr">
        <is>
          <t>non</t>
        </is>
      </c>
      <c r="W3" t="inlineStr">
        <is>
          <t>Vitres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https://www.boamp.fr/pages/avis/?q=idweb:26-83419</t>
        </is>
      </c>
      <c r="AE3" t="inlineStr">
        <is>
          <t>https://mairie-de-louvres.e-marchespublics.com</t>
        </is>
      </c>
      <c r="AF3" t="inlineStr">
        <is>
          <t>https://mairie-de-louvres.e-marchespublics.com</t>
        </is>
      </c>
      <c r="AG3" t="inlineStr">
        <is>
          <t>nettoyage, nettoyage de vitres, entretien menager</t>
        </is>
      </c>
      <c r="AH3" t="inlineStr">
        <is>
          <t>3</t>
        </is>
      </c>
      <c r="AI3" t="inlineStr">
        <is>
          <t>80</t>
        </is>
      </c>
      <c r="AJ3" t="inlineStr">
        <is>
          <t>INFO_PARTIELLE</t>
        </is>
      </c>
      <c r="AK3" t="inlineStr">
        <is>
          <t>80.5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26-83419. Objet: Prestations d'entretien ménager. Acheteur: VILLE DE LOUVRES. Lien: https://www.boamp.fr/pages/avis/?q=idweb:26-83419.</t>
        </is>
      </c>
      <c r="AU3" t="inlineStr">
        <is>
          <t>Verifier url_avis et DCE si disponible</t>
        </is>
      </c>
      <c r="AV3" t="inlineStr"/>
      <c r="AW3" t="inlineStr"/>
      <c r="AX3" t="inlineStr"/>
      <c r="AY3" t="inlineStr"/>
      <c r="AZ3" t="inlineStr"/>
      <c r="BA3" t="inlineStr"/>
      <c r="BB3" t="inlineStr">
        <is>
          <t>+34.0 nettoyage + categorie claire (2 termes) | +25.0 budget annualise 10 000 EUR | +10 secteur cible Mairie | +10.0 delai 35 j | +1.5 dossier renseigne (3/4)</t>
        </is>
      </c>
      <c r="BC3" t="inlineStr">
        <is>
          <t>VILLE DE LOUVRES publie un AO potentiellement pertinent pour CHRUTH : Prestations d'entretien ménager. Zone : 95. Budget detecte environ 10 000 EUR. Verifier le lien source avant contact.</t>
        </is>
      </c>
      <c r="BD3" t="inlineStr">
        <is>
          <t>Bonjour,
Je me permets de vous contacter au sujet de votre appel d'offres : Prestations d'entretien ménager.
CHRUTH accompagne les structures publiques et privées sur les besoins de nettoyage, d'entretien des locaux et d'organisation de prestations de service.
Serait-il possible d'échanger rapidement afin de vérifier les modalités de réponse et les attentes de VILLE DE LOUVRES ?
Cordialement,</t>
        </is>
      </c>
      <c r="BE3" t="inlineStr">
        <is>
          <t>Bonjour, je vous appelle concernant un appel d'offres publié par VILLE DE LOUVRES.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26-73275</t>
        </is>
      </c>
      <c r="C4" t="inlineStr">
        <is>
          <t>ENTRETIEN, REMISE EN ETAT ET AMENAGEMENT D'ESPACES VERTS POUR LA VILLE DE GENNEVILLIERS
LOT N°1 : Entretien des secteurs d'habitation Nord et du cimetière, remise en état et aménagement d'e</t>
        </is>
      </c>
      <c r="D4" t="inlineStr">
        <is>
          <t>Ville de Gennevilliers</t>
        </is>
      </c>
      <c r="E4" t="inlineStr"/>
      <c r="F4" t="inlineStr"/>
      <c r="G4" t="inlineStr"/>
      <c r="H4" t="inlineStr"/>
      <c r="I4" t="inlineStr">
        <is>
          <t>publications-joue@aws-france.com</t>
        </is>
      </c>
      <c r="J4" t="inlineStr">
        <is>
          <t>+33480041260</t>
        </is>
      </c>
      <c r="K4" t="inlineStr"/>
      <c r="L4" t="inlineStr"/>
      <c r="M4" t="inlineStr"/>
      <c r="N4" t="inlineStr">
        <is>
          <t>92</t>
        </is>
      </c>
      <c r="O4" t="inlineStr"/>
      <c r="P4" t="inlineStr">
        <is>
          <t>Ile-de-France</t>
        </is>
      </c>
      <c r="Q4" s="15" t="n">
        <v>46227</v>
      </c>
      <c r="R4" s="15" t="n">
        <v>46261</v>
      </c>
      <c r="S4" t="inlineStr"/>
      <c r="T4" t="inlineStr">
        <is>
          <t>A_VERIFIER_BUDGET</t>
        </is>
      </c>
      <c r="U4" t="inlineStr"/>
      <c r="V4" t="inlineStr">
        <is>
          <t>non</t>
        </is>
      </c>
      <c r="W4" t="inlineStr">
        <is>
          <t>Personnel</t>
        </is>
      </c>
      <c r="X4" t="inlineStr">
        <is>
          <t>Mairie</t>
        </is>
      </c>
      <c r="Y4" t="inlineStr">
        <is>
          <t>SERVICES</t>
        </is>
      </c>
      <c r="Z4" t="inlineStr">
        <is>
          <t>Procédure Ouverte</t>
        </is>
      </c>
      <c r="AA4" t="inlineStr">
        <is>
          <t>Avis de marché</t>
        </is>
      </c>
      <c r="AB4" t="inlineStr">
        <is>
          <t>Espaces verts, Prestations de services</t>
        </is>
      </c>
      <c r="AC4" t="inlineStr">
        <is>
          <t>['environnementaux']</t>
        </is>
      </c>
      <c r="AD4" s="11" t="inlineStr">
        <is>
          <t>https://www.boamp.fr/pages/avis/?q=idweb:26-73275</t>
        </is>
      </c>
      <c r="AE4" t="inlineStr">
        <is>
          <t>https://www.marches-publics.info/mpiaws/index.cfm?fuseaction=dematEnt.login&amp;amp;type=DCE&amp;amp;IDM=1848323</t>
        </is>
      </c>
      <c r="AF4" t="inlineStr">
        <is>
          <t>https://www.marches-publics.info/mpiaws/index.cfm?fuseaction=dematEnt.login&amp;amp;type=DCE&amp;amp;IDM=1848323</t>
        </is>
      </c>
      <c r="AG4" t="inlineStr">
        <is>
          <t>nettoyage</t>
        </is>
      </c>
      <c r="AH4" t="inlineStr">
        <is>
          <t>2</t>
        </is>
      </c>
      <c r="AI4" t="inlineStr">
        <is>
          <t>58</t>
        </is>
      </c>
      <c r="AJ4" t="inlineStr">
        <is>
          <t>INFO_PARTIELLE</t>
        </is>
      </c>
      <c r="AK4" t="inlineStr">
        <is>
          <t>80</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SIRET, 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4" t="inlineStr">
        <is>
          <t>Verifier url_avis et DCE si disponible</t>
        </is>
      </c>
      <c r="AV4" t="inlineStr">
        <is>
          <t>LIEN_SEUL</t>
        </is>
      </c>
      <c r="AW4" t="inlineStr"/>
      <c r="AX4" t="inlineStr"/>
      <c r="AY4" t="inlineStr"/>
      <c r="AZ4" t="inlineStr"/>
      <c r="BA4" t="inlineStr"/>
      <c r="BB4" t="inlineStr">
        <is>
          <t>+35 nettoyage + categorie claire | +10 budget non affiche (a verifier) | +15 procedure adaptee / MAPA / allotissement | +10 secteur cible Mairie | +10 delai confortable 30j</t>
        </is>
      </c>
      <c r="BC4"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4"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4"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26-82168</t>
        </is>
      </c>
      <c r="C5" t="inlineStr">
        <is>
          <t>Capture et ramassage d’animaux errants, et/ou dangereux, et/ou blessés, et/ou morts et leur mise en fourrière</t>
        </is>
      </c>
      <c r="D5" t="inlineStr">
        <is>
          <t>COMMUNE DE SAINT-DENIS</t>
        </is>
      </c>
      <c r="E5" t="inlineStr">
        <is>
          <t>92993941100013</t>
        </is>
      </c>
      <c r="F5" t="inlineStr">
        <is>
          <t>929939411</t>
        </is>
      </c>
      <c r="G5" t="inlineStr"/>
      <c r="H5" t="inlineStr"/>
      <c r="I5" t="inlineStr">
        <is>
          <t>mp_achats@saint-denis.fr</t>
        </is>
      </c>
      <c r="J5" t="inlineStr">
        <is>
          <t>0149336605</t>
        </is>
      </c>
      <c r="K5" t="inlineStr"/>
      <c r="L5" t="inlineStr"/>
      <c r="M5" t="inlineStr"/>
      <c r="N5" t="inlineStr">
        <is>
          <t>93,75,94,95</t>
        </is>
      </c>
      <c r="O5" t="inlineStr"/>
      <c r="P5" t="inlineStr">
        <is>
          <t>Ile-de-France</t>
        </is>
      </c>
      <c r="Q5" s="15" t="n">
        <v>46256</v>
      </c>
      <c r="R5" s="15" t="n">
        <v>46290</v>
      </c>
      <c r="S5" s="14" t="n">
        <v>90000</v>
      </c>
      <c r="T5" t="inlineStr">
        <is>
          <t>BUDGET_SOUS_SEUIL</t>
        </is>
      </c>
      <c r="U5" t="inlineStr">
        <is>
          <t>22500</t>
        </is>
      </c>
      <c r="V5" t="inlineStr">
        <is>
          <t>oui</t>
        </is>
      </c>
      <c r="W5" t="inlineStr">
        <is>
          <t>Batiments</t>
        </is>
      </c>
      <c r="X5" t="inlineStr">
        <is>
          <t>Mairie</t>
        </is>
      </c>
      <c r="Y5" t="inlineStr">
        <is>
          <t>SERVICES</t>
        </is>
      </c>
      <c r="Z5" t="inlineStr">
        <is>
          <t>Procédure Ouverte</t>
        </is>
      </c>
      <c r="AA5" t="inlineStr">
        <is>
          <t>Avis de marché</t>
        </is>
      </c>
      <c r="AB5" t="inlineStr">
        <is>
          <t>Prestations de services</t>
        </is>
      </c>
      <c r="AC5" t="inlineStr">
        <is>
          <t>['environnementaux']</t>
        </is>
      </c>
      <c r="AD5" s="11" t="inlineStr">
        <is>
          <t>https://www.boamp.fr/pages/avis/?q=idweb:26-82168</t>
        </is>
      </c>
      <c r="AE5" t="inlineStr">
        <is>
          <t>https://marches.maximilien.fr</t>
        </is>
      </c>
      <c r="AF5" t="inlineStr">
        <is>
          <t>https://marches.maximilien.fr</t>
        </is>
      </c>
      <c r="AG5" t="inlineStr">
        <is>
          <t>nettoyage</t>
        </is>
      </c>
      <c r="AH5" t="inlineStr">
        <is>
          <t>3</t>
        </is>
      </c>
      <c r="AI5" t="inlineStr">
        <is>
          <t>68</t>
        </is>
      </c>
      <c r="AJ5" t="inlineStr">
        <is>
          <t>INFO_PARTIELLE</t>
        </is>
      </c>
      <c r="AK5" t="inlineStr">
        <is>
          <t>78.8</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26-82168. Objet: Capture et ramassage d’animaux errants, et/ou dangereux, et/ou blessés, et/ou morts et leur mise en fourrière. Acheteur: COMMUNE DE SAINT-DENIS. Lien: https://www.boamp.fr/pages/avis/?q=idweb:26-82168.</t>
        </is>
      </c>
      <c r="AU5" t="inlineStr">
        <is>
          <t>Verifier url_avis et DCE si disponible</t>
        </is>
      </c>
      <c r="AV5" t="inlineStr"/>
      <c r="AW5" t="inlineStr"/>
      <c r="AX5" t="inlineStr"/>
      <c r="AY5" t="inlineStr"/>
      <c r="AZ5" t="inlineStr"/>
      <c r="BA5" t="inlineStr"/>
      <c r="BB5" t="inlineStr">
        <is>
          <t>+33.5 nettoyage + categorie claire (1 termes) | +25.0 budget annualise 22 500 EUR | +10 secteur cible Mairie | +8.8 delai 25 j | +1.5 dossier renseigne (3/4)</t>
        </is>
      </c>
      <c r="BC5" t="inlineStr">
        <is>
          <t>COMMUNE DE SAINT-DENIS publie un AO potentiellement pertinent pour CHRUTH : Capture et ramassage d’animaux errants, et/ou dangereux, et/ou blessés, et/ou morts et leur mise en fourrière. Zone : 93,75,94,95. Budget detecte environ 90 000 EUR. Verifier le lien source avant contact.</t>
        </is>
      </c>
      <c r="BD5" t="inlineStr">
        <is>
          <t>Bonjour,
Je me permets de vous contacter au sujet de votre appel d'offres : Capture et ramassage d’animaux errants, et/ou dangereux, et/ou blessés, et/ou morts et leur mise en fourrière.
CHRUTH accompagne les structures publiques et privées sur les besoins de nettoyage, d'entretien des locaux et d'organisation de prestations de service.
Serait-il possible d'échanger rapidement afin de vérifier les modalités de réponse et les attentes de COMMUNE DE SAINT-DENIS ?
Cordialement,</t>
        </is>
      </c>
      <c r="BE5" t="inlineStr">
        <is>
          <t>Bonjour, je vous appelle concernant un appel d'offres publié par COMMUNE DE SAINT-DENIS.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2026-W34</t>
        </is>
      </c>
    </row>
    <row r="6">
      <c r="A6" t="inlineStr">
        <is>
          <t>BOAMP</t>
        </is>
      </c>
      <c r="B6" t="inlineStr">
        <is>
          <t>26-82885</t>
        </is>
      </c>
      <c r="C6" t="inlineStr">
        <is>
          <t>Balayage des voies, trottoirs et caniveaux</t>
        </is>
      </c>
      <c r="D6" t="inlineStr">
        <is>
          <t>Mairie de Maule</t>
        </is>
      </c>
      <c r="E6" t="inlineStr"/>
      <c r="F6" t="inlineStr"/>
      <c r="G6" t="inlineStr">
        <is>
          <t>SERENA</t>
        </is>
      </c>
      <c r="H6" t="inlineStr"/>
      <c r="I6" t="inlineStr">
        <is>
          <t>dserena@maule.fr</t>
        </is>
      </c>
      <c r="J6" t="inlineStr">
        <is>
          <t>0130904900</t>
        </is>
      </c>
      <c r="K6" t="inlineStr"/>
      <c r="L6" t="inlineStr">
        <is>
          <t>78580</t>
        </is>
      </c>
      <c r="M6" t="inlineStr">
        <is>
          <t>Maule</t>
        </is>
      </c>
      <c r="N6" t="inlineStr">
        <is>
          <t>78</t>
        </is>
      </c>
      <c r="O6" t="inlineStr"/>
      <c r="P6" t="inlineStr">
        <is>
          <t>Ile-de-France</t>
        </is>
      </c>
      <c r="Q6" s="15" t="n">
        <v>46259</v>
      </c>
      <c r="R6" s="15" t="n">
        <v>46295</v>
      </c>
      <c r="S6" t="inlineStr"/>
      <c r="T6" t="inlineStr">
        <is>
          <t>A_VERIFIER_BUDGET</t>
        </is>
      </c>
      <c r="U6" t="inlineStr"/>
      <c r="V6" t="inlineStr">
        <is>
          <t>non</t>
        </is>
      </c>
      <c r="W6" t="inlineStr">
        <is>
          <t>Mixte/Autre</t>
        </is>
      </c>
      <c r="X6" t="inlineStr">
        <is>
          <t>Mairie</t>
        </is>
      </c>
      <c r="Y6" t="inlineStr">
        <is>
          <t>SERVICES</t>
        </is>
      </c>
      <c r="Z6" t="inlineStr">
        <is>
          <t>Procédure Adaptée</t>
        </is>
      </c>
      <c r="AA6" t="inlineStr">
        <is>
          <t>Avis de marché</t>
        </is>
      </c>
      <c r="AB6" t="inlineStr">
        <is>
          <t>Nettoyage urbain</t>
        </is>
      </c>
      <c r="AC6" t="inlineStr"/>
      <c r="AD6" s="11" t="inlineStr">
        <is>
          <t>https://www.boamp.fr/pages/avis/?q=idweb:26-82885</t>
        </is>
      </c>
      <c r="AE6" t="inlineStr">
        <is>
          <t>https://www.achatpublic.com/sdm/ent2/gen/index.jsp</t>
        </is>
      </c>
      <c r="AF6" t="inlineStr">
        <is>
          <t>https://www.achatpublic.com/sdm/ent2/gen/index.jsp</t>
        </is>
      </c>
      <c r="AG6" t="inlineStr">
        <is>
          <t>nettoyage</t>
        </is>
      </c>
      <c r="AH6" t="inlineStr">
        <is>
          <t>4</t>
        </is>
      </c>
      <c r="AI6" t="inlineStr">
        <is>
          <t>78</t>
        </is>
      </c>
      <c r="AJ6" t="inlineStr">
        <is>
          <t>INFO_PARTIELLE</t>
        </is>
      </c>
      <c r="AK6" t="inlineStr">
        <is>
          <t>75.5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SIRET, adresse,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6" t="inlineStr">
        <is>
          <t>Verifier url_avis et DCE si disponible</t>
        </is>
      </c>
      <c r="AV6" t="inlineStr">
        <is>
          <t>LIEN_SEUL</t>
        </is>
      </c>
      <c r="AW6" t="inlineStr"/>
      <c r="AX6" t="inlineStr"/>
      <c r="AY6" t="inlineStr"/>
      <c r="AZ6" t="inlineStr"/>
      <c r="BA6" t="inlineStr"/>
      <c r="BB6" t="inlineStr">
        <is>
          <t>+28.5 mots-cles nettoyage forts (1 termes) | +10 budget non affiche (a verifier) | +15 procedure adaptee / MAPA / allotissement | +10 secteur cible Mairie | +10.0 delai 30 j | +2.0 dossier renseigne (4/4)</t>
        </is>
      </c>
      <c r="BC6" t="inlineStr">
        <is>
          <t>Mairie de Maule publie un AO potentiellement pertinent pour CHRUTH : Balayage des voies, trottoirs et caniveaux. Zone : Maule. Budget a verifier. Verifier le lien source avant contact.</t>
        </is>
      </c>
      <c r="BD6"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6"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2026-W35</t>
        </is>
      </c>
    </row>
    <row r="7">
      <c r="A7" t="inlineStr">
        <is>
          <t>BOAMP</t>
        </is>
      </c>
      <c r="B7" t="inlineStr">
        <is>
          <t>26-74949</t>
        </is>
      </c>
      <c r="C7" t="inlineStr">
        <is>
          <t>Prestations D'Entretien Ménager Des Gymnases De La Ville De Roissy-En-Brie</t>
        </is>
      </c>
      <c r="D7" t="inlineStr">
        <is>
          <t>Mairie de Roissy-en-Brie</t>
        </is>
      </c>
      <c r="E7" t="inlineStr">
        <is>
          <t>21770390900010</t>
        </is>
      </c>
      <c r="F7" t="inlineStr">
        <is>
          <t>217703909</t>
        </is>
      </c>
      <c r="G7" t="inlineStr">
        <is>
          <t>Service Commande Publique</t>
        </is>
      </c>
      <c r="H7" t="inlineStr"/>
      <c r="I7" t="inlineStr"/>
      <c r="J7" t="inlineStr">
        <is>
          <t>0390900010</t>
        </is>
      </c>
      <c r="K7" t="inlineStr">
        <is>
          <t>77680 - ROISSY-EN-BRIE</t>
        </is>
      </c>
      <c r="L7" t="inlineStr">
        <is>
          <t>77680</t>
        </is>
      </c>
      <c r="M7" t="inlineStr">
        <is>
          <t>ROISSY EN BRIE</t>
        </is>
      </c>
      <c r="N7" t="inlineStr">
        <is>
          <t>77</t>
        </is>
      </c>
      <c r="O7" t="inlineStr"/>
      <c r="P7" t="inlineStr">
        <is>
          <t>Ile-de-France</t>
        </is>
      </c>
      <c r="Q7" s="15" t="n">
        <v>46230</v>
      </c>
      <c r="R7" s="15" t="n">
        <v>46262</v>
      </c>
      <c r="S7" s="14" t="n">
        <v>77680</v>
      </c>
      <c r="T7" t="inlineStr">
        <is>
          <t>BUDGET_SOUS_SEUIL</t>
        </is>
      </c>
      <c r="U7" t="inlineStr">
        <is>
          <t>77680.0</t>
        </is>
      </c>
      <c r="V7" t="inlineStr">
        <is>
          <t>non</t>
        </is>
      </c>
      <c r="W7" t="inlineStr">
        <is>
          <t>Batiments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https://www.boamp.fr/pages/avis/?q=idweb:26-74949</t>
        </is>
      </c>
      <c r="AE7" t="inlineStr">
        <is>
          <t>https://www.marches-publics.info/mpiaws/index.cfm?fuseaction=dematent.login&amp;type=Dce&amp;Idm=1855543</t>
        </is>
      </c>
      <c r="AF7" t="inlineStr">
        <is>
          <t>https://www.marches-publics.info/mpiaws/index.cfm?fuseaction=dematent.login&amp;type=Dce&amp;Idm=1855543</t>
        </is>
      </c>
      <c r="AG7" t="inlineStr">
        <is>
          <t>nettoyage, entretien menager</t>
        </is>
      </c>
      <c r="AH7" t="inlineStr">
        <is>
          <t>5</t>
        </is>
      </c>
      <c r="AI7" t="inlineStr">
        <is>
          <t>92</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email</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7" t="inlineStr">
        <is>
          <t>Verifier url_avis et DCE si disponible</t>
        </is>
      </c>
      <c r="AV7" t="inlineStr">
        <is>
          <t>LIEN_SEUL</t>
        </is>
      </c>
      <c r="AW7" t="inlineStr"/>
      <c r="AX7" t="inlineStr"/>
      <c r="AY7" t="inlineStr"/>
      <c r="AZ7" t="inlineStr"/>
      <c r="BA7" t="inlineStr"/>
      <c r="BB7" t="inlineStr">
        <is>
          <t>+35 nettoyage + categorie claire | +20 budget annualise &lt;= 100 000 EUR | +10 secteur cible Mairie | +10 delai confortable 31j</t>
        </is>
      </c>
      <c r="BC7" t="inlineStr">
        <is>
          <t>Mairie de Roissy-en-Brie publie un AO potentiellement pertinent pour CHRUTH : Prestations D'Entretien Ménager Des Gymnases De La Ville De Roissy-En-Brie. Zone : ROISSY EN BRIE. Budget detecte environ 77 680 EUR. Verifier le lien source avant contact.</t>
        </is>
      </c>
      <c r="BD7"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7"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2026-W31</t>
        </is>
      </c>
    </row>
    <row r="8">
      <c r="A8" t="inlineStr">
        <is>
          <t>BOAMP</t>
        </is>
      </c>
      <c r="B8" t="inlineStr">
        <is>
          <t>26-74013</t>
        </is>
      </c>
      <c r="C8" t="inlineStr">
        <is>
          <t>Prestations de nettoyage des locaux de l'École nationale supérieure d’architecture de Paris-La Villette</t>
        </is>
      </c>
      <c r="D8" t="inlineStr">
        <is>
          <t>ENSA Paris-La Villette</t>
        </is>
      </c>
      <c r="E8" t="inlineStr">
        <is>
          <t>19751875600014</t>
        </is>
      </c>
      <c r="F8" t="inlineStr">
        <is>
          <t>197518756</t>
        </is>
      </c>
      <c r="G8" t="inlineStr">
        <is>
          <t>ACHOUR</t>
        </is>
      </c>
      <c r="H8" t="inlineStr"/>
      <c r="I8" t="inlineStr">
        <is>
          <t>safae.achour@paris-lavillette.archi.fr</t>
        </is>
      </c>
      <c r="J8" t="inlineStr">
        <is>
          <t>07-23 2026-09</t>
        </is>
      </c>
      <c r="K8" t="inlineStr">
        <is>
          <t>75019</t>
        </is>
      </c>
      <c r="L8" t="inlineStr">
        <is>
          <t>75019</t>
        </is>
      </c>
      <c r="M8" t="inlineStr">
        <is>
          <t>Paris</t>
        </is>
      </c>
      <c r="N8" t="inlineStr">
        <is>
          <t>75,92,93,91,95,77,94</t>
        </is>
      </c>
      <c r="O8" t="inlineStr"/>
      <c r="P8" t="inlineStr">
        <is>
          <t>Ile-de-France</t>
        </is>
      </c>
      <c r="Q8" s="15" t="n">
        <v>46226</v>
      </c>
      <c r="R8" s="15" t="n">
        <v>46293</v>
      </c>
      <c r="S8" s="14" t="n">
        <v>75019</v>
      </c>
      <c r="T8" t="inlineStr">
        <is>
          <t>BUDGET_SOUS_SEUIL</t>
        </is>
      </c>
      <c r="U8" t="inlineStr">
        <is>
          <t>75019.0</t>
        </is>
      </c>
      <c r="V8" t="inlineStr">
        <is>
          <t>non</t>
        </is>
      </c>
      <c r="W8" t="inlineStr">
        <is>
          <t>Batiments</t>
        </is>
      </c>
      <c r="X8" t="inlineStr">
        <is>
          <t>Ecole</t>
        </is>
      </c>
      <c r="Y8" t="inlineStr">
        <is>
          <t>SERVICES</t>
        </is>
      </c>
      <c r="Z8" t="inlineStr">
        <is>
          <t>Procédure Ouverte</t>
        </is>
      </c>
      <c r="AA8" t="inlineStr">
        <is>
          <t>Avis de marché</t>
        </is>
      </c>
      <c r="AB8" t="inlineStr">
        <is>
          <t>Nettoyage de locaux</t>
        </is>
      </c>
      <c r="AC8" t="inlineStr"/>
      <c r="AD8" s="11" t="inlineStr">
        <is>
          <t>https://www.boamp.fr/pages/avis/?q=idweb:26-74013</t>
        </is>
      </c>
      <c r="AE8" t="inlineStr">
        <is>
          <t>https://www.marches-publics.gouv.fr/entreprise/consultation/3044724?orgAcronyme=f5j</t>
        </is>
      </c>
      <c r="AF8" t="inlineStr">
        <is>
          <t>https://www.marches-publics.gouv.fr/entreprise/consultation/3044724?orgAcronyme=f5j</t>
        </is>
      </c>
      <c r="AG8" t="inlineStr">
        <is>
          <t>nettoyage</t>
        </is>
      </c>
      <c r="AH8" t="inlineStr">
        <is>
          <t>6</t>
        </is>
      </c>
      <c r="AI8" t="inlineStr">
        <is>
          <t>98</t>
        </is>
      </c>
      <c r="AJ8" t="inlineStr">
        <is>
          <t>INFO_PARTIELLE</t>
        </is>
      </c>
      <c r="AK8" t="inlineStr">
        <is>
          <t>75</t>
        </is>
      </c>
      <c r="AL8" s="13" t="inlineStr">
        <is>
          <t>CHAUD</t>
        </is>
      </c>
      <c r="AM8" t="inlineStr"/>
      <c r="AN8" t="inlineStr"/>
      <c r="AO8" t="inlineStr"/>
      <c r="AP8" t="inlineStr"/>
      <c r="AQ8" t="inlineStr">
        <is>
          <t>IA_CONTROLE_SOURCE</t>
        </is>
      </c>
      <c r="AR8" t="inlineStr">
        <is>
          <t>Verifier rapidement la source avant contact.</t>
        </is>
      </c>
      <c r="AS8" t="inlineStr">
        <is>
          <t>Aucun champ critique manquant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8" t="inlineStr">
        <is>
          <t>Verifier url_avis et DCE si disponible</t>
        </is>
      </c>
      <c r="AV8" t="inlineStr"/>
      <c r="AW8" t="inlineStr"/>
      <c r="AX8" t="inlineStr"/>
      <c r="AY8" t="inlineStr"/>
      <c r="AZ8" t="inlineStr"/>
      <c r="BA8" t="inlineStr"/>
      <c r="BB8" t="inlineStr">
        <is>
          <t>+35 nettoyage + categorie claire | +20 budget annualise &lt;= 100 000 EUR | +10 secteur cible Ecole | +10 delai confortable 62j</t>
        </is>
      </c>
      <c r="BC8"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8"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8"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26-72283</t>
        </is>
      </c>
      <c r="C9" t="inlineStr">
        <is>
          <t>Prestation d'écrivains publics interprètes à Montreuil</t>
        </is>
      </c>
      <c r="D9" t="inlineStr">
        <is>
          <t>Mairie de Montreuil</t>
        </is>
      </c>
      <c r="E9" t="inlineStr">
        <is>
          <t>21930048000015</t>
        </is>
      </c>
      <c r="F9" t="inlineStr">
        <is>
          <t>219300480</t>
        </is>
      </c>
      <c r="G9" t="inlineStr">
        <is>
          <t>Service des achats et de la commande publique</t>
        </is>
      </c>
      <c r="H9" t="inlineStr"/>
      <c r="I9" t="inlineStr">
        <is>
          <t>sacop@montreuil.fr</t>
        </is>
      </c>
      <c r="J9" t="inlineStr">
        <is>
          <t>+33 331487060</t>
        </is>
      </c>
      <c r="K9" t="inlineStr">
        <is>
          <t>(93) Seine-Saint-Denis</t>
        </is>
      </c>
      <c r="L9" t="inlineStr">
        <is>
          <t>93100</t>
        </is>
      </c>
      <c r="M9" t="inlineStr">
        <is>
          <t>Montreuil</t>
        </is>
      </c>
      <c r="N9" t="inlineStr">
        <is>
          <t>93</t>
        </is>
      </c>
      <c r="O9" t="inlineStr"/>
      <c r="P9" t="inlineStr">
        <is>
          <t>Ile-de-France</t>
        </is>
      </c>
      <c r="Q9" s="15" t="n">
        <v>46223</v>
      </c>
      <c r="R9" s="15" t="n">
        <v>46276</v>
      </c>
      <c r="S9" s="14" t="n">
        <v>93100</v>
      </c>
      <c r="T9" t="inlineStr">
        <is>
          <t>BUDGET_SOUS_SEUIL</t>
        </is>
      </c>
      <c r="U9" t="inlineStr">
        <is>
          <t>93100.0</t>
        </is>
      </c>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https://www.boamp.fr/pages/avis/?q=idweb:26-72283</t>
        </is>
      </c>
      <c r="AE9" t="inlineStr">
        <is>
          <t>https://marches.maximilien.fr/entreprise/consultation/943753?orgAcronyme=d6a</t>
        </is>
      </c>
      <c r="AF9" t="inlineStr">
        <is>
          <t>https://marches.maximilien.fr/entreprise/consultation/943753?orgAcronyme=d6a</t>
        </is>
      </c>
      <c r="AG9" t="inlineStr">
        <is>
          <t>nettoyage</t>
        </is>
      </c>
      <c r="AH9" t="inlineStr">
        <is>
          <t>6</t>
        </is>
      </c>
      <c r="AI9" t="inlineStr">
        <is>
          <t>98</t>
        </is>
      </c>
      <c r="AJ9" t="inlineStr">
        <is>
          <t>INFO_PARTIELLE</t>
        </is>
      </c>
      <c r="AK9" t="inlineStr">
        <is>
          <t>75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9" t="inlineStr">
        <is>
          <t>Verifier url_avis et DCE si disponible</t>
        </is>
      </c>
      <c r="AV9" t="inlineStr"/>
      <c r="AW9" t="inlineStr"/>
      <c r="AX9" t="inlineStr"/>
      <c r="AY9" t="inlineStr"/>
      <c r="AZ9" t="inlineStr"/>
      <c r="BA9" t="inlineStr"/>
      <c r="BB9" t="inlineStr">
        <is>
          <t>+35 nettoyage + categorie claire | +20 budget annualise &lt;= 100 000 EUR | +10 secteur cible Mairie | +10 delai confortable 45j</t>
        </is>
      </c>
      <c r="BC9" t="inlineStr">
        <is>
          <t>Mairie de Montreuil publie un AO potentiellement pertinent pour CHRUTH : Prestation d'écrivains publics interprètes à Montreuil. Zone : Montreuil. Budget detecte environ 93 100 EUR. Verifier le lien source avant contact.</t>
        </is>
      </c>
      <c r="BD9"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9"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2026-W30</t>
        </is>
      </c>
    </row>
    <row r="10">
      <c r="A10" t="inlineStr">
        <is>
          <t>BOAMP</t>
        </is>
      </c>
      <c r="B10" t="inlineStr">
        <is>
          <t>26-80939</t>
        </is>
      </c>
      <c r="C10" t="inlineStr">
        <is>
          <t>Plantation et entretien du patrimoine arboré des propriétés communales</t>
        </is>
      </c>
      <c r="D10" t="inlineStr">
        <is>
          <t>Ville de Longjumeau</t>
        </is>
      </c>
      <c r="E10" t="inlineStr">
        <is>
          <t>21910345400225</t>
        </is>
      </c>
      <c r="F10" t="inlineStr">
        <is>
          <t>219103454</t>
        </is>
      </c>
      <c r="G10" t="inlineStr"/>
      <c r="H10" t="inlineStr"/>
      <c r="I10" t="inlineStr">
        <is>
          <t>achatpublic@longjumeau.fr</t>
        </is>
      </c>
      <c r="J10" t="inlineStr">
        <is>
          <t>0345400225</t>
        </is>
      </c>
      <c r="K10" t="inlineStr"/>
      <c r="L10" t="inlineStr"/>
      <c r="M10" t="inlineStr"/>
      <c r="N10" t="inlineStr">
        <is>
          <t>91</t>
        </is>
      </c>
      <c r="O10" t="inlineStr"/>
      <c r="P10" t="inlineStr">
        <is>
          <t>Ile-de-France</t>
        </is>
      </c>
      <c r="Q10" s="15" t="n">
        <v>46252</v>
      </c>
      <c r="R10" s="15" t="n">
        <v>46289</v>
      </c>
      <c r="S10" s="14" t="n">
        <v>85000</v>
      </c>
      <c r="T10" t="inlineStr">
        <is>
          <t>BUDGET_SOUS_SEUIL</t>
        </is>
      </c>
      <c r="U10" t="inlineStr">
        <is>
          <t>21250</t>
        </is>
      </c>
      <c r="V10" t="inlineStr">
        <is>
          <t>oui</t>
        </is>
      </c>
      <c r="W10" t="inlineStr">
        <is>
          <t>Mixte/Autre</t>
        </is>
      </c>
      <c r="X10" t="inlineStr">
        <is>
          <t>Mairie</t>
        </is>
      </c>
      <c r="Y10" t="inlineStr">
        <is>
          <t>SERVICES</t>
        </is>
      </c>
      <c r="Z10" t="inlineStr">
        <is>
          <t>Procédure Ouverte</t>
        </is>
      </c>
      <c r="AA10" t="inlineStr">
        <is>
          <t>Avis de marché</t>
        </is>
      </c>
      <c r="AB10" t="inlineStr">
        <is>
          <t>Matériel agricole, horticole</t>
        </is>
      </c>
      <c r="AC10" t="inlineStr"/>
      <c r="AD10" s="11" t="inlineStr">
        <is>
          <t>https://www.boamp.fr/pages/avis/?q=idweb:26-80939</t>
        </is>
      </c>
      <c r="AE10" t="inlineStr">
        <is>
          <t>http://longjumeau.e-marchespublics.com</t>
        </is>
      </c>
      <c r="AF10" t="inlineStr">
        <is>
          <t>http://longjumeau.e-marchespublics.com</t>
        </is>
      </c>
      <c r="AG10" t="inlineStr">
        <is>
          <t>nettoyage</t>
        </is>
      </c>
      <c r="AH10" t="inlineStr">
        <is>
          <t>3</t>
        </is>
      </c>
      <c r="AI10" t="inlineStr">
        <is>
          <t>68</t>
        </is>
      </c>
      <c r="AJ10" t="inlineStr">
        <is>
          <t>INFO_PARTIELLE</t>
        </is>
      </c>
      <c r="AK10" t="inlineStr">
        <is>
          <t>73.5</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26-80939. Objet: Plantation et entretien du patrimoine arboré des propriétés communales. Acheteur: Ville de Longjumeau. Lien: https://www.boamp.fr/pages/avis/?q=idweb:26-80939.</t>
        </is>
      </c>
      <c r="AU10" t="inlineStr">
        <is>
          <t>Verifier url_avis et DCE si disponible</t>
        </is>
      </c>
      <c r="AV10" t="inlineStr"/>
      <c r="AW10" t="inlineStr"/>
      <c r="AX10" t="inlineStr"/>
      <c r="AY10" t="inlineStr"/>
      <c r="AZ10" t="inlineStr"/>
      <c r="BA10" t="inlineStr"/>
      <c r="BB10" t="inlineStr">
        <is>
          <t>+28.5 mots-cles nettoyage forts (1 termes) | +25.0 budget annualise 21 250 EUR | +10 secteur cible Mairie | +8.5 delai 24 j | +1.5 dossier renseigne (3/4)</t>
        </is>
      </c>
      <c r="BC10" t="inlineStr">
        <is>
          <t>Ville de Longjumeau publie un AO potentiellement pertinent pour CHRUTH : Plantation et entretien du patrimoine arboré des propriétés communales. Zone : 91. Budget detecte environ 85 000 EUR. Verifier le lien source avant contact.</t>
        </is>
      </c>
      <c r="BD10" t="inlineStr">
        <is>
          <t>Bonjour,
Je me permets de vous contacter au sujet de votre appel d'offres : Plantation et entretien du patrimoine arboré des propriétés communales.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10"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2026-W34</t>
        </is>
      </c>
    </row>
    <row r="11">
      <c r="A11" t="inlineStr">
        <is>
          <t>BOAMP</t>
        </is>
      </c>
      <c r="B11" t="inlineStr">
        <is>
          <t>26-80740</t>
        </is>
      </c>
      <c r="C11" t="inlineStr">
        <is>
          <t>Entretien Ménager - Service Ordures Ménagères -</t>
        </is>
      </c>
      <c r="D11" t="inlineStr">
        <is>
          <t>SAEM de construction Maisons-Laffitte</t>
        </is>
      </c>
      <c r="E11" t="inlineStr"/>
      <c r="F11" t="inlineStr"/>
      <c r="G11" t="inlineStr">
        <is>
          <t>VEGAS M.JUAN CARLOS</t>
        </is>
      </c>
      <c r="H11" t="inlineStr"/>
      <c r="I11" t="inlineStr">
        <is>
          <t>service.saem@maisonslaffitte.fr</t>
        </is>
      </c>
      <c r="J11" t="inlineStr">
        <is>
          <t>0134937166</t>
        </is>
      </c>
      <c r="K11" t="inlineStr"/>
      <c r="L11" t="inlineStr">
        <is>
          <t>78605</t>
        </is>
      </c>
      <c r="M11" t="inlineStr">
        <is>
          <t>Maisons-Laffitte Cedex</t>
        </is>
      </c>
      <c r="N11" t="inlineStr">
        <is>
          <t>78</t>
        </is>
      </c>
      <c r="O11" t="inlineStr"/>
      <c r="P11" t="inlineStr">
        <is>
          <t>Ile-de-France</t>
        </is>
      </c>
      <c r="Q11" s="15" t="n">
        <v>46248</v>
      </c>
      <c r="R11" s="15" t="n">
        <v>46326</v>
      </c>
      <c r="S11" t="inlineStr"/>
      <c r="T11" t="inlineStr">
        <is>
          <t>A_VERIFIER_BUDGET</t>
        </is>
      </c>
      <c r="U11" t="inlineStr"/>
      <c r="V11" t="inlineStr">
        <is>
          <t>non</t>
        </is>
      </c>
      <c r="W11" t="inlineStr">
        <is>
          <t>Vitres</t>
        </is>
      </c>
      <c r="X11" t="inlineStr">
        <is>
          <t>Autre</t>
        </is>
      </c>
      <c r="Y11" t="inlineStr">
        <is>
          <t>SERVICES</t>
        </is>
      </c>
      <c r="Z11" t="inlineStr">
        <is>
          <t>Procédure Adaptée</t>
        </is>
      </c>
      <c r="AA11" t="inlineStr">
        <is>
          <t>Avis de marché</t>
        </is>
      </c>
      <c r="AB11" t="inlineStr">
        <is>
          <t>Nettoyage de locaux</t>
        </is>
      </c>
      <c r="AC11" t="inlineStr"/>
      <c r="AD11" s="11" t="inlineStr">
        <is>
          <t>https://www.boamp.fr/pages/avis/?q=idweb:26-80740</t>
        </is>
      </c>
      <c r="AE11" t="inlineStr">
        <is>
          <t>https://www.e-marchespublics.com/appel-offre/1178203</t>
        </is>
      </c>
      <c r="AF11" t="inlineStr">
        <is>
          <t>https://www.e-marchespublics.com/appel-offre/1178203</t>
        </is>
      </c>
      <c r="AG11" t="inlineStr">
        <is>
          <t>nettoyage, menage, entretien menager</t>
        </is>
      </c>
      <c r="AH11" t="inlineStr">
        <is>
          <t>4</t>
        </is>
      </c>
      <c r="AI11" t="inlineStr">
        <is>
          <t>90</t>
        </is>
      </c>
      <c r="AJ11" t="inlineStr">
        <is>
          <t>INFO_PARTIELLE</t>
        </is>
      </c>
      <c r="AK11" t="inlineStr">
        <is>
          <t>71.0</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SIRET, adresse,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+15 procedure adaptee / MAPA / allotissement | +10.0 delai 61 j | +2.0 dossier renseigne (4/4)</t>
        </is>
      </c>
      <c r="BC11" t="inlineStr">
        <is>
          <t>SAEM de construction Maisons-Laffitte publie un AO potentiellement pertinent pour CHRUTH : Entretien Ménager - Service Ordures Ménagères -. Zone : Maisons-Laffitte Cedex. Budget a verifier. Verifier le lien source avant contact.</t>
        </is>
      </c>
      <c r="BD11"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11"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26-78436</t>
        </is>
      </c>
      <c r="C12" t="inlineStr">
        <is>
          <t>Nettoyage Des Batiments Communaux Et Nettoyage Des Vitres</t>
        </is>
      </c>
      <c r="D12" t="inlineStr">
        <is>
          <t>Mairie De Gouvernes</t>
        </is>
      </c>
      <c r="E12" t="inlineStr">
        <is>
          <t>21770209100018</t>
        </is>
      </c>
      <c r="F12" t="inlineStr">
        <is>
          <t>217702091</t>
        </is>
      </c>
      <c r="G12" t="inlineStr">
        <is>
          <t>Service Commande publique</t>
        </is>
      </c>
      <c r="H12" t="inlineStr"/>
      <c r="I12" t="inlineStr"/>
      <c r="J12" t="inlineStr">
        <is>
          <t>0209100018</t>
        </is>
      </c>
      <c r="K12" t="inlineStr">
        <is>
          <t>FR102 - Seine-et-Marne</t>
        </is>
      </c>
      <c r="L12" t="inlineStr">
        <is>
          <t>77400</t>
        </is>
      </c>
      <c r="M12" t="inlineStr">
        <is>
          <t>GOUVERNES</t>
        </is>
      </c>
      <c r="N12" t="inlineStr">
        <is>
          <t>77</t>
        </is>
      </c>
      <c r="O12" t="inlineStr"/>
      <c r="P12" t="inlineStr">
        <is>
          <t>Ile-de-France</t>
        </is>
      </c>
      <c r="Q12" s="15" t="n">
        <v>46240</v>
      </c>
      <c r="R12" s="15" t="n">
        <v>46279</v>
      </c>
      <c r="S12" s="14" t="n">
        <v>77400</v>
      </c>
      <c r="T12" t="inlineStr">
        <is>
          <t>BUDGET_SOUS_SEUIL</t>
        </is>
      </c>
      <c r="U12" t="inlineStr">
        <is>
          <t>77400.0</t>
        </is>
      </c>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https://www.boamp.fr/pages/avis/?q=idweb:26-78436</t>
        </is>
      </c>
      <c r="AE12" t="inlineStr">
        <is>
          <t>https://www.marches-publics.info/mpiaws/index.cfm?fuseaction=dematent.login&amp;type=Dce&amp;Idm=1859473</t>
        </is>
      </c>
      <c r="AF12" t="inlineStr">
        <is>
          <t>https://www.marches-publics.info/mpiaws/index.cfm?fuseaction=dematent.login&amp;type=Dce&amp;Idm=1859473</t>
        </is>
      </c>
      <c r="AG12" t="inlineStr">
        <is>
          <t>nettoyage</t>
        </is>
      </c>
      <c r="AH12" t="inlineStr">
        <is>
          <t>5</t>
        </is>
      </c>
      <c r="AI12" t="inlineStr">
        <is>
          <t>88</t>
        </is>
      </c>
      <c r="AJ12" t="inlineStr">
        <is>
          <t>INFO_PARTIELLE</t>
        </is>
      </c>
      <c r="AK12" t="inlineStr">
        <is>
          <t>70.5</t>
        </is>
      </c>
      <c r="AL12" s="13" t="inlineStr">
        <is>
          <t>CHAUD</t>
        </is>
      </c>
      <c r="AM12" t="inlineStr"/>
      <c r="AN12" t="inlineStr"/>
      <c r="AO12" t="inlineStr"/>
      <c r="AP12" t="inlineStr"/>
      <c r="AQ12" t="inlineStr">
        <is>
          <t>IA_CONTACT_A_COMPLETER</t>
        </is>
      </c>
      <c r="AR12" t="inlineStr">
        <is>
          <t>Completer les champs manquants depuis l'avis source, le site acheteur ou le DCE.</t>
        </is>
      </c>
      <c r="AS12" t="inlineStr">
        <is>
          <t>email</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26-78436. Objet: Nettoyage Des Batiments Communaux Et Nettoyage Des Vitres. Acheteur: Mairie De Gouvernes. Lien: https://www.boamp.fr/pages/avis/?q=idweb:26-78436.</t>
        </is>
      </c>
      <c r="AU12" t="inlineStr">
        <is>
          <t>Verifier url_avis et DCE si disponible</t>
        </is>
      </c>
      <c r="AV12" t="inlineStr">
        <is>
          <t>LIEN_SEUL</t>
        </is>
      </c>
      <c r="AW12" t="inlineStr"/>
      <c r="AX12" t="inlineStr"/>
      <c r="AY12" t="inlineStr"/>
      <c r="AZ12" t="inlineStr"/>
      <c r="BA12" t="inlineStr"/>
      <c r="BB12" t="inlineStr">
        <is>
          <t>+33.5 nettoyage + categorie claire (1 termes) | +19.5 budget annualise 77 400 EUR | +10 secteur cible Mairie | +6.0 delai 14 j | +1.5 dossier renseigne (3/4)</t>
        </is>
      </c>
      <c r="BC12" t="inlineStr">
        <is>
          <t>Mairie De Gouvernes publie un AO potentiellement pertinent pour CHRUTH : Nettoyage Des Batiments Communaux Et Nettoyage Des Vitres. Zone : GOUVERNES. Budget detecte environ 77 400 EUR. Verifier le lien source avant contact.</t>
        </is>
      </c>
      <c r="BD12" t="inlineStr">
        <is>
          <t>Bonjour,
Je me permets de vous contacter au sujet de votre appel d'offres : Nettoyage Des Batiments Communaux Et Nettoyage Des Vitres.
CHRUTH accompagne les structures publiques et privées sur les besoins de nettoyage, d'entretien des locaux et d'organisation de prestations de service.
Serait-il possible d'échanger rapidement afin de vérifier les modalités de réponse et les attentes de Mairie De Gouvernes ?
Cordialement,</t>
        </is>
      </c>
      <c r="BE12" t="inlineStr">
        <is>
          <t>Bonjour, je vous appelle concernant un appel d'offres publié par Mairie De Gouvernes.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2026-W32</t>
        </is>
      </c>
    </row>
    <row r="13">
      <c r="A13" t="inlineStr">
        <is>
          <t>BOAMP</t>
        </is>
      </c>
      <c r="B13" t="inlineStr">
        <is>
          <t>26-70858</t>
        </is>
      </c>
      <c r="C13" t="inlineStr">
        <is>
          <t>Nettoyage des locaux de l'EPAMSA</t>
        </is>
      </c>
      <c r="D13" t="inlineStr">
        <is>
          <t>EPAMSA</t>
        </is>
      </c>
      <c r="E13" t="inlineStr">
        <is>
          <t>41063810000033</t>
        </is>
      </c>
      <c r="F13" t="inlineStr">
        <is>
          <t>410638100</t>
        </is>
      </c>
      <c r="G13" t="inlineStr">
        <is>
          <t>Courteille</t>
        </is>
      </c>
      <c r="H13" t="inlineStr"/>
      <c r="I13" t="inlineStr">
        <is>
          <t>t.courteille@epamsa.fr</t>
        </is>
      </c>
      <c r="J13" t="inlineStr">
        <is>
          <t>0638100000</t>
        </is>
      </c>
      <c r="K13" t="inlineStr">
        <is>
          <t>Mantes-la-Jolie</t>
        </is>
      </c>
      <c r="L13" t="inlineStr">
        <is>
          <t>78200</t>
        </is>
      </c>
      <c r="M13" t="inlineStr">
        <is>
          <t>MANTES-LA-JOLIE</t>
        </is>
      </c>
      <c r="N13" t="inlineStr">
        <is>
          <t>78</t>
        </is>
      </c>
      <c r="O13" t="inlineStr"/>
      <c r="P13" t="inlineStr">
        <is>
          <t>Ile-de-France</t>
        </is>
      </c>
      <c r="Q13" s="15" t="n">
        <v>46219</v>
      </c>
      <c r="R13" s="15" t="n">
        <v>46269</v>
      </c>
      <c r="S13" s="14" t="n">
        <v>78200</v>
      </c>
      <c r="T13" t="inlineStr">
        <is>
          <t>BUDGET_SOUS_SEUIL</t>
        </is>
      </c>
      <c r="U13" t="inlineStr">
        <is>
          <t>19550</t>
        </is>
      </c>
      <c r="V13" t="inlineStr">
        <is>
          <t>oui</t>
        </is>
      </c>
      <c r="W13" t="inlineStr">
        <is>
          <t>Batiments</t>
        </is>
      </c>
      <c r="X13" t="inlineStr">
        <is>
          <t>Autre</t>
        </is>
      </c>
      <c r="Y13" t="inlineStr">
        <is>
          <t>SERVICES</t>
        </is>
      </c>
      <c r="Z13" t="inlineStr">
        <is>
          <t>Procédure Ouverte</t>
        </is>
      </c>
      <c r="AA13" t="inlineStr">
        <is>
          <t>Avis de marché</t>
        </is>
      </c>
      <c r="AB13" t="inlineStr">
        <is>
          <t>Nettoyage de locaux</t>
        </is>
      </c>
      <c r="AC13" t="inlineStr">
        <is>
          <t>['sociaux', 'environnementaux']</t>
        </is>
      </c>
      <c r="AD13" s="11" t="inlineStr">
        <is>
          <t>https://www.boamp.fr/pages/avis/?q=idweb:26-70858</t>
        </is>
      </c>
      <c r="AE13" t="inlineStr">
        <is>
          <t>https://www.marches-publics.gouv.fr/entreprise/consultation/3039334?orgAcronyme=d4t</t>
        </is>
      </c>
      <c r="AF13" t="inlineStr">
        <is>
          <t>https://www.marches-publics.gouv.fr/entreprise/consultation/3039334?orgAcronyme=d4t</t>
        </is>
      </c>
      <c r="AG13" t="inlineStr">
        <is>
          <t>nettoyage</t>
        </is>
      </c>
      <c r="AH13" t="inlineStr">
        <is>
          <t>6</t>
        </is>
      </c>
      <c r="AI13" t="inlineStr">
        <is>
          <t>98</t>
        </is>
      </c>
      <c r="AJ13" t="inlineStr">
        <is>
          <t>INFO_PARTIELLE</t>
        </is>
      </c>
      <c r="AK13" t="inlineStr">
        <is>
          <t>70</t>
        </is>
      </c>
      <c r="AL13" s="13" t="inlineStr">
        <is>
          <t>CHAUD</t>
        </is>
      </c>
      <c r="AM13" t="inlineStr"/>
      <c r="AN13" t="inlineStr"/>
      <c r="AO13" t="inlineStr"/>
      <c r="AP13" t="inlineStr"/>
      <c r="AQ13" t="inlineStr">
        <is>
          <t>IA_CONTROLE_SOURCE</t>
        </is>
      </c>
      <c r="AR13" t="inlineStr">
        <is>
          <t>Verifier rapidement la source avant contact.</t>
        </is>
      </c>
      <c r="AS13" t="inlineStr">
        <is>
          <t>Aucun champ critique manquant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13" t="inlineStr">
        <is>
          <t>Verifier url_avis et DCE si disponible</t>
        </is>
      </c>
      <c r="AV13" t="inlineStr"/>
      <c r="AW13" t="inlineStr"/>
      <c r="AX13" t="inlineStr"/>
      <c r="AY13" t="inlineStr"/>
      <c r="AZ13" t="inlineStr"/>
      <c r="BA13" t="inlineStr"/>
      <c r="BB13" t="inlineStr">
        <is>
          <t>+35 nettoyage + categorie claire | +25 budget annualise &lt;= 50 000 EUR | +10 delai confortable 38j</t>
        </is>
      </c>
      <c r="BC13" t="inlineStr">
        <is>
          <t>EPAMSA publie un AO potentiellement pertinent pour CHRUTH : Nettoyage des locaux de l'EPAMSA. Zone : MANTES-LA-JOLIE. Budget detecte environ 78 200 EUR. Verifier le lien source avant contact.</t>
        </is>
      </c>
      <c r="BD13"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13"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26-70565</t>
        </is>
      </c>
      <c r="C14" t="inlineStr">
        <is>
          <t>TRAVAUX D'AMÉNAGEMENT INTÉRIEUR DU R+1 ET COMBLE DE LA FERME DURPÉ</t>
        </is>
      </c>
      <c r="D14" t="inlineStr">
        <is>
          <t>COMMUNE DE MAGNY LE HONGRE</t>
        </is>
      </c>
      <c r="E14" t="inlineStr">
        <is>
          <t>21770268700013</t>
        </is>
      </c>
      <c r="F14" t="inlineStr">
        <is>
          <t>217702687</t>
        </is>
      </c>
      <c r="G14" t="inlineStr">
        <is>
          <t>M. SOW LAMARANA</t>
        </is>
      </c>
      <c r="H14" t="inlineStr"/>
      <c r="I14" t="inlineStr">
        <is>
          <t>service-mp@magnylehongre.fr</t>
        </is>
      </c>
      <c r="J14" t="inlineStr">
        <is>
          <t>0268700013</t>
        </is>
      </c>
      <c r="K14" t="inlineStr">
        <is>
          <t>1 rue de l'Église - 77700 MAGNY LE HONGRE</t>
        </is>
      </c>
      <c r="L14" t="inlineStr">
        <is>
          <t>77700</t>
        </is>
      </c>
      <c r="M14" t="inlineStr">
        <is>
          <t>MAGNY LE HONGRE</t>
        </is>
      </c>
      <c r="N14" t="inlineStr">
        <is>
          <t>77,75,78,91</t>
        </is>
      </c>
      <c r="O14" t="inlineStr"/>
      <c r="P14" t="inlineStr">
        <is>
          <t>Ile-de-France</t>
        </is>
      </c>
      <c r="Q14" s="15" t="n">
        <v>46218</v>
      </c>
      <c r="R14" s="15" t="n">
        <v>46275</v>
      </c>
      <c r="S14" s="14" t="n">
        <v>77700</v>
      </c>
      <c r="T14" t="inlineStr">
        <is>
          <t>BUDGET_SOUS_SEUIL</t>
        </is>
      </c>
      <c r="U14" t="inlineStr">
        <is>
          <t>77700.0</t>
        </is>
      </c>
      <c r="V14" t="inlineStr">
        <is>
          <t>non</t>
        </is>
      </c>
      <c r="W14" t="inlineStr">
        <is>
          <t>Mixte/Autre</t>
        </is>
      </c>
      <c r="X14" t="inlineStr">
        <is>
          <t>Mairie</t>
        </is>
      </c>
      <c r="Y14" t="inlineStr">
        <is>
          <t>TRAVAUX</t>
        </is>
      </c>
      <c r="Z14" t="inlineStr">
        <is>
          <t>Procédure Ouverte</t>
        </is>
      </c>
      <c r="AA14" t="inlineStr">
        <is>
          <t>Avis de marché</t>
        </is>
      </c>
      <c r="AB14" t="inlineStr">
        <is>
          <t>Plomberie (travaux), Peinture (travaux), Electricité (travaux)</t>
        </is>
      </c>
      <c r="AC14" t="inlineStr">
        <is>
          <t>['environnementaux']</t>
        </is>
      </c>
      <c r="AD14" s="11" t="inlineStr">
        <is>
          <t>https://www.boamp.fr/pages/avis/?q=idweb:26-70565</t>
        </is>
      </c>
      <c r="AE14" t="inlineStr">
        <is>
          <t>https://marches.maximilien.fr/?page=Entreprise.EntrepriseAdvancedSearch&amp;AllCons&amp;id=942965&amp;orgAcronyme=a4d</t>
        </is>
      </c>
      <c r="AF14" t="inlineStr">
        <is>
          <t>https://marches.maximilien.fr/?page=Entreprise.EntrepriseAdvancedSearch&amp;AllCons&amp;id=942965&amp;orgAcronyme=a4d</t>
        </is>
      </c>
      <c r="AG14" t="inlineStr">
        <is>
          <t>nettoyage</t>
        </is>
      </c>
      <c r="AH14" t="inlineStr">
        <is>
          <t>6</t>
        </is>
      </c>
      <c r="AI14" t="inlineStr">
        <is>
          <t>98</t>
        </is>
      </c>
      <c r="AJ14" t="inlineStr">
        <is>
          <t>INFO_PARTIELLE</t>
        </is>
      </c>
      <c r="AK14" t="inlineStr">
        <is>
          <t>70</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14" t="inlineStr">
        <is>
          <t>Verifier url_avis et DCE si disponible</t>
        </is>
      </c>
      <c r="AV14" t="inlineStr"/>
      <c r="AW14" t="inlineStr"/>
      <c r="AX14" t="inlineStr"/>
      <c r="AY14" t="inlineStr"/>
      <c r="AZ14" t="inlineStr"/>
      <c r="BA14" t="inlineStr"/>
      <c r="BB14" t="inlineStr">
        <is>
          <t>+30 mots-cles nettoyage forts | +20 budget annualise &lt;= 100 000 EUR | +10 secteur cible Mairie | +10 delai confortable 44j</t>
        </is>
      </c>
      <c r="BC14" t="inlineStr">
        <is>
          <t>COMMUNE DE MAGNY LE HONGRE publie un AO potentiellement pertinent pour CHRUTH : TRAVAUX D'AMÉNAGEMENT INTÉRIEUR DU R+1 ET COMBLE DE LA FERME DURPÉ. Zone : MAGNY LE HONGRE. Budget detecte environ 77 700 EUR. Verifier le lien source avant contact.</t>
        </is>
      </c>
      <c r="BD14"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14"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2026-W29</t>
        </is>
      </c>
    </row>
    <row r="15">
      <c r="A15" t="inlineStr">
        <is>
          <t>BOAMP</t>
        </is>
      </c>
      <c r="B15" t="inlineStr">
        <is>
          <t>26-83338</t>
        </is>
      </c>
      <c r="C15" t="inlineStr">
        <is>
          <t>Nettoyage Des Vitres Dans Les Batiments Communaux</t>
        </is>
      </c>
      <c r="D15" t="inlineStr">
        <is>
          <t>Mairie de Bonneuil sur Marne</t>
        </is>
      </c>
      <c r="E15" t="inlineStr">
        <is>
          <t>21940011600014</t>
        </is>
      </c>
      <c r="F15" t="inlineStr">
        <is>
          <t>219400116</t>
        </is>
      </c>
      <c r="G15" t="inlineStr">
        <is>
          <t>Ville de Bonneuil sur Marne</t>
        </is>
      </c>
      <c r="H15" t="inlineStr"/>
      <c r="I15" t="inlineStr"/>
      <c r="J15" t="inlineStr">
        <is>
          <t>+33 145143880</t>
        </is>
      </c>
      <c r="K15" t="inlineStr">
        <is>
          <t>FR107 - Val-de-Marne, Bâtiments communaux de la ville de Bonneuil sur Marne</t>
        </is>
      </c>
      <c r="L15" t="inlineStr">
        <is>
          <t>94380</t>
        </is>
      </c>
      <c r="M15" t="inlineStr">
        <is>
          <t>Bonneuil-sur-Marne</t>
        </is>
      </c>
      <c r="N15" t="inlineStr">
        <is>
          <t>94</t>
        </is>
      </c>
      <c r="O15" t="inlineStr"/>
      <c r="P15" t="inlineStr">
        <is>
          <t>Ile-de-France</t>
        </is>
      </c>
      <c r="Q15" s="15" t="n">
        <v>46260</v>
      </c>
      <c r="R15" s="15" t="n">
        <v>46290</v>
      </c>
      <c r="S15" s="14" t="n">
        <v>94380</v>
      </c>
      <c r="T15" t="inlineStr">
        <is>
          <t>BUDGET_SOUS_SEUIL</t>
        </is>
      </c>
      <c r="U15" t="inlineStr">
        <is>
          <t>94380.0</t>
        </is>
      </c>
      <c r="V15" t="inlineStr">
        <is>
          <t>non</t>
        </is>
      </c>
      <c r="W15" t="inlineStr">
        <is>
          <t>Vitres</t>
        </is>
      </c>
      <c r="X15" t="inlineStr">
        <is>
          <t>Mairie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https://www.boamp.fr/pages/avis/?q=idweb:26-83338</t>
        </is>
      </c>
      <c r="AE15" t="inlineStr">
        <is>
          <t>https://www.marches-publics.info/mpiaws/index.cfm?fuseaction=dematent.login&amp;type=Dce&amp;Idm=1864838</t>
        </is>
      </c>
      <c r="AF15" t="inlineStr">
        <is>
          <t>https://www.marches-publics.info/mpiaws/index.cfm?fuseaction=dematent.login&amp;type=Dce&amp;Idm=1864838</t>
        </is>
      </c>
      <c r="AG15" t="inlineStr">
        <is>
          <t>nettoyage</t>
        </is>
      </c>
      <c r="AH15" t="inlineStr">
        <is>
          <t>5</t>
        </is>
      </c>
      <c r="AI15" t="inlineStr">
        <is>
          <t>88</t>
        </is>
      </c>
      <c r="AJ15" t="inlineStr">
        <is>
          <t>INFO_PARTIELLE</t>
        </is>
      </c>
      <c r="AK15" t="inlineStr">
        <is>
          <t>69.9</t>
        </is>
      </c>
      <c r="AL15" s="13" t="inlineStr">
        <is>
          <t>CHAUD</t>
        </is>
      </c>
      <c r="AM15" t="inlineStr"/>
      <c r="AN15" t="inlineStr"/>
      <c r="AO15" t="inlineStr"/>
      <c r="AP15" t="inlineStr"/>
      <c r="AQ15" t="inlineStr">
        <is>
          <t>IA_CONTACT_A_COMPLETER</t>
        </is>
      </c>
      <c r="AR15" t="inlineStr">
        <is>
          <t>Completer les champs manquants depuis l'avis source, le site acheteur ou le DCE.</t>
        </is>
      </c>
      <c r="AS15" t="inlineStr">
        <is>
          <t>email</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26-83338. Objet: Nettoyage Des Vitres Dans Les Batiments Communaux. Acheteur: Mairie de Bonneuil sur Marne. Lien: https://www.boamp.fr/pages/avis/?q=idweb:26-83338.</t>
        </is>
      </c>
      <c r="AU15" t="inlineStr">
        <is>
          <t>Verifier url_avis et DCE si disponible</t>
        </is>
      </c>
      <c r="AV15" t="inlineStr">
        <is>
          <t>LIEN_SEUL</t>
        </is>
      </c>
      <c r="AW15" t="inlineStr"/>
      <c r="AX15" t="inlineStr"/>
      <c r="AY15" t="inlineStr"/>
      <c r="AZ15" t="inlineStr"/>
      <c r="BA15" t="inlineStr"/>
      <c r="BB15" t="inlineStr">
        <is>
          <t>+33.5 nettoyage + categorie claire (1 termes) | +16.1 budget annualise 94 380 EUR | +10 secteur cible Mairie | +8.8 delai 25 j | +1.5 dossier renseigne (3/4)</t>
        </is>
      </c>
      <c r="BC15" t="inlineStr">
        <is>
          <t>Mairie de Bonneuil sur Marne publie un AO potentiellement pertinent pour CHRUTH : Nettoyage Des Vitres Dans Les Batiments Communaux. Zone : Bonneuil-sur-Marne. Budget detecte environ 94 380 EUR. Verifier le lien source avant contact.</t>
        </is>
      </c>
      <c r="BD15" t="inlineStr">
        <is>
          <t>Bonjour,
Je me permets de vous contacter au sujet de votre appel d'offres : Nettoyage Des Vitres Dans Les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Bonneuil sur Marne ?
Cordialement,</t>
        </is>
      </c>
      <c r="BE15" t="inlineStr">
        <is>
          <t>Bonjour, je vous appelle concernant un appel d'offres publié par Mairie de Bonneuil sur Marne.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2026-W35</t>
        </is>
      </c>
    </row>
    <row r="16">
      <c r="A16" t="inlineStr">
        <is>
          <t>BOAMP</t>
        </is>
      </c>
      <c r="B16" t="inlineStr">
        <is>
          <t>26-84191</t>
        </is>
      </c>
      <c r="C16" t="inlineStr">
        <is>
          <t>Nettoyage et entretien des locaux des bâtiments communaux</t>
        </is>
      </c>
      <c r="D16" t="inlineStr">
        <is>
          <t>Mairie d'Emerainville</t>
        </is>
      </c>
      <c r="E16" t="inlineStr">
        <is>
          <t>21770169700013</t>
        </is>
      </c>
      <c r="F16" t="inlineStr">
        <is>
          <t>217701697</t>
        </is>
      </c>
      <c r="G16" t="inlineStr"/>
      <c r="H16" t="inlineStr"/>
      <c r="I16" t="inlineStr">
        <is>
          <t>maire@mairie-emerainville.fr</t>
        </is>
      </c>
      <c r="J16" t="inlineStr">
        <is>
          <t>0169700013</t>
        </is>
      </c>
      <c r="K16" t="inlineStr"/>
      <c r="L16" t="inlineStr"/>
      <c r="M16" t="inlineStr"/>
      <c r="N16" t="inlineStr">
        <is>
          <t>77</t>
        </is>
      </c>
      <c r="O16" t="inlineStr"/>
      <c r="P16" t="inlineStr">
        <is>
          <t>Ile-de-France</t>
        </is>
      </c>
      <c r="Q16" s="15" t="n">
        <v>46264</v>
      </c>
      <c r="R16" s="15" t="n">
        <v>46293</v>
      </c>
      <c r="S16" t="inlineStr"/>
      <c r="T16" t="inlineStr">
        <is>
          <t>A_VERIFIER_BUDGET</t>
        </is>
      </c>
      <c r="U16" t="inlineStr"/>
      <c r="V16" t="inlineStr">
        <is>
          <t>non</t>
        </is>
      </c>
      <c r="W16" t="inlineStr">
        <is>
          <t>Bureaux</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https://www.boamp.fr/pages/avis/?q=idweb:26-84191</t>
        </is>
      </c>
      <c r="AE16" t="inlineStr">
        <is>
          <t>https://www.mairie-emerainville.fr/</t>
        </is>
      </c>
      <c r="AF16" t="inlineStr"/>
      <c r="AG16" t="inlineStr">
        <is>
          <t>nettoyage, proprete, entretien des locaux, hygiene des locaux</t>
        </is>
      </c>
      <c r="AH16" t="inlineStr">
        <is>
          <t>3</t>
        </is>
      </c>
      <c r="AI16" t="inlineStr">
        <is>
          <t>92</t>
        </is>
      </c>
      <c r="AJ16" t="inlineStr">
        <is>
          <t>INFO_PARTIELLE</t>
        </is>
      </c>
      <c r="AK16" t="inlineStr">
        <is>
          <t>66.0</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16" t="inlineStr">
        <is>
          <t>Verifier url_avis et DCE si disponible</t>
        </is>
      </c>
      <c r="AV16" t="inlineStr">
        <is>
          <t>LIEN_SEUL</t>
        </is>
      </c>
      <c r="AW16" t="inlineStr"/>
      <c r="AX16" t="inlineStr"/>
      <c r="AY16" t="inlineStr"/>
      <c r="AZ16" t="inlineStr"/>
      <c r="BA16" t="inlineStr"/>
      <c r="BB16" t="inlineStr">
        <is>
          <t>+35.0 nettoyage + categorie claire (4 termes) | +10 budget non affiche (a verifier) | +10 secteur cible Mairie | +9.5 delai 28 j | +1.5 dossier renseigne (3/4)</t>
        </is>
      </c>
      <c r="BC16" t="inlineStr">
        <is>
          <t>Mairie d'Emerainville publie un AO potentiellement pertinent pour CHRUTH : Nettoyage et entretien des locaux des bâtiments communaux. Zone : 77. Budget a verifier. Verifier le lien source avant contact.</t>
        </is>
      </c>
      <c r="BD16"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16"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2026-W35</t>
        </is>
      </c>
    </row>
    <row r="17">
      <c r="A17" t="inlineStr">
        <is>
          <t>BOAMP</t>
        </is>
      </c>
      <c r="B17" t="inlineStr">
        <is>
          <t>26-78821</t>
        </is>
      </c>
      <c r="C17" t="inlineStr">
        <is>
          <t>Prestations de nettoyage des locaux et des vitreries du Complexe Sportif et Culturel Camille Muffat.</t>
        </is>
      </c>
      <c r="D17" t="inlineStr">
        <is>
          <t>Seine Spport Culture</t>
        </is>
      </c>
      <c r="E17" t="inlineStr">
        <is>
          <t>99057630800011</t>
        </is>
      </c>
      <c r="F17" t="inlineStr">
        <is>
          <t>990576308</t>
        </is>
      </c>
      <c r="G17" t="inlineStr"/>
      <c r="H17" t="inlineStr"/>
      <c r="I17" t="inlineStr">
        <is>
          <t>fabien.lague@clichyhall.com</t>
        </is>
      </c>
      <c r="J17" t="inlineStr">
        <is>
          <t>0576308000</t>
        </is>
      </c>
      <c r="K17" t="inlineStr"/>
      <c r="L17" t="inlineStr"/>
      <c r="M17" t="inlineStr"/>
      <c r="N17" t="inlineStr">
        <is>
          <t>92</t>
        </is>
      </c>
      <c r="O17" t="inlineStr"/>
      <c r="P17" t="inlineStr">
        <is>
          <t>Ile-de-France</t>
        </is>
      </c>
      <c r="Q17" s="15" t="n">
        <v>46242</v>
      </c>
      <c r="R17" s="15" t="n">
        <v>46295</v>
      </c>
      <c r="S17" t="inlineStr"/>
      <c r="T17" t="inlineStr">
        <is>
          <t>A_VERIFIER_BUDGET</t>
        </is>
      </c>
      <c r="U17" t="inlineStr"/>
      <c r="V17" t="inlineStr">
        <is>
          <t>non</t>
        </is>
      </c>
      <c r="W17" t="inlineStr">
        <is>
          <t>Vitres</t>
        </is>
      </c>
      <c r="X17" t="inlineStr">
        <is>
          <t>Gymnase</t>
        </is>
      </c>
      <c r="Y17" t="inlineStr">
        <is>
          <t>SERVICES</t>
        </is>
      </c>
      <c r="Z17" t="inlineStr">
        <is>
          <t>Procédure Ouverte</t>
        </is>
      </c>
      <c r="AA17" t="inlineStr">
        <is>
          <t>Avis de marché</t>
        </is>
      </c>
      <c r="AB17" t="inlineStr">
        <is>
          <t>Nettoyage de locaux</t>
        </is>
      </c>
      <c r="AC17" t="inlineStr"/>
      <c r="AD17" s="11" t="inlineStr">
        <is>
          <t>https://www.boamp.fr/pages/avis/?q=idweb:26-78821</t>
        </is>
      </c>
      <c r="AE17" t="inlineStr">
        <is>
          <t>https://marches.maximilien.fr/entreprise/consultation/945004?orgAcronyme=a7k</t>
        </is>
      </c>
      <c r="AF17" t="inlineStr">
        <is>
          <t>https://marches.maximilien.fr/entreprise/consultation/945004?orgAcronyme=a7k</t>
        </is>
      </c>
      <c r="AG17" t="inlineStr">
        <is>
          <t>nettoyage, menage, desinfection</t>
        </is>
      </c>
      <c r="AH17" t="inlineStr">
        <is>
          <t>3</t>
        </is>
      </c>
      <c r="AI17" t="inlineStr">
        <is>
          <t>80</t>
        </is>
      </c>
      <c r="AJ17" t="inlineStr">
        <is>
          <t>INFO_PARTIELLE</t>
        </is>
      </c>
      <c r="AK17" t="inlineStr">
        <is>
          <t>65.5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17" t="inlineStr">
        <is>
          <t>Verifier url_avis et DCE si disponible</t>
        </is>
      </c>
      <c r="AV17" t="inlineStr">
        <is>
          <t>LIEN_SEUL</t>
        </is>
      </c>
      <c r="AW17" t="inlineStr"/>
      <c r="AX17" t="inlineStr"/>
      <c r="AY17" t="inlineStr"/>
      <c r="AZ17" t="inlineStr"/>
      <c r="BA17" t="inlineStr"/>
      <c r="BB17" t="inlineStr">
        <is>
          <t>+34.0 nettoyage + categorie claire (2 termes) | +10 budget non affiche (a verifier) | +10 secteur cible Gymnase | +10.0 delai 30 j | +1.5 dossier renseigne (3/4)</t>
        </is>
      </c>
      <c r="BC17" t="inlineStr">
        <is>
          <t>Seine Spport Culture publie un AO potentiellement pertinent pour CHRUTH : Prestations de nettoyage des locaux et des vitreries du Complexe Sportif et Culturel Camille Muffat.. Zone : 92. Budget a verifier. Verifier le lien source avant contact.</t>
        </is>
      </c>
      <c r="BD17"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17"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2026-W32</t>
        </is>
      </c>
    </row>
    <row r="18">
      <c r="A18" t="inlineStr">
        <is>
          <t>BOAMP</t>
        </is>
      </c>
      <c r="B18" t="inlineStr">
        <is>
          <t>26-80807</t>
        </is>
      </c>
      <c r="C18" t="inlineStr">
        <is>
          <t>PRESTATION DE NETTOYAGE, D’ENTRETIEN COURANT ET DE BLANCHISSERIE : STRUCTURES PETITE ENFANCE - MAISON DE L’ENFANCE « NICOLE CHAPEL », CRECHE COLLECTIVE « LES DAUPHINS » ET HALTE-GARDERIE « LES POUS...</t>
        </is>
      </c>
      <c r="D18" t="inlineStr">
        <is>
          <t>VILLE DE MELUN, Pôle ressources, Services à la population et Transition Ecologique</t>
        </is>
      </c>
      <c r="E18" t="inlineStr">
        <is>
          <t>21770288500013</t>
        </is>
      </c>
      <c r="F18" t="inlineStr">
        <is>
          <t>217702885</t>
        </is>
      </c>
      <c r="G18" t="inlineStr"/>
      <c r="H18" t="inlineStr"/>
      <c r="I18" t="inlineStr">
        <is>
          <t>Commande.publique@ville-melun.fr</t>
        </is>
      </c>
      <c r="J18" t="inlineStr">
        <is>
          <t>0288500013</t>
        </is>
      </c>
      <c r="K18" t="inlineStr"/>
      <c r="L18" t="inlineStr"/>
      <c r="M18" t="inlineStr"/>
      <c r="N18" t="inlineStr">
        <is>
          <t>77,91,93,75</t>
        </is>
      </c>
      <c r="O18" t="inlineStr"/>
      <c r="P18" t="inlineStr">
        <is>
          <t>Ile-de-France</t>
        </is>
      </c>
      <c r="Q18" s="15" t="n">
        <v>46250</v>
      </c>
      <c r="R18" s="15" t="n">
        <v>46294</v>
      </c>
      <c r="S18" t="inlineStr"/>
      <c r="T18" t="inlineStr">
        <is>
          <t>A_VERIFIER_BUDGET</t>
        </is>
      </c>
      <c r="U18" t="inlineStr"/>
      <c r="V18" t="inlineStr">
        <is>
          <t>non</t>
        </is>
      </c>
      <c r="W18" t="inlineStr">
        <is>
          <t>Batiments</t>
        </is>
      </c>
      <c r="X18" t="inlineStr">
        <is>
          <t>Ecole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https://www.boamp.fr/pages/avis/?q=idweb:26-80807</t>
        </is>
      </c>
      <c r="AE18" t="inlineStr">
        <is>
          <t>https://www.ville-melun.fr/la-ville/marches-publics</t>
        </is>
      </c>
      <c r="AF18" t="inlineStr"/>
      <c r="AG18" t="inlineStr">
        <is>
          <t>nettoyage, proprete</t>
        </is>
      </c>
      <c r="AH18" t="inlineStr">
        <is>
          <t>3</t>
        </is>
      </c>
      <c r="AI18" t="inlineStr">
        <is>
          <t>76</t>
        </is>
      </c>
      <c r="AJ18" t="inlineStr">
        <is>
          <t>INFO_PARTIELLE</t>
        </is>
      </c>
      <c r="AK18" t="inlineStr">
        <is>
          <t>65.2</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18" t="inlineStr">
        <is>
          <t>Verifier url_avis et DCE si disponible</t>
        </is>
      </c>
      <c r="AV18" t="inlineStr">
        <is>
          <t>LIEN_SEUL</t>
        </is>
      </c>
      <c r="AW18" t="inlineStr"/>
      <c r="AX18" t="inlineStr"/>
      <c r="AY18" t="inlineStr"/>
      <c r="AZ18" t="inlineStr"/>
      <c r="BA18" t="inlineStr"/>
      <c r="BB18" t="inlineStr">
        <is>
          <t>+34.0 nettoyage + categorie claire (2 termes) | +10 budget non affiche (a verifier) | +10 secteur cible Ecole | +9.8 delai 29 j | +1.5 dossier renseigne (3/4)</t>
        </is>
      </c>
      <c r="BC18"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18"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18"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2026-W33</t>
        </is>
      </c>
    </row>
    <row r="19">
      <c r="A19" t="inlineStr">
        <is>
          <t>BOAMP</t>
        </is>
      </c>
      <c r="B19" t="inlineStr">
        <is>
          <t>26-82481</t>
        </is>
      </c>
      <c r="C19" t="inlineStr">
        <is>
          <t>NETTOYAGE DES LOCAUX DANS LES ETABLISSMENTS DE LA PETITE ENFANCE</t>
        </is>
      </c>
      <c r="D19" t="inlineStr">
        <is>
          <t>Ville de Levallois</t>
        </is>
      </c>
      <c r="E19" t="inlineStr"/>
      <c r="F19" t="inlineStr"/>
      <c r="G19" t="inlineStr"/>
      <c r="H19" t="inlineStr"/>
      <c r="I19" t="inlineStr">
        <is>
          <t>publications-joue@aws-france.com</t>
        </is>
      </c>
      <c r="J19" t="inlineStr">
        <is>
          <t>+33480041260</t>
        </is>
      </c>
      <c r="K19" t="inlineStr"/>
      <c r="L19" t="inlineStr"/>
      <c r="M19" t="inlineStr"/>
      <c r="N19" t="inlineStr">
        <is>
          <t>92</t>
        </is>
      </c>
      <c r="O19" t="inlineStr"/>
      <c r="P19" t="inlineStr">
        <is>
          <t>Ile-de-France</t>
        </is>
      </c>
      <c r="Q19" s="15" t="n">
        <v>46257</v>
      </c>
      <c r="R19" s="15" t="n">
        <v>46297</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c r="AD19" s="11" t="inlineStr">
        <is>
          <t>https://www.boamp.fr/pages/avis/?q=idweb:26-82481</t>
        </is>
      </c>
      <c r="AE19" t="inlineStr">
        <is>
          <t>https://www.marches-publics.info/mpiaws/index.cfm?fuseaction=dematEnt.login&amp;amp;type=DCE&amp;amp;IDM=1863702</t>
        </is>
      </c>
      <c r="AF19" t="inlineStr">
        <is>
          <t>https://www.marches-publics.info/mpiaws/index.cfm?fuseaction=dematEnt.login&amp;amp;type=DCE&amp;amp;IDM=1863702</t>
        </is>
      </c>
      <c r="AG19" t="inlineStr">
        <is>
          <t>nettoyage</t>
        </is>
      </c>
      <c r="AH19" t="inlineStr">
        <is>
          <t>2</t>
        </is>
      </c>
      <c r="AI19" t="inlineStr">
        <is>
          <t>58</t>
        </is>
      </c>
      <c r="AJ19" t="inlineStr">
        <is>
          <t>INFO_PARTIELLE</t>
        </is>
      </c>
      <c r="AK19" t="inlineStr">
        <is>
          <t>65.0</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19" t="inlineStr">
        <is>
          <t>Verifier url_avis et DCE si disponible</t>
        </is>
      </c>
      <c r="AV19" t="inlineStr">
        <is>
          <t>LIEN_SEUL</t>
        </is>
      </c>
      <c r="AW19" t="inlineStr"/>
      <c r="AX19" t="inlineStr"/>
      <c r="AY19" t="inlineStr"/>
      <c r="AZ19" t="inlineStr"/>
      <c r="BA19" t="inlineStr"/>
      <c r="BB19" t="inlineStr">
        <is>
          <t>+33.5 nettoyage + categorie claire (1 termes) | +10 budget non affiche (a verifier) | +10 secteur cible Mairie | +10.0 delai 32 j | +1.5 dossier renseigne (3/4)</t>
        </is>
      </c>
      <c r="BC19" t="inlineStr">
        <is>
          <t>Ville de Levallois publie un AO potentiellement pertinent pour CHRUTH : NETTOYAGE DES LOCAUX DANS LES ETABLISSMENTS DE LA PETITE ENFANCE. Zone : 92. Budget a verifier. Verifier le lien source avant contact.</t>
        </is>
      </c>
      <c r="BD19"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19"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2026-W34</t>
        </is>
      </c>
    </row>
    <row r="20">
      <c r="A20" t="inlineStr">
        <is>
          <t>BOAMP</t>
        </is>
      </c>
      <c r="B20" t="inlineStr">
        <is>
          <t>26-72708</t>
        </is>
      </c>
      <c r="C20" t="inlineStr">
        <is>
          <t>Entretien ménager des locaux des sites mégalithiques de Carnac et Locmariaquer</t>
        </is>
      </c>
      <c r="D20" t="inlineStr">
        <is>
          <t>Centre Monuments Nationaux</t>
        </is>
      </c>
      <c r="E20" t="inlineStr">
        <is>
          <t>18004601300017</t>
        </is>
      </c>
      <c r="F20" t="inlineStr">
        <is>
          <t>180046013</t>
        </is>
      </c>
      <c r="G20" t="inlineStr"/>
      <c r="H20" t="inlineStr"/>
      <c r="I20" t="inlineStr">
        <is>
          <t>marches-publics@monuments-nationaux.fr</t>
        </is>
      </c>
      <c r="J20" t="inlineStr">
        <is>
          <t>0460130001</t>
        </is>
      </c>
      <c r="K20" t="inlineStr"/>
      <c r="L20" t="inlineStr"/>
      <c r="M20" t="inlineStr"/>
      <c r="N20" t="inlineStr">
        <is>
          <t>75,56</t>
        </is>
      </c>
      <c r="O20" t="inlineStr"/>
      <c r="P20" t="inlineStr">
        <is>
          <t>Ile-de-France</t>
        </is>
      </c>
      <c r="Q20" s="15" t="n">
        <v>46226</v>
      </c>
      <c r="R20" s="15" t="n">
        <v>46276</v>
      </c>
      <c r="S20" s="14" t="n">
        <v>60000</v>
      </c>
      <c r="T20" t="inlineStr">
        <is>
          <t>BUDGET_SOUS_SEUIL</t>
        </is>
      </c>
      <c r="U20" t="inlineStr">
        <is>
          <t>60000.0</t>
        </is>
      </c>
      <c r="V20" t="inlineStr">
        <is>
          <t>non</t>
        </is>
      </c>
      <c r="W20" t="inlineStr">
        <is>
          <t>Batiments</t>
        </is>
      </c>
      <c r="X20" t="inlineStr">
        <is>
          <t>Autre</t>
        </is>
      </c>
      <c r="Y20" t="inlineStr">
        <is>
          <t>SERVICES</t>
        </is>
      </c>
      <c r="Z20" t="inlineStr">
        <is>
          <t>Procédure Ouverte</t>
        </is>
      </c>
      <c r="AA20" t="inlineStr">
        <is>
          <t>Avis de marché</t>
        </is>
      </c>
      <c r="AB20" t="inlineStr">
        <is>
          <t>Nettoyage de locaux, Monuments historiques</t>
        </is>
      </c>
      <c r="AC20" t="inlineStr"/>
      <c r="AD20" s="11" t="inlineStr">
        <is>
          <t>https://www.boamp.fr/pages/avis/?q=idweb:26-72708</t>
        </is>
      </c>
      <c r="AE20" t="inlineStr">
        <is>
          <t>https://www.marches-publics.gouv.fr/entreprise</t>
        </is>
      </c>
      <c r="AF20" t="inlineStr">
        <is>
          <t>https://www.marches-publics.gouv.fr/entreprise</t>
        </is>
      </c>
      <c r="AG20" t="inlineStr">
        <is>
          <t>nettoyage, entretien menager</t>
        </is>
      </c>
      <c r="AH20" t="inlineStr">
        <is>
          <t>3</t>
        </is>
      </c>
      <c r="AI20" t="inlineStr">
        <is>
          <t>72</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45j</t>
        </is>
      </c>
      <c r="BC20" t="inlineStr">
        <is>
          <t>Centre Monuments Nationaux publie un AO potentiellement pertinent pour CHRUTH : Entretien ménager des locaux des sites mégalithiques de Carnac et Locmariaquer. Zone : 75,56. Budget detecte environ 60 000 EUR. Verifier le lien source avant contact.</t>
        </is>
      </c>
      <c r="BD20"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20"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26-71675</t>
        </is>
      </c>
      <c r="C21" t="inlineStr">
        <is>
          <t>Décontamination, dépoussiérage et reconditionnement des réserves documentaires n°2 et 3 du Château de Sceaux</t>
        </is>
      </c>
      <c r="D21" t="inlineStr">
        <is>
          <t>Département des Hauts-de-Seine</t>
        </is>
      </c>
      <c r="E21" t="inlineStr">
        <is>
          <t>22920050600611</t>
        </is>
      </c>
      <c r="F21" t="inlineStr">
        <is>
          <t>229200506</t>
        </is>
      </c>
      <c r="G21" t="inlineStr">
        <is>
          <t>cellulecontact.achats@hauts-de-seine.fr</t>
        </is>
      </c>
      <c r="H21" t="inlineStr"/>
      <c r="I21" t="inlineStr">
        <is>
          <t>cellulecontact.achats@hauts-de-seine.fr</t>
        </is>
      </c>
      <c r="J21" t="inlineStr">
        <is>
          <t>+33 806000092</t>
        </is>
      </c>
      <c r="K21" t="inlineStr">
        <is>
          <t>Château de Sceaux 92330 - SCEAUX</t>
        </is>
      </c>
      <c r="L21" t="inlineStr">
        <is>
          <t>92000</t>
        </is>
      </c>
      <c r="M21" t="inlineStr">
        <is>
          <t>NANTERRE</t>
        </is>
      </c>
      <c r="N21" t="inlineStr">
        <is>
          <t>92</t>
        </is>
      </c>
      <c r="O21" t="inlineStr"/>
      <c r="P21" t="inlineStr">
        <is>
          <t>Ile-de-France</t>
        </is>
      </c>
      <c r="Q21" s="15" t="n">
        <v>46220</v>
      </c>
      <c r="R21" s="15" t="n">
        <v>46276</v>
      </c>
      <c r="S21" s="14" t="n">
        <v>92000</v>
      </c>
      <c r="T21" t="inlineStr">
        <is>
          <t>BUDGET_SOUS_SEUIL</t>
        </is>
      </c>
      <c r="U21" t="inlineStr">
        <is>
          <t>92000.0</t>
        </is>
      </c>
      <c r="V21" t="inlineStr">
        <is>
          <t>non</t>
        </is>
      </c>
      <c r="W21" t="inlineStr">
        <is>
          <t>Batiments</t>
        </is>
      </c>
      <c r="X21" t="inlineStr">
        <is>
          <t>Autre</t>
        </is>
      </c>
      <c r="Y21" t="inlineStr">
        <is>
          <t>SERVICES</t>
        </is>
      </c>
      <c r="Z21" t="inlineStr">
        <is>
          <t>Procédure Ouverte</t>
        </is>
      </c>
      <c r="AA21" t="inlineStr">
        <is>
          <t>Avis de marché</t>
        </is>
      </c>
      <c r="AB21" t="inlineStr">
        <is>
          <t>Prestations de services</t>
        </is>
      </c>
      <c r="AC21" t="inlineStr">
        <is>
          <t>['environnementaux']</t>
        </is>
      </c>
      <c r="AD21" s="11" t="inlineStr">
        <is>
          <t>https://www.boamp.fr/pages/avis/?q=idweb:26-71675</t>
        </is>
      </c>
      <c r="AE21" t="inlineStr">
        <is>
          <t>https://www.marches-publics.info/mpiaws/index.cfm?fuseaction=dematent.login&amp;type=Dce&amp;Idm=1851815</t>
        </is>
      </c>
      <c r="AF21" t="inlineStr">
        <is>
          <t>https://www.marches-publics.info/mpiaws/index.cfm?fuseaction=dematent.login&amp;type=Dce&amp;Idm=1851815</t>
        </is>
      </c>
      <c r="AG21" t="inlineStr">
        <is>
          <t>nettoyage</t>
        </is>
      </c>
      <c r="AH21" t="inlineStr">
        <is>
          <t>6</t>
        </is>
      </c>
      <c r="AI21" t="inlineStr">
        <is>
          <t>98</t>
        </is>
      </c>
      <c r="AJ21" t="inlineStr">
        <is>
          <t>INFO_PARTIELLE</t>
        </is>
      </c>
      <c r="AK21" t="inlineStr">
        <is>
          <t>65</t>
        </is>
      </c>
      <c r="AL21" s="13" t="inlineStr">
        <is>
          <t>CHAUD</t>
        </is>
      </c>
      <c r="AM21" t="inlineStr"/>
      <c r="AN21" t="inlineStr"/>
      <c r="AO21" t="inlineStr"/>
      <c r="AP21" t="inlineStr"/>
      <c r="AQ21" t="inlineStr">
        <is>
          <t>IA_CONTROLE_SOURCE</t>
        </is>
      </c>
      <c r="AR21" t="inlineStr">
        <is>
          <t>Verifier rapidement la source avant contact.</t>
        </is>
      </c>
      <c r="AS21" t="inlineStr">
        <is>
          <t>Aucun champ critique manquant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21" t="inlineStr">
        <is>
          <t>Verifier url_avis et DCE si disponible</t>
        </is>
      </c>
      <c r="AV21" t="inlineStr"/>
      <c r="AW21" t="inlineStr"/>
      <c r="AX21" t="inlineStr"/>
      <c r="AY21" t="inlineStr"/>
      <c r="AZ21" t="inlineStr"/>
      <c r="BA21" t="inlineStr"/>
      <c r="BB21" t="inlineStr">
        <is>
          <t>+35 nettoyage + categorie claire | +20 budget annualise &lt;= 100 000 EUR | +10 delai confortable 45j</t>
        </is>
      </c>
      <c r="BC21"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21"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21"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26-71198</t>
        </is>
      </c>
      <c r="C22" t="inlineStr">
        <is>
          <t>CONCESSION DE SERVICE PUBLIC 
PORTANT SUR LA GESTION ET L'EXPLOITATION DES MARCHES FORAINS DE LA VILLE DE MONTROUGE</t>
        </is>
      </c>
      <c r="D22" t="inlineStr">
        <is>
          <t>Ville de Montrouge</t>
        </is>
      </c>
      <c r="E22" t="inlineStr"/>
      <c r="F22" t="inlineStr"/>
      <c r="G22" t="inlineStr">
        <is>
          <t>Le Bassard</t>
        </is>
      </c>
      <c r="H22" t="inlineStr"/>
      <c r="I22" t="inlineStr">
        <is>
          <t>marches@ville-montrouge.fr</t>
        </is>
      </c>
      <c r="J22" t="inlineStr">
        <is>
          <t>0146127303</t>
        </is>
      </c>
      <c r="K22" t="inlineStr"/>
      <c r="L22" t="inlineStr">
        <is>
          <t>92121</t>
        </is>
      </c>
      <c r="M22" t="inlineStr">
        <is>
          <t>Montrouge cedex</t>
        </is>
      </c>
      <c r="N22" t="inlineStr">
        <is>
          <t>92,75</t>
        </is>
      </c>
      <c r="O22" t="inlineStr"/>
      <c r="P22" t="inlineStr">
        <is>
          <t>Ile-de-France</t>
        </is>
      </c>
      <c r="Q22" s="15" t="n">
        <v>46219</v>
      </c>
      <c r="R22" s="15" t="n">
        <v>46295</v>
      </c>
      <c r="S22" t="inlineStr"/>
      <c r="T22" t="inlineStr">
        <is>
          <t>A_VERIFIER_BUDGET</t>
        </is>
      </c>
      <c r="U22" t="inlineStr"/>
      <c r="V22" t="inlineStr">
        <is>
          <t>non</t>
        </is>
      </c>
      <c r="W22" t="inlineStr">
        <is>
          <t>Batiments</t>
        </is>
      </c>
      <c r="X22" t="inlineStr">
        <is>
          <t>Mairie</t>
        </is>
      </c>
      <c r="Y22" t="inlineStr">
        <is>
          <t>SERVICES</t>
        </is>
      </c>
      <c r="Z22" t="inlineStr">
        <is>
          <t>Procédure NC</t>
        </is>
      </c>
      <c r="AA22" t="inlineStr">
        <is>
          <t>Avis de marché</t>
        </is>
      </c>
      <c r="AB22" t="inlineStr">
        <is>
          <t>Denrées alimentaires</t>
        </is>
      </c>
      <c r="AC22" t="inlineStr">
        <is>
          <t>['sociaux', 'environnementaux']</t>
        </is>
      </c>
      <c r="AD22" s="11" t="inlineStr">
        <is>
          <t>https://www.boamp.fr/pages/avis/?q=idweb:26-71198</t>
        </is>
      </c>
      <c r="AE22" t="inlineStr">
        <is>
          <t>https://www.achatpublic.com/sdm/ent2/gen/index.jsp</t>
        </is>
      </c>
      <c r="AF22" t="inlineStr">
        <is>
          <t>https://www.achatpublic.com/sdm/ent2/gen/index.jsp</t>
        </is>
      </c>
      <c r="AG22" t="inlineStr">
        <is>
          <t>nettoyage, proprete</t>
        </is>
      </c>
      <c r="AH22" t="inlineStr">
        <is>
          <t>4</t>
        </is>
      </c>
      <c r="AI22" t="inlineStr">
        <is>
          <t>86</t>
        </is>
      </c>
      <c r="AJ22" t="inlineStr">
        <is>
          <t>INFO_PARTIELLE</t>
        </is>
      </c>
      <c r="AK22" t="inlineStr">
        <is>
          <t>65</t>
        </is>
      </c>
      <c r="AL22" s="13" t="inlineStr">
        <is>
          <t>CHAUD</t>
        </is>
      </c>
      <c r="AM22" t="inlineStr"/>
      <c r="AN22" t="inlineStr"/>
      <c r="AO22" t="inlineStr"/>
      <c r="AP22" t="inlineStr"/>
      <c r="AQ22" t="inlineStr">
        <is>
          <t>IA_BUDGET_A_VERIFIER</t>
        </is>
      </c>
      <c r="AR22" t="inlineStr">
        <is>
          <t>Verifier le budget dans l'avis source ou le DCE avant decision commerciale.</t>
        </is>
      </c>
      <c r="AS22" t="inlineStr">
        <is>
          <t>SIRET, adresse,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secteur cible Mairie | +10 delai confortable 64j</t>
        </is>
      </c>
      <c r="BC22"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22"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22"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row r="23">
      <c r="A23" t="inlineStr">
        <is>
          <t>BOAMP</t>
        </is>
      </c>
      <c r="B23" t="inlineStr">
        <is>
          <t>26-83560</t>
        </is>
      </c>
      <c r="C23" t="inlineStr">
        <is>
          <t>Prestations de nettoyage des bâtiments communaux de la ville de Sceaux 2027-2030</t>
        </is>
      </c>
      <c r="D23" t="inlineStr">
        <is>
          <t>ville de sceaux</t>
        </is>
      </c>
      <c r="E23" t="inlineStr">
        <is>
          <t>21920071400018</t>
        </is>
      </c>
      <c r="F23" t="inlineStr">
        <is>
          <t>219200714</t>
        </is>
      </c>
      <c r="G23" t="inlineStr"/>
      <c r="H23" t="inlineStr"/>
      <c r="I23" t="inlineStr">
        <is>
          <t>achats@sceaux.fr</t>
        </is>
      </c>
      <c r="J23" t="inlineStr">
        <is>
          <t>+33 141133300</t>
        </is>
      </c>
      <c r="K23" t="inlineStr"/>
      <c r="L23" t="inlineStr"/>
      <c r="M23" t="inlineStr"/>
      <c r="N23" t="inlineStr">
        <is>
          <t>92</t>
        </is>
      </c>
      <c r="O23" t="inlineStr"/>
      <c r="P23" t="inlineStr">
        <is>
          <t>Ile-de-France</t>
        </is>
      </c>
      <c r="Q23" s="15" t="n">
        <v>46262</v>
      </c>
      <c r="R23" s="15" t="n">
        <v>46294</v>
      </c>
      <c r="S23" t="inlineStr"/>
      <c r="T23" t="inlineStr">
        <is>
          <t>A_VERIFIER_BUDGET</t>
        </is>
      </c>
      <c r="U23" t="inlineStr"/>
      <c r="V23" t="inlineStr">
        <is>
          <t>non</t>
        </is>
      </c>
      <c r="W23" t="inlineStr">
        <is>
          <t>Batiments</t>
        </is>
      </c>
      <c r="X23" t="inlineStr">
        <is>
          <t>Mairie</t>
        </is>
      </c>
      <c r="Y23" t="inlineStr">
        <is>
          <t>SERVICES</t>
        </is>
      </c>
      <c r="Z23" t="inlineStr">
        <is>
          <t>Procédure Ouverte</t>
        </is>
      </c>
      <c r="AA23" t="inlineStr">
        <is>
          <t>Avis de marché</t>
        </is>
      </c>
      <c r="AB23" t="inlineStr">
        <is>
          <t>Nettoyage de locaux</t>
        </is>
      </c>
      <c r="AC23" t="inlineStr"/>
      <c r="AD23" s="11" t="inlineStr">
        <is>
          <t>https://www.boamp.fr/pages/avis/?q=idweb:26-83560</t>
        </is>
      </c>
      <c r="AE23" t="inlineStr">
        <is>
          <t>https://marches.maximilien.fr/entreprise/consultation/945889?orgAcronyme=d7t</t>
        </is>
      </c>
      <c r="AF23" t="inlineStr">
        <is>
          <t>https://marches.maximilien.fr/entreprise/consultation/945889?orgAcronyme=d7t</t>
        </is>
      </c>
      <c r="AG23" t="inlineStr">
        <is>
          <t>nettoyage</t>
        </is>
      </c>
      <c r="AH23" t="inlineStr">
        <is>
          <t>3</t>
        </is>
      </c>
      <c r="AI23" t="inlineStr">
        <is>
          <t>68</t>
        </is>
      </c>
      <c r="AJ23" t="inlineStr">
        <is>
          <t>INFO_PARTIELLE</t>
        </is>
      </c>
      <c r="AK23" t="inlineStr">
        <is>
          <t>64.8</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26-83560. Objet: Prestations de nettoyage des bâtiments communaux de la ville de Sceaux 2027-2030. Acheteur: ville de sceaux. Lien: https://www.boamp.fr/pages/avis/?q=idweb:26-83560.</t>
        </is>
      </c>
      <c r="AU23" t="inlineStr">
        <is>
          <t>Verifier url_avis et DCE si disponible</t>
        </is>
      </c>
      <c r="AV23" t="inlineStr">
        <is>
          <t>LIEN_SEUL</t>
        </is>
      </c>
      <c r="AW23" t="inlineStr"/>
      <c r="AX23" t="inlineStr"/>
      <c r="AY23" t="inlineStr"/>
      <c r="AZ23" t="inlineStr"/>
      <c r="BA23" t="inlineStr"/>
      <c r="BB23" t="inlineStr">
        <is>
          <t>+33.5 nettoyage + categorie claire (1 termes) | +10 budget non affiche (a verifier) | +10 secteur cible Mairie | +9.8 delai 29 j | +1.5 dossier renseigne (3/4)</t>
        </is>
      </c>
      <c r="BC23" t="inlineStr">
        <is>
          <t>ville de sceaux publie un AO potentiellement pertinent pour CHRUTH : Prestations de nettoyage des bâtiments communaux de la ville de Sceaux 2027-2030. Zone : 92. Budget a verifier. Verifier le lien source avant contact.</t>
        </is>
      </c>
      <c r="BD23" t="inlineStr">
        <is>
          <t>Bonjour,
Je me permets de vous contacter au sujet de votre appel d'offres : Prestations de nettoyage des bâtiments communaux de la ville de Sceaux 2027-2030.
CHRUTH accompagne les structures publiques et privées sur les besoins de nettoyage, d'entretien des locaux et d'organisation de prestations de service.
Serait-il possible d'échanger rapidement afin de vérifier les modalités de réponse et les attentes de ville de sceaux ?
Cordialement,</t>
        </is>
      </c>
      <c r="BE23" t="inlineStr">
        <is>
          <t>Bonjour, je vous appelle concernant un appel d'offres publié par ville de sceaux.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2026-W35</t>
        </is>
      </c>
    </row>
    <row r="24">
      <c r="A24" t="inlineStr">
        <is>
          <t>BOAMP</t>
        </is>
      </c>
      <c r="B24" t="inlineStr">
        <is>
          <t>26-80351</t>
        </is>
      </c>
      <c r="C24" t="inlineStr">
        <is>
          <t>Prestations de nettoyage des vitres de l'ensemble des bâtiments communaux de la ville de Sarcelles</t>
        </is>
      </c>
      <c r="D24" t="inlineStr">
        <is>
          <t>Ville de Sarcelles</t>
        </is>
      </c>
      <c r="E24" t="inlineStr">
        <is>
          <t>21950585600019</t>
        </is>
      </c>
      <c r="F24" t="inlineStr">
        <is>
          <t>219505856</t>
        </is>
      </c>
      <c r="G24" t="inlineStr"/>
      <c r="H24" t="inlineStr"/>
      <c r="I24" t="inlineStr">
        <is>
          <t>commande.publique@sarcelles.fr</t>
        </is>
      </c>
      <c r="J24" t="inlineStr">
        <is>
          <t>0585600019</t>
        </is>
      </c>
      <c r="K24" t="inlineStr"/>
      <c r="L24" t="inlineStr"/>
      <c r="M24" t="inlineStr"/>
      <c r="N24" t="inlineStr">
        <is>
          <t>75,77,78,91,92,93,94,95</t>
        </is>
      </c>
      <c r="O24" t="inlineStr"/>
      <c r="P24" t="inlineStr">
        <is>
          <t>Ile-de-France</t>
        </is>
      </c>
      <c r="Q24" s="15" t="n">
        <v>46248</v>
      </c>
      <c r="R24" s="15" t="n">
        <v>46290</v>
      </c>
      <c r="S24" t="inlineStr"/>
      <c r="T24" t="inlineStr">
        <is>
          <t>A_VERIFIER_BUDGET</t>
        </is>
      </c>
      <c r="U24" t="inlineStr"/>
      <c r="V24" t="inlineStr">
        <is>
          <t>non</t>
        </is>
      </c>
      <c r="W24" t="inlineStr">
        <is>
          <t>Vitres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https://www.boamp.fr/pages/avis/?q=idweb:26-80351</t>
        </is>
      </c>
      <c r="AE24" t="inlineStr">
        <is>
          <t>https://sarcelles.e-marchespublics.com</t>
        </is>
      </c>
      <c r="AF24" t="inlineStr">
        <is>
          <t>https://sarcelles.e-marchespublics.com</t>
        </is>
      </c>
      <c r="AG24" t="inlineStr">
        <is>
          <t>nettoyage, proprete, proprete des locaux</t>
        </is>
      </c>
      <c r="AH24" t="inlineStr">
        <is>
          <t>3</t>
        </is>
      </c>
      <c r="AI24" t="inlineStr">
        <is>
          <t>80</t>
        </is>
      </c>
      <c r="AJ24" t="inlineStr">
        <is>
          <t>INFO_PARTIELLE</t>
        </is>
      </c>
      <c r="AK24" t="inlineStr">
        <is>
          <t>64.2</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26-80351. Objet: Prestations de nettoyage des vitres de l'ensemble des bâtiments communaux de la ville de Sarcelles. Acheteur: Ville de Sarcelles. Lien: https://www.boamp.fr/pages/avis/?q=idweb:26-80351.</t>
        </is>
      </c>
      <c r="AU24" t="inlineStr">
        <is>
          <t>Verifier url_avis et DCE si disponible</t>
        </is>
      </c>
      <c r="AV24" t="inlineStr">
        <is>
          <t>LIEN_SEUL</t>
        </is>
      </c>
      <c r="AW24" t="inlineStr"/>
      <c r="AX24" t="inlineStr"/>
      <c r="AY24" t="inlineStr"/>
      <c r="AZ24" t="inlineStr"/>
      <c r="BA24" t="inlineStr"/>
      <c r="BB24" t="inlineStr">
        <is>
          <t>+34.0 nettoyage + categorie claire (2 termes) | +10 budget non affiche (a verifier) | +10 secteur cible Mairie | +8.8 delai 25 j | +1.5 dossier renseigne (3/4)</t>
        </is>
      </c>
      <c r="BC24" t="inlineStr">
        <is>
          <t>Ville de Sarcelles publie un AO potentiellement pertinent pour CHRUTH : Prestations de nettoyage des vitres de l'ensemble des bâtiments communaux de la ville de Sarcelles. Zone : 75,77,78,91,92,93,94,95. Budget a verifier. Verifier le lien source avant contact.</t>
        </is>
      </c>
      <c r="BD24" t="inlineStr">
        <is>
          <t>Bonjour,
Je me permets de vous contacter au sujet de votre appel d'offres : Prestations de nettoyage des vitres de l'ensemble des bâtiments communaux de la ville de Sarcelles.
CHRUTH accompagne les structures publiques et privées sur les besoins de nettoyage, d'entretien des locaux et d'organisation de prestations de service.
Serait-il possible d'échanger rapidement afin de vérifier les modalités de réponse et les attentes de Ville de Sarcelles ?
Cordialement,</t>
        </is>
      </c>
      <c r="BE24" t="inlineStr">
        <is>
          <t>Bonjour, je vous appelle concernant un appel d'offres publié par Ville de Sarcelles.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2026-W33</t>
        </is>
      </c>
    </row>
    <row r="25">
      <c r="A25" t="inlineStr">
        <is>
          <t>BOAMP</t>
        </is>
      </c>
      <c r="B25" t="inlineStr">
        <is>
          <t>26-81760</t>
        </is>
      </c>
      <c r="C25" t="inlineStr">
        <is>
          <t>Marché de prestations de service relatif au nettoyage des bâtiments municipaux : locaux et vitrerie.</t>
        </is>
      </c>
      <c r="D25" t="inlineStr">
        <is>
          <t>Commune de Villepreux</t>
        </is>
      </c>
      <c r="E25" t="inlineStr">
        <is>
          <t>21780674400108</t>
        </is>
      </c>
      <c r="F25" t="inlineStr">
        <is>
          <t>217806744</t>
        </is>
      </c>
      <c r="G25" t="inlineStr"/>
      <c r="H25" t="inlineStr"/>
      <c r="I25" t="inlineStr">
        <is>
          <t>achats@villepreux.fr</t>
        </is>
      </c>
      <c r="J25" t="inlineStr">
        <is>
          <t>0674400108</t>
        </is>
      </c>
      <c r="K25" t="inlineStr"/>
      <c r="L25" t="inlineStr"/>
      <c r="M25" t="inlineStr"/>
      <c r="N25" t="inlineStr">
        <is>
          <t>78</t>
        </is>
      </c>
      <c r="O25" t="inlineStr"/>
      <c r="P25" t="inlineStr">
        <is>
          <t>Ile-de-France</t>
        </is>
      </c>
      <c r="Q25" s="15" t="n">
        <v>46255</v>
      </c>
      <c r="R25" s="15" t="n">
        <v>46283</v>
      </c>
      <c r="S25" t="inlineStr"/>
      <c r="T25" t="inlineStr">
        <is>
          <t>A_VERIFIER_BUDGET</t>
        </is>
      </c>
      <c r="U25" t="inlineStr"/>
      <c r="V25" t="inlineStr">
        <is>
          <t>non</t>
        </is>
      </c>
      <c r="W25" t="inlineStr">
        <is>
          <t>Vitres</t>
        </is>
      </c>
      <c r="X25" t="inlineStr">
        <is>
          <t>Mairie</t>
        </is>
      </c>
      <c r="Y25" t="inlineStr">
        <is>
          <t>SERVICES</t>
        </is>
      </c>
      <c r="Z25" t="inlineStr">
        <is>
          <t>Procédure Ouverte</t>
        </is>
      </c>
      <c r="AA25" t="inlineStr">
        <is>
          <t>Avis de marché</t>
        </is>
      </c>
      <c r="AB25" t="inlineStr">
        <is>
          <t>Nettoyage de locaux</t>
        </is>
      </c>
      <c r="AC25" t="inlineStr"/>
      <c r="AD25" s="11" t="inlineStr">
        <is>
          <t>https://www.boamp.fr/pages/avis/?q=idweb:26-81760</t>
        </is>
      </c>
      <c r="AE25" t="inlineStr">
        <is>
          <t>https://www.achatpublic.com/sdm/ent/gen/ent_detail.do?PCSLID=CSL_2026_B11a--YMRc</t>
        </is>
      </c>
      <c r="AF25" t="inlineStr">
        <is>
          <t>https://www.achatpublic.com/sdm/ent/gen/ent_detail.do?PCSLID=CSL_2026_B11a--YMRc</t>
        </is>
      </c>
      <c r="AG25" t="inlineStr">
        <is>
          <t>nettoyage</t>
        </is>
      </c>
      <c r="AH25" t="inlineStr">
        <is>
          <t>3</t>
        </is>
      </c>
      <c r="AI25" t="inlineStr">
        <is>
          <t>68</t>
        </is>
      </c>
      <c r="AJ25" t="inlineStr">
        <is>
          <t>INFO_PARTIELLE</t>
        </is>
      </c>
      <c r="AK25" t="inlineStr">
        <is>
          <t>62.0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26-81760. Objet: Marché de prestations de service relatif au nettoyage des bâtiments municipaux : locaux et vitrerie.. Acheteur: Commune de Villepreux. Lien: https://www.boamp.fr/pages/avis/?q=idweb:26-81760.</t>
        </is>
      </c>
      <c r="AU25" t="inlineStr">
        <is>
          <t>Verifier url_avis et DCE si disponible</t>
        </is>
      </c>
      <c r="AV25" t="inlineStr">
        <is>
          <t>LIEN_SEUL</t>
        </is>
      </c>
      <c r="AW25" t="inlineStr"/>
      <c r="AX25" t="inlineStr"/>
      <c r="AY25" t="inlineStr"/>
      <c r="AZ25" t="inlineStr"/>
      <c r="BA25" t="inlineStr"/>
      <c r="BB25" t="inlineStr">
        <is>
          <t>+33.5 nettoyage + categorie claire (1 termes) | +10 budget non affiche (a verifier) | +10 secteur cible Mairie | +7.0 delai 18 j | +1.5 dossier renseigne (3/4)</t>
        </is>
      </c>
      <c r="BC25" t="inlineStr">
        <is>
          <t>Commune de Villepreux publie un AO potentiellement pertinent pour CHRUTH : Marché de prestations de service relatif au nettoyage des bâtiments municipaux : locaux et vitrerie.. Zone : 78. Budget a verifier. Verifier le lien source avant contact.</t>
        </is>
      </c>
      <c r="BD25" t="inlineStr">
        <is>
          <t>Bonjour,
Je me permets de vous contacter au sujet de votre appel d'offres : Marché de prestations de service relatif au nettoyage des bâtiments municipaux : locaux et vitrerie..
CHRUTH accompagne les structures publiques et privées sur les besoins de nettoyage, d'entretien des locaux et d'organisation de prestations de service.
Serait-il possible d'échanger rapidement afin de vérifier les modalités de réponse et les attentes de Commune de Villepreux ?
Cordialement,</t>
        </is>
      </c>
      <c r="BE25" t="inlineStr">
        <is>
          <t>Bonjour, je vous appelle concernant un appel d'offres publié par Commune de Villepreux.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2026-W34</t>
        </is>
      </c>
    </row>
    <row r="26">
      <c r="A26" t="inlineStr">
        <is>
          <t>BOAMP</t>
        </is>
      </c>
      <c r="B26" t="inlineStr">
        <is>
          <t>26-83553</t>
        </is>
      </c>
      <c r="C26" t="inlineStr">
        <is>
          <t>Fourniture et prestations associées pour l'entretien de véhicules thermiques et électriques et l'équipement d'ateliers mécaniques</t>
        </is>
      </c>
      <c r="D26" t="inlineStr">
        <is>
          <t>Ville de Sevran</t>
        </is>
      </c>
      <c r="E26" t="inlineStr"/>
      <c r="F26" t="inlineStr"/>
      <c r="G26" t="inlineStr"/>
      <c r="H26" t="inlineStr"/>
      <c r="I26" t="inlineStr">
        <is>
          <t>publications-joue@aws-france.com</t>
        </is>
      </c>
      <c r="J26" t="inlineStr">
        <is>
          <t>+33480041260</t>
        </is>
      </c>
      <c r="K26" t="inlineStr"/>
      <c r="L26" t="inlineStr"/>
      <c r="M26" t="inlineStr"/>
      <c r="N26" t="inlineStr">
        <is>
          <t>93</t>
        </is>
      </c>
      <c r="O26" t="inlineStr"/>
      <c r="P26" t="inlineStr">
        <is>
          <t>Ile-de-France</t>
        </is>
      </c>
      <c r="Q26" s="15" t="n">
        <v>46262</v>
      </c>
      <c r="R26" s="15" t="n">
        <v>46295</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Mécanique, Véhicules</t>
        </is>
      </c>
      <c r="AC26" t="inlineStr"/>
      <c r="AD26" s="11" t="inlineStr">
        <is>
          <t>https://www.boamp.fr/pages/avis/?q=idweb:26-83553</t>
        </is>
      </c>
      <c r="AE26" t="inlineStr">
        <is>
          <t>https://www.marches-publics.info</t>
        </is>
      </c>
      <c r="AF26" t="inlineStr">
        <is>
          <t>https://www.marches-publics.info</t>
        </is>
      </c>
      <c r="AG26" t="inlineStr">
        <is>
          <t>nettoyage</t>
        </is>
      </c>
      <c r="AH26" t="inlineStr">
        <is>
          <t>2</t>
        </is>
      </c>
      <c r="AI26" t="inlineStr">
        <is>
          <t>58</t>
        </is>
      </c>
      <c r="AJ26" t="inlineStr">
        <is>
          <t>INFO_PARTIELLE</t>
        </is>
      </c>
      <c r="AK26" t="inlineStr">
        <is>
          <t>60.0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SIRET, 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26-83553. Objet: Fourniture et prestations associées pour l'entretien de véhicules thermiques et électriques et l'équipement d'ateliers mécaniques. Acheteur: Ville de Sevran. Lien: https://www.boamp.fr/pages/avis/?q=idweb:26-83553.</t>
        </is>
      </c>
      <c r="AU26" t="inlineStr">
        <is>
          <t>Verifier url_avis et DCE si disponible</t>
        </is>
      </c>
      <c r="AV26" t="inlineStr">
        <is>
          <t>LIEN_SEUL</t>
        </is>
      </c>
      <c r="AW26" t="inlineStr"/>
      <c r="AX26" t="inlineStr"/>
      <c r="AY26" t="inlineStr"/>
      <c r="AZ26" t="inlineStr"/>
      <c r="BA26" t="inlineStr"/>
      <c r="BB26" t="inlineStr">
        <is>
          <t>+28.5 mots-cles nettoyage forts (1 termes) | +10 budget non affiche (a verifier) | +10 secteur cible Mairie | +10.0 delai 30 j | +1.5 dossier renseigne (3/4)</t>
        </is>
      </c>
      <c r="BC26" t="inlineStr">
        <is>
          <t>Ville de Sevran publie un AO potentiellement pertinent pour CHRUTH : Fourniture et prestations associées pour l'entretien de véhicules thermiques et électriques et l'équipement d'ateliers mécaniques. Zone : 93. Budget a verifier. Verifier le lien source avant contact.</t>
        </is>
      </c>
      <c r="BD26" t="inlineStr">
        <is>
          <t>Bonjour,
Je me permets de vous contacter au sujet de votre appel d'offres : Fourniture et prestations associées pour l'entretien de véhicules thermiques et électriques et l'équipement d'ateliers mécaniques.
CHRUTH accompagne les structures publiques et privées sur les besoins de nettoyage, d'entretien des locaux et d'organisation de prestations de service.
Serait-il possible d'échanger rapidement afin de vérifier les modalités de réponse et les attentes de Ville de Sevran ?
Cordialement,</t>
        </is>
      </c>
      <c r="BE26" t="inlineStr">
        <is>
          <t>Bonjour, je vous appelle concernant un appel d'offres publié par Ville de Sevran.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2026-W35</t>
        </is>
      </c>
    </row>
    <row r="27">
      <c r="A27" t="inlineStr">
        <is>
          <t>BOAMP</t>
        </is>
      </c>
      <c r="B27" t="inlineStr">
        <is>
          <t>26-72948</t>
        </is>
      </c>
      <c r="C27" t="inlineStr">
        <is>
          <t>26MF026 - Fourniture d'appareils ménagers et d'équipements professionnels</t>
        </is>
      </c>
      <c r="D27" t="inlineStr">
        <is>
          <t>Ville de Plaisir</t>
        </is>
      </c>
      <c r="E27" t="inlineStr">
        <is>
          <t>21780490500016</t>
        </is>
      </c>
      <c r="F27" t="inlineStr">
        <is>
          <t>217804905</t>
        </is>
      </c>
      <c r="G27" t="inlineStr"/>
      <c r="H27" t="inlineStr"/>
      <c r="I27" t="inlineStr">
        <is>
          <t>vermuseau-ma@ville-plaisir.fr</t>
        </is>
      </c>
      <c r="J27" t="inlineStr">
        <is>
          <t>0490500016</t>
        </is>
      </c>
      <c r="K27" t="inlineStr"/>
      <c r="L27" t="inlineStr"/>
      <c r="M27" t="inlineStr"/>
      <c r="N27" t="inlineStr">
        <is>
          <t>78</t>
        </is>
      </c>
      <c r="O27" t="inlineStr"/>
      <c r="P27" t="inlineStr">
        <is>
          <t>Ile-de-France</t>
        </is>
      </c>
      <c r="Q27" s="15" t="n">
        <v>46226</v>
      </c>
      <c r="R27" s="15" t="n">
        <v>46261</v>
      </c>
      <c r="S27" t="inlineStr"/>
      <c r="T27" t="inlineStr">
        <is>
          <t>A_VERIFIER_BUDGET</t>
        </is>
      </c>
      <c r="U27" t="inlineStr"/>
      <c r="V27" t="inlineStr">
        <is>
          <t>non</t>
        </is>
      </c>
      <c r="W27" t="inlineStr">
        <is>
          <t>Mixte/Autre</t>
        </is>
      </c>
      <c r="X27" t="inlineStr">
        <is>
          <t>Mairie</t>
        </is>
      </c>
      <c r="Y27" t="inlineStr">
        <is>
          <t>FOURNITURES</t>
        </is>
      </c>
      <c r="Z27" t="inlineStr">
        <is>
          <t>Procédure Ouverte</t>
        </is>
      </c>
      <c r="AA27" t="inlineStr">
        <is>
          <t>Avis de marché</t>
        </is>
      </c>
      <c r="AB27" t="inlineStr">
        <is>
          <t>Electroménager</t>
        </is>
      </c>
      <c r="AC27" t="inlineStr"/>
      <c r="AD27" s="11" t="inlineStr">
        <is>
          <t>https://www.boamp.fr/pages/avis/?q=idweb:26-72948</t>
        </is>
      </c>
      <c r="AE27" t="inlineStr">
        <is>
          <t>https://ville-plaisir.e-marches-publics.com</t>
        </is>
      </c>
      <c r="AF27" t="inlineStr"/>
      <c r="AG27" t="inlineStr">
        <is>
          <t>nettoyage</t>
        </is>
      </c>
      <c r="AH27" t="inlineStr">
        <is>
          <t>3</t>
        </is>
      </c>
      <c r="AI27" t="inlineStr">
        <is>
          <t>68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30j</t>
        </is>
      </c>
      <c r="BC27" t="inlineStr">
        <is>
          <t>Ville de Plaisir publie un AO potentiellement pertinent pour CHRUTH : 26MF026 - Fourniture d'appareils ménagers et d'équipements professionnels. Zone : 78. Budget a verifier. Verifier le lien source avant contact.</t>
        </is>
      </c>
      <c r="BD27"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27"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26-71986</t>
        </is>
      </c>
      <c r="C28" t="inlineStr">
        <is>
          <t>Nettoyage des locaux communaux et des vitreries des bâtiments communaux</t>
        </is>
      </c>
      <c r="D28" t="inlineStr">
        <is>
          <t>Ville de Fontenay-aux-Roses</t>
        </is>
      </c>
      <c r="E28" t="inlineStr"/>
      <c r="F28" t="inlineStr"/>
      <c r="G28" t="inlineStr"/>
      <c r="H28" t="inlineStr"/>
      <c r="I28" t="inlineStr">
        <is>
          <t>publications-joue@aws-france.com</t>
        </is>
      </c>
      <c r="J28" t="inlineStr">
        <is>
          <t>+33480041260</t>
        </is>
      </c>
      <c r="K28" t="inlineStr"/>
      <c r="L28" t="inlineStr"/>
      <c r="M28" t="inlineStr"/>
      <c r="N28" t="inlineStr">
        <is>
          <t>92</t>
        </is>
      </c>
      <c r="O28" t="inlineStr"/>
      <c r="P28" t="inlineStr">
        <is>
          <t>Ile-de-France</t>
        </is>
      </c>
      <c r="Q28" s="15" t="n">
        <v>46224</v>
      </c>
      <c r="R28" s="15" t="n">
        <v>46240</v>
      </c>
      <c r="S28" t="inlineStr"/>
      <c r="T28" t="inlineStr">
        <is>
          <t>A_VERIFIER_BUDGET</t>
        </is>
      </c>
      <c r="U28" t="inlineStr"/>
      <c r="V28" t="inlineStr">
        <is>
          <t>non</t>
        </is>
      </c>
      <c r="W28" t="inlineStr">
        <is>
          <t>Vitres</t>
        </is>
      </c>
      <c r="X28" t="inlineStr">
        <is>
          <t>Mairie</t>
        </is>
      </c>
      <c r="Y28" t="inlineStr">
        <is>
          <t>SERVICES</t>
        </is>
      </c>
      <c r="Z28" t="inlineStr">
        <is>
          <t>Procédure Ouverte</t>
        </is>
      </c>
      <c r="AA28" t="inlineStr">
        <is>
          <t>Avis de marché</t>
        </is>
      </c>
      <c r="AB28" t="inlineStr">
        <is>
          <t>Nettoyage de locaux, Vitrerie</t>
        </is>
      </c>
      <c r="AC28" t="inlineStr">
        <is>
          <t>['environnementaux']</t>
        </is>
      </c>
      <c r="AD28" s="11" t="inlineStr">
        <is>
          <t>https://www.boamp.fr/pages/avis/?q=idweb:26-71986</t>
        </is>
      </c>
      <c r="AE28" t="inlineStr">
        <is>
          <t>https://www.marches-publics.info/accueil.htm</t>
        </is>
      </c>
      <c r="AF28" t="inlineStr">
        <is>
          <t>https://www.marches-publics.info/accueil.htm</t>
        </is>
      </c>
      <c r="AG28" t="inlineStr">
        <is>
          <t>nettoyage</t>
        </is>
      </c>
      <c r="AH28" t="inlineStr">
        <is>
          <t>2</t>
        </is>
      </c>
      <c r="AI28" t="inlineStr">
        <is>
          <t>58</t>
        </is>
      </c>
      <c r="AJ28" t="inlineStr">
        <is>
          <t>INFO_PARTIELLE</t>
        </is>
      </c>
      <c r="AK28" t="inlineStr">
        <is>
          <t>60</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SIRET, 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28" t="inlineStr">
        <is>
          <t>Verifier url_avis et DCE si disponible</t>
        </is>
      </c>
      <c r="AV28" t="inlineStr">
        <is>
          <t>LIEN_SEUL</t>
        </is>
      </c>
      <c r="AW28" t="inlineStr"/>
      <c r="AX28" t="inlineStr"/>
      <c r="AY28" t="inlineStr"/>
      <c r="AZ28" t="inlineStr"/>
      <c r="BA28" t="inlineStr"/>
      <c r="BB28" t="inlineStr">
        <is>
          <t>+35 nettoyage + categorie claire | +10 budget non affiche (a verifier) | +10 secteur cible Mairie | +5 delai court 9j</t>
        </is>
      </c>
      <c r="BC28" t="inlineStr">
        <is>
          <t>Ville de Fontenay-aux-Roses publie un AO potentiellement pertinent pour CHRUTH : Nettoyage des locaux communaux et des vitreries des bâtiments communaux. Zone : 92. Budget a verifier. Verifier le lien source avant contact.</t>
        </is>
      </c>
      <c r="BD28"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28"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2026-W30</t>
        </is>
      </c>
    </row>
    <row r="29">
      <c r="A29" t="inlineStr">
        <is>
          <t>BOAMP</t>
        </is>
      </c>
      <c r="B29" t="inlineStr">
        <is>
          <t>26-71545</t>
        </is>
      </c>
      <c r="C29" t="inlineStr">
        <is>
          <t>Exploitation, maintenance des dispositifs de collecte pneumatique fixes et mobiles des déchets ménagers et transport de ces déchets</t>
        </is>
      </c>
      <c r="D29" t="inlineStr">
        <is>
          <t>Grand Paris Seine Ouest</t>
        </is>
      </c>
      <c r="E29" t="inlineStr">
        <is>
          <t>20005797400012</t>
        </is>
      </c>
      <c r="F29" t="inlineStr">
        <is>
          <t>200057974</t>
        </is>
      </c>
      <c r="G29" t="inlineStr"/>
      <c r="H29" t="inlineStr"/>
      <c r="I29" t="inlineStr">
        <is>
          <t>judith.comminsoli@seineouest.fr</t>
        </is>
      </c>
      <c r="J29" t="inlineStr">
        <is>
          <t>0579740001</t>
        </is>
      </c>
      <c r="K29" t="inlineStr"/>
      <c r="L29" t="inlineStr"/>
      <c r="M29" t="inlineStr"/>
      <c r="N29" t="inlineStr">
        <is>
          <t>92</t>
        </is>
      </c>
      <c r="O29" t="inlineStr"/>
      <c r="P29" t="inlineStr">
        <is>
          <t>Ile-de-France</t>
        </is>
      </c>
      <c r="Q29" s="15" t="n">
        <v>46222</v>
      </c>
      <c r="R29" s="15" t="n">
        <v>46275</v>
      </c>
      <c r="S29" s="14" t="n">
        <v>300000</v>
      </c>
      <c r="T29" t="inlineStr">
        <is>
          <t>BUDGET_EXPLICITE_OK</t>
        </is>
      </c>
      <c r="U29" t="inlineStr">
        <is>
          <t>75000</t>
        </is>
      </c>
      <c r="V29" t="inlineStr">
        <is>
          <t>oui</t>
        </is>
      </c>
      <c r="W29" t="inlineStr">
        <is>
          <t>Mixte/Autre</t>
        </is>
      </c>
      <c r="X29" t="inlineStr">
        <is>
          <t>Autre</t>
        </is>
      </c>
      <c r="Y29" t="inlineStr">
        <is>
          <t>SERVICES</t>
        </is>
      </c>
      <c r="Z29" t="inlineStr">
        <is>
          <t>Procédure Ouverte</t>
        </is>
      </c>
      <c r="AA29" t="inlineStr">
        <is>
          <t>Avis de marché</t>
        </is>
      </c>
      <c r="AB29" t="inlineStr">
        <is>
          <t>Collecte sélective</t>
        </is>
      </c>
      <c r="AC29" t="inlineStr">
        <is>
          <t>['environnementaux']</t>
        </is>
      </c>
      <c r="AD29" s="11" t="inlineStr">
        <is>
          <t>https://www.boamp.fr/pages/avis/?q=idweb:26-71545</t>
        </is>
      </c>
      <c r="AE29" t="inlineStr">
        <is>
          <t>https://marches.maximilien.fr/</t>
        </is>
      </c>
      <c r="AF29" t="inlineStr">
        <is>
          <t>https://marches.maximilien.fr/</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29" t="inlineStr">
        <is>
          <t>Verifier url_avis et DCE si disponible</t>
        </is>
      </c>
      <c r="AV29" t="inlineStr"/>
      <c r="AW29" t="inlineStr"/>
      <c r="AX29" t="inlineStr"/>
      <c r="AY29" t="inlineStr"/>
      <c r="AZ29" t="inlineStr"/>
      <c r="BA29" t="inlineStr"/>
      <c r="BB29" t="inlineStr">
        <is>
          <t>+30 mots-cles nettoyage forts | +20 budget annualise &lt;= 100 000 EUR | +10 delai confortable 44j</t>
        </is>
      </c>
      <c r="BC29"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29"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29"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26-79275</t>
        </is>
      </c>
      <c r="C30" t="inlineStr">
        <is>
          <t>NETTOYAGE, COLLECTE, EVACUATION ET TRAITEMENT DES DECHETS DU MARCHE COMMUNAL</t>
        </is>
      </c>
      <c r="D30" t="inlineStr">
        <is>
          <t>Commune de Chanteloup les Vignes</t>
        </is>
      </c>
      <c r="E30" t="inlineStr">
        <is>
          <t>21780138000015</t>
        </is>
      </c>
      <c r="F30" t="inlineStr">
        <is>
          <t>217801380</t>
        </is>
      </c>
      <c r="G30" t="inlineStr"/>
      <c r="H30" t="inlineStr"/>
      <c r="I30" t="inlineStr">
        <is>
          <t>commandespubliques@chanteloup-les-vignes.fr</t>
        </is>
      </c>
      <c r="J30" t="inlineStr">
        <is>
          <t>0138000015</t>
        </is>
      </c>
      <c r="K30" t="inlineStr"/>
      <c r="L30" t="inlineStr"/>
      <c r="M30" t="inlineStr"/>
      <c r="N30" t="inlineStr">
        <is>
          <t>78</t>
        </is>
      </c>
      <c r="O30" t="inlineStr"/>
      <c r="P30" t="inlineStr">
        <is>
          <t>Ile-de-France</t>
        </is>
      </c>
      <c r="Q30" s="15" t="n">
        <v>46243</v>
      </c>
      <c r="R30" s="15" t="n">
        <v>46283</v>
      </c>
      <c r="S30" t="inlineStr"/>
      <c r="T30" t="inlineStr">
        <is>
          <t>A_VERIFIER_BUDGET</t>
        </is>
      </c>
      <c r="U30" t="inlineStr"/>
      <c r="V30" t="inlineStr">
        <is>
          <t>non</t>
        </is>
      </c>
      <c r="W30" t="inlineStr">
        <is>
          <t>Mixte/Autre</t>
        </is>
      </c>
      <c r="X30" t="inlineStr">
        <is>
          <t>Mairie</t>
        </is>
      </c>
      <c r="Y30" t="inlineStr">
        <is>
          <t>SERVICES</t>
        </is>
      </c>
      <c r="Z30" t="inlineStr">
        <is>
          <t>Procédure Ouverte</t>
        </is>
      </c>
      <c r="AA30" t="inlineStr">
        <is>
          <t>Avis de marché</t>
        </is>
      </c>
      <c r="AB30" t="inlineStr">
        <is>
          <t>Déchets non ménagers (prestations)</t>
        </is>
      </c>
      <c r="AC30" t="inlineStr">
        <is>
          <t>['environnementaux']</t>
        </is>
      </c>
      <c r="AD30" s="11" t="inlineStr">
        <is>
          <t>https://www.boamp.fr/pages/avis/?q=idweb:26-79275</t>
        </is>
      </c>
      <c r="AE30" t="inlineStr">
        <is>
          <t>https://www.achatpublic.com/sdm/ent/gen/ent_detail.do?PCSLID=CSL_2026_-fifweNbVP</t>
        </is>
      </c>
      <c r="AF30" t="inlineStr">
        <is>
          <t>https://www.achatpublic.com/sdm/ent/gen/ent_detail.do?PCSLID=CSL_2026_-fifweNbVP</t>
        </is>
      </c>
      <c r="AG30" t="inlineStr">
        <is>
          <t>nettoyage</t>
        </is>
      </c>
      <c r="AH30" t="inlineStr">
        <is>
          <t>3</t>
        </is>
      </c>
      <c r="AI30" t="inlineStr">
        <is>
          <t>68</t>
        </is>
      </c>
      <c r="AJ30" t="inlineStr">
        <is>
          <t>INFO_PARTIELLE</t>
        </is>
      </c>
      <c r="AK30" t="inlineStr">
        <is>
          <t>57.0</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26-79275. Objet: NETTOYAGE, COLLECTE, EVACUATION ET TRAITEMENT DES DECHETS DU MARCHE COMMUNAL. Acheteur: Commune de Chanteloup les Vignes. Lien: https://www.boamp.fr/pages/avis/?q=idweb:26-79275.</t>
        </is>
      </c>
      <c r="AU30" t="inlineStr">
        <is>
          <t>Verifier url_avis et DCE si disponible</t>
        </is>
      </c>
      <c r="AV30" t="inlineStr">
        <is>
          <t>LIEN_SEUL</t>
        </is>
      </c>
      <c r="AW30" t="inlineStr"/>
      <c r="AX30" t="inlineStr"/>
      <c r="AY30" t="inlineStr"/>
      <c r="AZ30" t="inlineStr"/>
      <c r="BA30" t="inlineStr"/>
      <c r="BB30" t="inlineStr">
        <is>
          <t>+28.5 mots-cles nettoyage forts (1 termes) | +10 budget non affiche (a verifier) | +10 secteur cible Mairie | +7.0 delai 18 j | +1.5 dossier renseigne (3/4)</t>
        </is>
      </c>
      <c r="BC30" t="inlineStr">
        <is>
          <t>Commune de Chanteloup les Vignes publie un AO potentiellement pertinent pour CHRUTH : NETTOYAGE, COLLECTE, EVACUATION ET TRAITEMENT DES DECHETS DU MARCHE COMMUNAL. Zone : 78. Budget a verifier. Verifier le lien source avant contact.</t>
        </is>
      </c>
      <c r="BD30" t="inlineStr">
        <is>
          <t>Bonjour,
Je me permets de vous contacter au sujet de votre appel d'offres : NETTOYAGE, COLLECTE, EVACUATION ET TRAITEMENT DES DECHETS DU MARCHE COMMUNAL.
CHRUTH accompagne les structures publiques et privées sur les besoins de nettoyage, d'entretien des locaux et d'organisation de prestations de service.
Serait-il possible d'échanger rapidement afin de vérifier les modalités de réponse et les attentes de Commune de Chanteloup les Vignes ?
Cordialement,</t>
        </is>
      </c>
      <c r="BE30" t="inlineStr">
        <is>
          <t>Bonjour, je vous appelle concernant un appel d'offres publié par Commune de Chanteloup les Vignes.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2026-W32</t>
        </is>
      </c>
    </row>
    <row r="31">
      <c r="A31" t="inlineStr">
        <is>
          <t>BOAMP</t>
        </is>
      </c>
      <c r="B31" t="inlineStr">
        <is>
          <t>26-83118</t>
        </is>
      </c>
      <c r="C31" t="inlineStr">
        <is>
          <t>2026-61359767 (avis de publicité)  et référence DIPADEST sur Place</t>
        </is>
      </c>
      <c r="D31" t="inlineStr">
        <is>
          <t>DGDDI DI PARIS-AEROPORTS</t>
        </is>
      </c>
      <c r="E31" t="inlineStr">
        <is>
          <t>17950230700053</t>
        </is>
      </c>
      <c r="F31" t="inlineStr">
        <is>
          <t>179502307</t>
        </is>
      </c>
      <c r="G31" t="inlineStr"/>
      <c r="H31" t="inlineStr"/>
      <c r="I31" t="inlineStr">
        <is>
          <t>dipa-immobilier@douane.finances.gouv.fr</t>
        </is>
      </c>
      <c r="J31" t="inlineStr">
        <is>
          <t>0230700053</t>
        </is>
      </c>
      <c r="K31" t="inlineStr"/>
      <c r="L31" t="inlineStr"/>
      <c r="M31" t="inlineStr"/>
      <c r="N31" t="inlineStr">
        <is>
          <t>95,93,94,75,77</t>
        </is>
      </c>
      <c r="O31" t="inlineStr"/>
      <c r="P31" t="inlineStr">
        <is>
          <t>Ile-de-France</t>
        </is>
      </c>
      <c r="Q31" s="15" t="n">
        <v>46261</v>
      </c>
      <c r="R31" s="15" t="n">
        <v>46307</v>
      </c>
      <c r="S31" t="inlineStr"/>
      <c r="T31" t="inlineStr">
        <is>
          <t>A_VERIFIER_BUDGET</t>
        </is>
      </c>
      <c r="U31" t="inlineStr"/>
      <c r="V31" t="inlineStr">
        <is>
          <t>non</t>
        </is>
      </c>
      <c r="W31" t="inlineStr">
        <is>
          <t>Bureaux</t>
        </is>
      </c>
      <c r="X31" t="inlineStr">
        <is>
          <t>Autre</t>
        </is>
      </c>
      <c r="Y31" t="inlineStr">
        <is>
          <t>SERVICES</t>
        </is>
      </c>
      <c r="Z31" t="inlineStr">
        <is>
          <t>Procédure Ouverte</t>
        </is>
      </c>
      <c r="AA31" t="inlineStr">
        <is>
          <t>Avis de marché</t>
        </is>
      </c>
      <c r="AB31" t="inlineStr">
        <is>
          <t>Déchets non ménagers (prestations)</t>
        </is>
      </c>
      <c r="AC31" t="inlineStr">
        <is>
          <t>['sociaux', 'environnementaux']</t>
        </is>
      </c>
      <c r="AD31" s="11" t="inlineStr">
        <is>
          <t>https://www.boamp.fr/pages/avis/?q=idweb:26-83118</t>
        </is>
      </c>
      <c r="AE31" t="inlineStr">
        <is>
          <t>https://www.marches-publics.gouv.fr</t>
        </is>
      </c>
      <c r="AF31" t="inlineStr">
        <is>
          <t>https://www.marches-publics.gouv.fr</t>
        </is>
      </c>
      <c r="AG31" t="inlineStr"/>
      <c r="AH31" t="inlineStr">
        <is>
          <t>3</t>
        </is>
      </c>
      <c r="AI31" t="inlineStr">
        <is>
          <t>60</t>
        </is>
      </c>
      <c r="AJ31" t="inlineStr">
        <is>
          <t>INFO_PARTIELLE</t>
        </is>
      </c>
      <c r="AK31" t="inlineStr">
        <is>
          <t>55.0</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26-83118. Objet: 2026-61359767 (avis de publicité)  et référence DIPADEST sur Place. Acheteur: DGDDI DI PARIS-AEROPORTS. Lien: https://www.boamp.fr/pages/avis/?q=idweb:26-83118.</t>
        </is>
      </c>
      <c r="AU31" t="inlineStr">
        <is>
          <t>Verifier url_avis et DCE si disponible</t>
        </is>
      </c>
      <c r="AV31" t="inlineStr">
        <is>
          <t>LIEN_SEUL</t>
        </is>
      </c>
      <c r="AW31" t="inlineStr"/>
      <c r="AX31" t="inlineStr"/>
      <c r="AY31" t="inlineStr"/>
      <c r="AZ31" t="inlineStr"/>
      <c r="BA31" t="inlineStr"/>
      <c r="BB31" t="inlineStr">
        <is>
          <t>+33.5 nettoyage + categorie claire (1 termes) | +10 budget non affiche (a verifier) | +10.0 delai 42 j | +1.5 dossier renseigne (3/4)</t>
        </is>
      </c>
      <c r="BC31" t="inlineStr">
        <is>
          <t>DGDDI DI PARIS-AEROPORTS publie un AO potentiellement pertinent pour CHRUTH : 2026-61359767 (avis de publicité)  et référence DIPADEST sur Place. Zone : 95,93,94,75,77. Budget a verifier. Verifier le lien source avant contact.</t>
        </is>
      </c>
      <c r="BD31" t="inlineStr">
        <is>
          <t>Bonjour,
Je me permets de vous contacter au sujet de votre appel d'offres : 2026-61359767 (avis de publicité)  et référence DIPADEST sur Place.
CHRUTH accompagne les structures publiques et privées sur les besoins de nettoyage, d'entretien des locaux et d'organisation de prestations de service.
Serait-il possible d'échanger rapidement afin de vérifier les modalités de réponse et les attentes de DGDDI DI PARIS-AEROPORTS ?
Cordialement,</t>
        </is>
      </c>
      <c r="BE31" t="inlineStr">
        <is>
          <t>Bonjour, je vous appelle concernant un appel d'offres publié par DGDDI DI PARIS-AEROPORTS.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2026-W35</t>
        </is>
      </c>
    </row>
    <row r="32">
      <c r="A32" t="inlineStr">
        <is>
          <t>BOAMP</t>
        </is>
      </c>
      <c r="B32" t="inlineStr">
        <is>
          <t>26-73898</t>
        </is>
      </c>
      <c r="C32" t="inlineStr">
        <is>
          <t>Fourniture de petits matériels et de consommables d'entretien et d'hygiène</t>
        </is>
      </c>
      <c r="D32" t="inlineStr">
        <is>
          <t>Département des Hauts-de-Seine</t>
        </is>
      </c>
      <c r="E32" t="inlineStr"/>
      <c r="F32" t="inlineStr"/>
      <c r="G32" t="inlineStr"/>
      <c r="H32" t="inlineStr"/>
      <c r="I32" t="inlineStr">
        <is>
          <t>publications-joue@aws-france.com</t>
        </is>
      </c>
      <c r="J32" t="inlineStr">
        <is>
          <t>+33480041260</t>
        </is>
      </c>
      <c r="K32" t="inlineStr"/>
      <c r="L32" t="inlineStr"/>
      <c r="M32" t="inlineStr"/>
      <c r="N32" t="inlineStr">
        <is>
          <t>92</t>
        </is>
      </c>
      <c r="O32" t="inlineStr"/>
      <c r="P32" t="inlineStr">
        <is>
          <t>Ile-de-France</t>
        </is>
      </c>
      <c r="Q32" s="15" t="n">
        <v>46228</v>
      </c>
      <c r="R32" s="15" t="n">
        <v>46280</v>
      </c>
      <c r="S32" t="inlineStr"/>
      <c r="T32" t="inlineStr">
        <is>
          <t>A_VERIFIER_BUDGET</t>
        </is>
      </c>
      <c r="U32" t="inlineStr"/>
      <c r="V32" t="inlineStr">
        <is>
          <t>non</t>
        </is>
      </c>
      <c r="W32" t="inlineStr">
        <is>
          <t>Batiments</t>
        </is>
      </c>
      <c r="X32" t="inlineStr">
        <is>
          <t>Autre</t>
        </is>
      </c>
      <c r="Y32" t="inlineStr">
        <is>
          <t>FOURNITURES</t>
        </is>
      </c>
      <c r="Z32" t="inlineStr">
        <is>
          <t>Procédure Ouverte</t>
        </is>
      </c>
      <c r="AA32" t="inlineStr">
        <is>
          <t>Avis de marché</t>
        </is>
      </c>
      <c r="AB32" t="inlineStr">
        <is>
          <t>Produits d'entretien</t>
        </is>
      </c>
      <c r="AC32" t="inlineStr">
        <is>
          <t>['sociaux', 'environnementaux']</t>
        </is>
      </c>
      <c r="AD32" s="11" t="inlineStr">
        <is>
          <t>https://www.boamp.fr/pages/avis/?q=idweb:26-73898</t>
        </is>
      </c>
      <c r="AE32" t="inlineStr">
        <is>
          <t>https://www.marches-publics.info/mpiaws/index.cfm?fuseaction=dematEnt.login&amp;amp;type=DCE&amp;amp;IDM=1854121</t>
        </is>
      </c>
      <c r="AF32" t="inlineStr">
        <is>
          <t>https://www.marches-publics.info/mpiaws/index.cfm?fuseaction=dematEnt.login&amp;amp;type=DCE&amp;amp;IDM=1854121</t>
        </is>
      </c>
      <c r="AG32" t="inlineStr">
        <is>
          <t>hygiene des locaux</t>
        </is>
      </c>
      <c r="AH32" t="inlineStr">
        <is>
          <t>2</t>
        </is>
      </c>
      <c r="AI32" t="inlineStr">
        <is>
          <t>58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+10 delai confortable 49j</t>
        </is>
      </c>
      <c r="BC32" t="inlineStr">
        <is>
          <t>Département des Hauts-de-Seine publie un AO potentiellement pertinent pour CHRUTH : Fourniture de petits matériels et de consommables d'entretien et d'hygiène. Zone : 92. Budget a verifier. Verifier le lien source avant contact.</t>
        </is>
      </c>
      <c r="BD32"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32"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26-72955</t>
        </is>
      </c>
      <c r="C33" t="inlineStr">
        <is>
          <t>Prestations de nettoyage courant des locaux du CNRS et de vitreries incluant la fourniture des produits d’entretien et d’hygiène</t>
        </is>
      </c>
      <c r="D33" t="inlineStr">
        <is>
          <t>CNRS Délégation paris-Centre</t>
        </is>
      </c>
      <c r="E33" t="inlineStr">
        <is>
          <t>18008901303282</t>
        </is>
      </c>
      <c r="F33" t="inlineStr">
        <is>
          <t>180089013</t>
        </is>
      </c>
      <c r="G33" t="inlineStr"/>
      <c r="H33" t="inlineStr"/>
      <c r="I33" t="inlineStr">
        <is>
          <t>marchesdr2@dr2.cnrs.fr</t>
        </is>
      </c>
      <c r="J33" t="inlineStr">
        <is>
          <t>0890130328</t>
        </is>
      </c>
      <c r="K33" t="inlineStr"/>
      <c r="L33" t="inlineStr"/>
      <c r="M33" t="inlineStr"/>
      <c r="N33" t="inlineStr">
        <is>
          <t>75,77,78,91,92,93,94,95</t>
        </is>
      </c>
      <c r="O33" t="inlineStr"/>
      <c r="P33" t="inlineStr">
        <is>
          <t>Ile-de-France</t>
        </is>
      </c>
      <c r="Q33" s="15" t="n">
        <v>46225</v>
      </c>
      <c r="R33" s="15" t="n">
        <v>46269</v>
      </c>
      <c r="S33" t="inlineStr"/>
      <c r="T33" t="inlineStr">
        <is>
          <t>A_VERIFIER_BUDGET</t>
        </is>
      </c>
      <c r="U33" t="inlineStr"/>
      <c r="V33" t="inlineStr">
        <is>
          <t>non</t>
        </is>
      </c>
      <c r="W33" t="inlineStr">
        <is>
          <t>Batiments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https://www.boamp.fr/pages/avis/?q=idweb:26-72955</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38j</t>
        </is>
      </c>
      <c r="BC33"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33"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33"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2026-W30</t>
        </is>
      </c>
    </row>
    <row r="34">
      <c r="A34" t="inlineStr">
        <is>
          <t>BOAMP</t>
        </is>
      </c>
      <c r="B34" t="inlineStr">
        <is>
          <t>26-72105</t>
        </is>
      </c>
      <c r="C34" t="inlineStr">
        <is>
          <t>PRESTATIONS DE SERVICES DE NETTOYAGE ET BIONETTOYAGE DES LOCAUX, DE LA VITRERIE ET SERVICES ASSOCIES POUR LE CHIMM</t>
        </is>
      </c>
      <c r="D34" t="inlineStr">
        <is>
          <t>Centre Hospitalier Poissy/Saint-Germain-En-Laye</t>
        </is>
      </c>
      <c r="E34" t="inlineStr">
        <is>
          <t>26780580200316</t>
        </is>
      </c>
      <c r="F34" t="inlineStr">
        <is>
          <t>267805802</t>
        </is>
      </c>
      <c r="G34" t="inlineStr"/>
      <c r="H34" t="inlineStr"/>
      <c r="I34" t="inlineStr">
        <is>
          <t>clementine.hee@ght-yvelinesnord.fr</t>
        </is>
      </c>
      <c r="J34" t="inlineStr">
        <is>
          <t>0580200316</t>
        </is>
      </c>
      <c r="K34" t="inlineStr"/>
      <c r="L34" t="inlineStr"/>
      <c r="M34" t="inlineStr"/>
      <c r="N34" t="inlineStr">
        <is>
          <t>78</t>
        </is>
      </c>
      <c r="O34" t="inlineStr"/>
      <c r="P34" t="inlineStr">
        <is>
          <t>Ile-de-France</t>
        </is>
      </c>
      <c r="Q34" s="15" t="n">
        <v>46224</v>
      </c>
      <c r="R34" s="15" t="n">
        <v>46293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 Vitrerie</t>
        </is>
      </c>
      <c r="AC34" t="inlineStr"/>
      <c r="AD34" s="11" t="inlineStr">
        <is>
          <t>https://www.boamp.fr/pages/avis/?q=idweb:26-72105</t>
        </is>
      </c>
      <c r="AE34" t="inlineStr">
        <is>
          <t>https://marches.maximilien.fr/entreprise/consultation/943757?orgAcronyme=a2k</t>
        </is>
      </c>
      <c r="AF34" t="inlineStr">
        <is>
          <t>https://marches.maximilien.fr/entreprise/consultation/943757?orgAcronyme=a2k</t>
        </is>
      </c>
      <c r="AG34" t="inlineStr">
        <is>
          <t>nettoyage, bionettoyage</t>
        </is>
      </c>
      <c r="AH34" t="inlineStr">
        <is>
          <t>3</t>
        </is>
      </c>
      <c r="AI34" t="inlineStr">
        <is>
          <t>76</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62j</t>
        </is>
      </c>
      <c r="BC34"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34"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34"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26-70522</t>
        </is>
      </c>
      <c r="C35" t="inlineStr">
        <is>
          <t>PRESTATIONS DE COACHING ET D’ACCOMPAGNEMENT DES MEMBRES D’UN CODIR AU PROFIT DE L’EPIDE</t>
        </is>
      </c>
      <c r="D35" t="inlineStr">
        <is>
          <t>EPIDE</t>
        </is>
      </c>
      <c r="E35" t="inlineStr">
        <is>
          <t>18009259500131</t>
        </is>
      </c>
      <c r="F35" t="inlineStr">
        <is>
          <t>180092595</t>
        </is>
      </c>
      <c r="G35" t="inlineStr"/>
      <c r="H35" t="inlineStr"/>
      <c r="I35" t="inlineStr">
        <is>
          <t>achats@epide.fr</t>
        </is>
      </c>
      <c r="J35" t="inlineStr">
        <is>
          <t>0925950013</t>
        </is>
      </c>
      <c r="K35" t="inlineStr"/>
      <c r="L35" t="inlineStr"/>
      <c r="M35" t="inlineStr"/>
      <c r="N35" t="inlineStr">
        <is>
          <t>92,67,68,24,33,40,47,64,3</t>
        </is>
      </c>
      <c r="O35" t="inlineStr"/>
      <c r="P35" t="inlineStr">
        <is>
          <t>Ile-de-France</t>
        </is>
      </c>
      <c r="Q35" s="15" t="n">
        <v>46220</v>
      </c>
      <c r="R35" s="15" t="n">
        <v>46259</v>
      </c>
      <c r="S35" t="inlineStr"/>
      <c r="T35" t="inlineStr">
        <is>
          <t>A_VERIFIER_BUDGET</t>
        </is>
      </c>
      <c r="U35" t="inlineStr"/>
      <c r="V35" t="inlineStr">
        <is>
          <t>non</t>
        </is>
      </c>
      <c r="W35" t="inlineStr">
        <is>
          <t>Batiments</t>
        </is>
      </c>
      <c r="X35" t="inlineStr">
        <is>
          <t>Autre</t>
        </is>
      </c>
      <c r="Y35" t="inlineStr">
        <is>
          <t>SERVICES</t>
        </is>
      </c>
      <c r="Z35" t="inlineStr">
        <is>
          <t>Procédure Ouverte</t>
        </is>
      </c>
      <c r="AA35" t="inlineStr">
        <is>
          <t>Avis de marché</t>
        </is>
      </c>
      <c r="AB35" t="inlineStr">
        <is>
          <t>Nettoyage de locaux</t>
        </is>
      </c>
      <c r="AC35" t="inlineStr"/>
      <c r="AD35" s="11" t="inlineStr">
        <is>
          <t>https://www.boamp.fr/pages/avis/?q=idweb:26-70522</t>
        </is>
      </c>
      <c r="AE35" t="inlineStr">
        <is>
          <t>https://www.epide.fr/</t>
        </is>
      </c>
      <c r="AF35" t="inlineStr"/>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28j</t>
        </is>
      </c>
      <c r="BC35" t="inlineStr">
        <is>
          <t>EPIDE publie un AO potentiellement pertinent pour CHRUTH : PRESTATIONS DE COACHING ET D’ACCOMPAGNEMENT DES MEMBRES D’UN CODIR AU PROFIT DE L’EPIDE. Zone : 92,67,68,24,33,40,47,64,3. Budget a verifier. Verifier le lien source avant contact.</t>
        </is>
      </c>
      <c r="BD35"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35"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2026-W29</t>
        </is>
      </c>
    </row>
    <row r="36">
      <c r="A36" t="inlineStr">
        <is>
          <t>BOAMP</t>
        </is>
      </c>
      <c r="B36" t="inlineStr">
        <is>
          <t>26-70503</t>
        </is>
      </c>
      <c r="C36" t="inlineStr">
        <is>
          <t>Prestations de nettoyage des locaux et de la vitrerie et prestations associées pour les sites du GHT Grand Paris Nord-Est</t>
        </is>
      </c>
      <c r="D36" t="inlineStr">
        <is>
          <t>GHT GPNE</t>
        </is>
      </c>
      <c r="E36" t="inlineStr">
        <is>
          <t>20001803400013</t>
        </is>
      </c>
      <c r="F36" t="inlineStr">
        <is>
          <t>200018034</t>
        </is>
      </c>
      <c r="G36" t="inlineStr"/>
      <c r="H36" t="inlineStr"/>
      <c r="I36" t="inlineStr">
        <is>
          <t>ght.cellule-des-marches@ght-gpne.fr</t>
        </is>
      </c>
      <c r="J36" t="inlineStr">
        <is>
          <t>0180340001</t>
        </is>
      </c>
      <c r="K36" t="inlineStr"/>
      <c r="L36" t="inlineStr"/>
      <c r="M36" t="inlineStr"/>
      <c r="N36" t="inlineStr">
        <is>
          <t>93</t>
        </is>
      </c>
      <c r="O36" t="inlineStr"/>
      <c r="P36" t="inlineStr">
        <is>
          <t>Ile-de-France</t>
        </is>
      </c>
      <c r="Q36" s="15" t="n">
        <v>46220</v>
      </c>
      <c r="R36" s="15" t="n">
        <v>46269</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c r="AD36" s="11" t="inlineStr">
        <is>
          <t>https://www.boamp.fr/pages/avis/?q=idweb:26-70503</t>
        </is>
      </c>
      <c r="AE36" t="inlineStr">
        <is>
          <t>https://marches.maximilien.fr/entreprise/consultation/943277?orgAcronyme=a1j</t>
        </is>
      </c>
      <c r="AF36" t="inlineStr">
        <is>
          <t>https://marches.maximilien.fr/entreprise/consultation/943277?orgAcronyme=a1j</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38j</t>
        </is>
      </c>
      <c r="BC36" t="inlineStr">
        <is>
          <t>GHT GPNE publie un AO potentiellement pertinent pour CHRUTH : Prestations de nettoyage des locaux et de la vitrerie et prestations associées pour les sites du GHT Grand Paris Nord-Est. Zone : 93. Budget a verifier. Verifier le lien source avant contact.</t>
        </is>
      </c>
      <c r="BD36"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36"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26-82245</t>
        </is>
      </c>
      <c r="C37" t="inlineStr">
        <is>
          <t>PRESTATIONS DE NETTOYAGE ET D'ENTRETIEN MENAGER DES BATIMENTS UNIVERSITAIRES</t>
        </is>
      </c>
      <c r="D37" t="inlineStr">
        <is>
          <t>Communauté d'Agglomération Melun Val de Seine</t>
        </is>
      </c>
      <c r="E37" t="inlineStr"/>
      <c r="F37" t="inlineStr"/>
      <c r="G37" t="inlineStr"/>
      <c r="H37" t="inlineStr"/>
      <c r="I37" t="inlineStr">
        <is>
          <t>publications-joue@aws-france.com</t>
        </is>
      </c>
      <c r="J37" t="inlineStr">
        <is>
          <t>+33480041260</t>
        </is>
      </c>
      <c r="K37" t="inlineStr"/>
      <c r="L37" t="inlineStr"/>
      <c r="M37" t="inlineStr"/>
      <c r="N37" t="inlineStr">
        <is>
          <t>77</t>
        </is>
      </c>
      <c r="O37" t="inlineStr"/>
      <c r="P37" t="inlineStr">
        <is>
          <t>Ile-de-France</t>
        </is>
      </c>
      <c r="Q37" s="15" t="n">
        <v>46257</v>
      </c>
      <c r="R37" s="15" t="n">
        <v>46286</v>
      </c>
      <c r="S37" s="14" t="n">
        <v>120000</v>
      </c>
      <c r="T37" t="inlineStr">
        <is>
          <t>BUDGET_EXPLICITE_OK</t>
        </is>
      </c>
      <c r="U37" t="inlineStr">
        <is>
          <t>120000</t>
        </is>
      </c>
      <c r="V37" t="inlineStr">
        <is>
          <t>oui</t>
        </is>
      </c>
      <c r="W37" t="inlineStr">
        <is>
          <t>Batiments</t>
        </is>
      </c>
      <c r="X37" t="inlineStr">
        <is>
          <t>Autre</t>
        </is>
      </c>
      <c r="Y37" t="inlineStr">
        <is>
          <t>SERVICES</t>
        </is>
      </c>
      <c r="Z37" t="inlineStr">
        <is>
          <t>Procédure Ouverte</t>
        </is>
      </c>
      <c r="AA37" t="inlineStr">
        <is>
          <t>Avis de marché</t>
        </is>
      </c>
      <c r="AB37" t="inlineStr">
        <is>
          <t>Nettoyage de locaux, Prestations de services</t>
        </is>
      </c>
      <c r="AC37" t="inlineStr"/>
      <c r="AD37" s="11" t="inlineStr">
        <is>
          <t>https://www.boamp.fr/pages/avis/?q=idweb:26-82245</t>
        </is>
      </c>
      <c r="AE37" t="inlineStr">
        <is>
          <t>https://www.marches-publics.info/mpiaws/index.cfm?fuseaction=dematEnt.login&amp;amp;type=DCE&amp;amp;IDM=1863025</t>
        </is>
      </c>
      <c r="AF37" t="inlineStr">
        <is>
          <t>https://www.marches-publics.info/mpiaws/index.cfm?fuseaction=dematEnt.login&amp;amp;type=DCE&amp;amp;IDM=1863025</t>
        </is>
      </c>
      <c r="AG37" t="inlineStr">
        <is>
          <t>nettoyage, entretien menager</t>
        </is>
      </c>
      <c r="AH37" t="inlineStr">
        <is>
          <t>2</t>
        </is>
      </c>
      <c r="AI37" t="inlineStr">
        <is>
          <t>62</t>
        </is>
      </c>
      <c r="AJ37" t="inlineStr">
        <is>
          <t>INFO_PARTIELLE</t>
        </is>
      </c>
      <c r="AK37" t="inlineStr">
        <is>
          <t>53.8</t>
        </is>
      </c>
      <c r="AL37" t="inlineStr">
        <is>
          <t>TIEDE</t>
        </is>
      </c>
      <c r="AM37" t="inlineStr"/>
      <c r="AN37" t="inlineStr"/>
      <c r="AO37" t="inlineStr"/>
      <c r="AP37" t="inlineStr"/>
      <c r="AQ37" t="inlineStr">
        <is>
          <t>IA_CONTACT_A_COMPLETER</t>
        </is>
      </c>
      <c r="AR37" t="inlineStr">
        <is>
          <t>Completer les champs manquants depuis l'avis source, le site acheteur ou le DCE.</t>
        </is>
      </c>
      <c r="AS37" t="inlineStr">
        <is>
          <t>SIRET, 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26-82245. Objet: PRESTATIONS DE NETTOYAGE ET D'ENTRETIEN MENAGER DES BATIMENTS UNIVERSITAIRES. Acheteur: Communauté d'Agglomération Melun Val de Seine. Lien: https://www.boamp.fr/pages/avis/?q=idweb:26-82245.</t>
        </is>
      </c>
      <c r="AU37" t="inlineStr">
        <is>
          <t>Verifier url_avis et DCE si disponible</t>
        </is>
      </c>
      <c r="AV37" t="inlineStr"/>
      <c r="AW37" t="inlineStr"/>
      <c r="AX37" t="inlineStr"/>
      <c r="AY37" t="inlineStr"/>
      <c r="AZ37" t="inlineStr"/>
      <c r="BA37" t="inlineStr"/>
      <c r="BB37" t="inlineStr">
        <is>
          <t>+33.5 nettoyage + categorie claire (1 termes) | +11.0 budget annualise 120 000 EUR | +7.8 delai 21 j | +1.5 dossier renseigne (3/4)</t>
        </is>
      </c>
      <c r="BC37"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7"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7"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2026-W34</t>
        </is>
      </c>
    </row>
    <row r="38">
      <c r="A38" t="inlineStr">
        <is>
          <t>BOAMP</t>
        </is>
      </c>
      <c r="B38" t="inlineStr">
        <is>
          <t>26-81766</t>
        </is>
      </c>
      <c r="C38" t="inlineStr">
        <is>
          <t>PRESTATIONS DE NETTOYAGE ET D'ENTRETIEN MENAGER DES BATIMENTS UNIVERSITAIRES</t>
        </is>
      </c>
      <c r="D38" t="inlineStr">
        <is>
          <t>Communauté d'Agglomération Melun Val de Seine</t>
        </is>
      </c>
      <c r="E38" t="inlineStr"/>
      <c r="F38" t="inlineStr"/>
      <c r="G38" t="inlineStr"/>
      <c r="H38" t="inlineStr"/>
      <c r="I38" t="inlineStr">
        <is>
          <t>publications-joue@aws-france.com</t>
        </is>
      </c>
      <c r="J38" t="inlineStr">
        <is>
          <t>+33480041260</t>
        </is>
      </c>
      <c r="K38" t="inlineStr"/>
      <c r="L38" t="inlineStr"/>
      <c r="M38" t="inlineStr"/>
      <c r="N38" t="inlineStr">
        <is>
          <t>77</t>
        </is>
      </c>
      <c r="O38" t="inlineStr"/>
      <c r="P38" t="inlineStr">
        <is>
          <t>Ile-de-France</t>
        </is>
      </c>
      <c r="Q38" s="15" t="n">
        <v>46255</v>
      </c>
      <c r="R38" s="15" t="n">
        <v>46286</v>
      </c>
      <c r="S38" s="14" t="n">
        <v>120000</v>
      </c>
      <c r="T38" t="inlineStr">
        <is>
          <t>BUDGET_EXPLICITE_OK</t>
        </is>
      </c>
      <c r="U38" t="inlineStr">
        <is>
          <t>120000</t>
        </is>
      </c>
      <c r="V38" t="inlineStr">
        <is>
          <t>oui</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https://www.boamp.fr/pages/avis/?q=idweb:26-81766</t>
        </is>
      </c>
      <c r="AE38" t="inlineStr">
        <is>
          <t>https://www.marches-publics.info/mpiaws/index.cfm?fuseaction=dematEnt.login&amp;amp;type=DCE&amp;amp;IDM=1863025</t>
        </is>
      </c>
      <c r="AF38" t="inlineStr">
        <is>
          <t>https://www.marches-publics.info/mpiaws/index.cfm?fuseaction=dematEnt.login&amp;amp;type=DCE&amp;amp;IDM=1863025</t>
        </is>
      </c>
      <c r="AG38" t="inlineStr">
        <is>
          <t>nettoyage, entretien menager</t>
        </is>
      </c>
      <c r="AH38" t="inlineStr">
        <is>
          <t>2</t>
        </is>
      </c>
      <c r="AI38" t="inlineStr">
        <is>
          <t>62</t>
        </is>
      </c>
      <c r="AJ38" t="inlineStr">
        <is>
          <t>INFO_PARTIELLE</t>
        </is>
      </c>
      <c r="AK38" t="inlineStr">
        <is>
          <t>53.8</t>
        </is>
      </c>
      <c r="AL38" t="inlineStr">
        <is>
          <t>TIEDE</t>
        </is>
      </c>
      <c r="AM38" t="inlineStr"/>
      <c r="AN38" t="inlineStr"/>
      <c r="AO38" t="inlineStr"/>
      <c r="AP38" t="inlineStr"/>
      <c r="AQ38" t="inlineStr">
        <is>
          <t>IA_CONTACT_A_COMPLETER</t>
        </is>
      </c>
      <c r="AR38" t="inlineStr">
        <is>
          <t>Completer les champs manquants depuis l'avis source, le site acheteur ou le DCE.</t>
        </is>
      </c>
      <c r="AS38" t="inlineStr">
        <is>
          <t>SIRET, 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26-81766. Objet: PRESTATIONS DE NETTOYAGE ET D'ENTRETIEN MENAGER DES BATIMENTS UNIVERSITAIRES. Acheteur: Communauté d'Agglomération Melun Val de Seine. Lien: https://www.boamp.fr/pages/avis/?q=idweb:26-81766.</t>
        </is>
      </c>
      <c r="AU38" t="inlineStr">
        <is>
          <t>Verifier url_avis et DCE si disponible</t>
        </is>
      </c>
      <c r="AV38" t="inlineStr"/>
      <c r="AW38" t="inlineStr"/>
      <c r="AX38" t="inlineStr"/>
      <c r="AY38" t="inlineStr"/>
      <c r="AZ38" t="inlineStr"/>
      <c r="BA38" t="inlineStr"/>
      <c r="BB38" t="inlineStr">
        <is>
          <t>+33.5 nettoyage + categorie claire (1 termes) | +11.0 budget annualise 120 000 EUR | +7.8 delai 21 j | +1.5 dossier renseigne (3/4)</t>
        </is>
      </c>
      <c r="BC38"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8"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8"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2026-W34</t>
        </is>
      </c>
    </row>
    <row r="39">
      <c r="A39" t="inlineStr">
        <is>
          <t>BOAMP</t>
        </is>
      </c>
      <c r="B39" t="inlineStr">
        <is>
          <t>26-77541</t>
        </is>
      </c>
      <c r="C39" t="inlineStr">
        <is>
          <t>Le présent contrat a pour objet la délégation de l'exploitation du Centre Départemental d'initiation au golf de la Poudrerie à Livry-Gargan</t>
        </is>
      </c>
      <c r="D39" t="inlineStr">
        <is>
          <t>Département de la Seine-Saint-Denis</t>
        </is>
      </c>
      <c r="E39" t="inlineStr"/>
      <c r="F39" t="inlineStr"/>
      <c r="G39" t="inlineStr"/>
      <c r="H39" t="inlineStr"/>
      <c r="I39" t="inlineStr">
        <is>
          <t>publications-joue@aws-france.com</t>
        </is>
      </c>
      <c r="J39" t="inlineStr">
        <is>
          <t>+33480041260</t>
        </is>
      </c>
      <c r="K39" t="inlineStr"/>
      <c r="L39" t="inlineStr"/>
      <c r="M39" t="inlineStr"/>
      <c r="N39" t="inlineStr">
        <is>
          <t>93</t>
        </is>
      </c>
      <c r="O39" t="inlineStr"/>
      <c r="P39" t="inlineStr">
        <is>
          <t>Ile-de-France</t>
        </is>
      </c>
      <c r="Q39" s="15" t="n">
        <v>46239</v>
      </c>
      <c r="R39" s="15" t="n">
        <v>46286</v>
      </c>
      <c r="S39" t="inlineStr"/>
      <c r="T39" t="inlineStr">
        <is>
          <t>A_VERIFIER_BUDGET</t>
        </is>
      </c>
      <c r="U39" t="inlineStr"/>
      <c r="V39" t="inlineStr">
        <is>
          <t>non</t>
        </is>
      </c>
      <c r="W39" t="inlineStr">
        <is>
          <t>Personnel</t>
        </is>
      </c>
      <c r="X39" t="inlineStr">
        <is>
          <t>Autre</t>
        </is>
      </c>
      <c r="Y39" t="inlineStr">
        <is>
          <t>SERVICES</t>
        </is>
      </c>
      <c r="Z39" t="inlineStr">
        <is>
          <t>Procédure NC</t>
        </is>
      </c>
      <c r="AA39" t="inlineStr">
        <is>
          <t>Avis de marché</t>
        </is>
      </c>
      <c r="AB39" t="inlineStr">
        <is>
          <t>Equipement sportif, Délégation de service public</t>
        </is>
      </c>
      <c r="AC39" t="inlineStr">
        <is>
          <t>['environnementaux']</t>
        </is>
      </c>
      <c r="AD39" s="11" t="inlineStr">
        <is>
          <t>https://www.boamp.fr/pages/avis/?q=idweb:26-77541</t>
        </is>
      </c>
      <c r="AE39" t="inlineStr">
        <is>
          <t>https://www.marches-publics.info/mpiaws/index.cfm?fuseaction=dematEnt.login&amp;amp;type=DCE&amp;amp;IDM=1858330</t>
        </is>
      </c>
      <c r="AF39" t="inlineStr">
        <is>
          <t>https://www.marches-publics.info/mpiaws/index.cfm?fuseaction=dematEnt.login&amp;amp;type=DCE&amp;amp;IDM=1858330</t>
        </is>
      </c>
      <c r="AG39" t="inlineStr">
        <is>
          <t>nettoyage</t>
        </is>
      </c>
      <c r="AH39" t="inlineStr">
        <is>
          <t>2</t>
        </is>
      </c>
      <c r="AI39" t="inlineStr">
        <is>
          <t>58</t>
        </is>
      </c>
      <c r="AJ39" t="inlineStr">
        <is>
          <t>INFO_PARTIELLE</t>
        </is>
      </c>
      <c r="AK39" t="inlineStr">
        <is>
          <t>52.8</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26-77541. Objet: Le présent contrat a pour objet la délégation de l'exploitation du Centre Départemental d'initiation au golf de la Poudrerie à Livry-Gargan. Acheteur: Département de la Seine-Saint-Denis. Lien: https://www.boamp.fr/pages/avis/?q=idweb:26-77541.</t>
        </is>
      </c>
      <c r="AU39" t="inlineStr">
        <is>
          <t>Verifier url_avis et DCE si disponible</t>
        </is>
      </c>
      <c r="AV39" t="inlineStr">
        <is>
          <t>LIEN_SEUL</t>
        </is>
      </c>
      <c r="AW39" t="inlineStr"/>
      <c r="AX39" t="inlineStr"/>
      <c r="AY39" t="inlineStr"/>
      <c r="AZ39" t="inlineStr"/>
      <c r="BA39" t="inlineStr"/>
      <c r="BB39" t="inlineStr">
        <is>
          <t>+33.5 nettoyage + categorie claire (1 termes) | +10 budget non affiche (a verifier) | +7.8 delai 21 j | +1.5 dossier renseigne (3/4)</t>
        </is>
      </c>
      <c r="BC39" t="inlineStr">
        <is>
          <t>Département de la Seine-Saint-Denis publie un AO potentiellement pertinent pour CHRUTH : Le présent contrat a pour objet la délégation de l'exploitation du Centre Départemental d'initiation au golf de la Poudrerie à Livry-Gargan. Zone : 93. Budget a verifier. Verifier le lien source avant contact.</t>
        </is>
      </c>
      <c r="BD39" t="inlineStr">
        <is>
          <t>Bonjour,
Je me permets de vous contacter au sujet de votre appel d'offres : Le présent contrat a pour objet la délégation de l'exploitation du Centre Départemental d'initiation au golf de la Poudrerie à Livry-Gargan.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9"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2026-W32</t>
        </is>
      </c>
    </row>
    <row r="40">
      <c r="A40" t="inlineStr">
        <is>
          <t>BOAMP</t>
        </is>
      </c>
      <c r="B40" t="inlineStr">
        <is>
          <t>26-77581</t>
        </is>
      </c>
      <c r="C40" t="inlineStr">
        <is>
          <t>Marché de service de nettoyage de divers locaux communaux de la commune de Marcoussis</t>
        </is>
      </c>
      <c r="D40" t="inlineStr">
        <is>
          <t>COMMUNE DE MARCOUSSIS</t>
        </is>
      </c>
      <c r="E40" t="inlineStr">
        <is>
          <t>21910363700019</t>
        </is>
      </c>
      <c r="F40" t="inlineStr">
        <is>
          <t>219103637</t>
        </is>
      </c>
      <c r="G40" t="inlineStr"/>
      <c r="H40" t="inlineStr"/>
      <c r="I40" t="inlineStr">
        <is>
          <t>affairesjuridiques@marcoussis.fr</t>
        </is>
      </c>
      <c r="J40" t="inlineStr">
        <is>
          <t>0363700019</t>
        </is>
      </c>
      <c r="K40" t="inlineStr"/>
      <c r="L40" t="inlineStr"/>
      <c r="M40" t="inlineStr"/>
      <c r="N40" t="inlineStr">
        <is>
          <t>91</t>
        </is>
      </c>
      <c r="O40" t="inlineStr"/>
      <c r="P40" t="inlineStr">
        <is>
          <t>Ile-de-France</t>
        </is>
      </c>
      <c r="Q40" s="15" t="n">
        <v>46239</v>
      </c>
      <c r="R40" s="15" t="n">
        <v>46272</v>
      </c>
      <c r="S40" t="inlineStr"/>
      <c r="T40" t="inlineStr">
        <is>
          <t>A_VERIFIER_BUDGET</t>
        </is>
      </c>
      <c r="U40" t="inlineStr"/>
      <c r="V40" t="inlineStr">
        <is>
          <t>non</t>
        </is>
      </c>
      <c r="W40" t="inlineStr">
        <is>
          <t>Vitres</t>
        </is>
      </c>
      <c r="X40" t="inlineStr">
        <is>
          <t>Mairie</t>
        </is>
      </c>
      <c r="Y40" t="inlineStr">
        <is>
          <t>SERVICES</t>
        </is>
      </c>
      <c r="Z40" t="inlineStr">
        <is>
          <t>Procédure Ouverte</t>
        </is>
      </c>
      <c r="AA40" t="inlineStr">
        <is>
          <t>Avis de marché</t>
        </is>
      </c>
      <c r="AB40" t="inlineStr">
        <is>
          <t>Nettoyage de locaux</t>
        </is>
      </c>
      <c r="AC40" t="inlineStr">
        <is>
          <t>['sociaux', 'environnementaux']</t>
        </is>
      </c>
      <c r="AD40" s="11" t="inlineStr">
        <is>
          <t>https://www.boamp.fr/pages/avis/?q=idweb:26-77581</t>
        </is>
      </c>
      <c r="AE40" t="inlineStr">
        <is>
          <t>https://marcoussis.fr/</t>
        </is>
      </c>
      <c r="AF40" t="inlineStr"/>
      <c r="AG40" t="inlineStr">
        <is>
          <t>nettoyage</t>
        </is>
      </c>
      <c r="AH40" t="inlineStr">
        <is>
          <t>3</t>
        </is>
      </c>
      <c r="AI40" t="inlineStr">
        <is>
          <t>68</t>
        </is>
      </c>
      <c r="AJ40" t="inlineStr">
        <is>
          <t>INFO_PARTIELLE</t>
        </is>
      </c>
      <c r="AK40" t="inlineStr">
        <is>
          <t>52.0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26-77581. Objet: Marché de service de nettoyage de divers locaux communaux de la commune de Marcoussis. Acheteur: COMMUNE DE MARCOUSSIS. Lien: https://www.boamp.fr/pages/avis/?q=idweb:26-77581.</t>
        </is>
      </c>
      <c r="AU40" t="inlineStr">
        <is>
          <t>Verifier url_avis et DCE si disponible</t>
        </is>
      </c>
      <c r="AV40" t="inlineStr">
        <is>
          <t>LIEN_SEUL</t>
        </is>
      </c>
      <c r="AW40" t="inlineStr"/>
      <c r="AX40" t="inlineStr"/>
      <c r="AY40" t="inlineStr"/>
      <c r="AZ40" t="inlineStr"/>
      <c r="BA40" t="inlineStr"/>
      <c r="BB40" t="inlineStr">
        <is>
          <t>+33.5 nettoyage + categorie claire (1 termes) | +10 budget non affiche (a verifier) | +10 secteur cible Mairie | -3.0 delai 7 j | +1.5 dossier renseigne (3/4)</t>
        </is>
      </c>
      <c r="BC40" t="inlineStr">
        <is>
          <t>COMMUNE DE MARCOUSSIS publie un AO potentiellement pertinent pour CHRUTH : Marché de service de nettoyage de divers locaux communaux de la commune de Marcoussis. Zone : 91. Budget a verifier. Verifier le lien source avant contact.</t>
        </is>
      </c>
      <c r="BD40" t="inlineStr">
        <is>
          <t>Bonjour,
Je me permets de vous contacter au sujet de votre appel d'offres : Marché de service de nettoyage de divers locaux communaux de la commune de Marcoussis.
CHRUTH accompagne les structures publiques et privées sur les besoins de nettoyage, d'entretien des locaux et d'organisation de prestations de service.
Serait-il possible d'échanger rapidement afin de vérifier les modalités de réponse et les attentes de COMMUNE DE MARCOUSSIS ?
Cordialement,</t>
        </is>
      </c>
      <c r="BE40" t="inlineStr">
        <is>
          <t>Bonjour, je vous appelle concernant un appel d'offres publié par COMMUNE DE MARCOUSSIS.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2026-W32</t>
        </is>
      </c>
    </row>
    <row r="41">
      <c r="A41" t="inlineStr">
        <is>
          <t>BOAMP</t>
        </is>
      </c>
      <c r="B41" t="inlineStr">
        <is>
          <t>26-72690</t>
        </is>
      </c>
      <c r="C41" t="inlineStr">
        <is>
          <t>Service de mise à disposition de personnel</t>
        </is>
      </c>
      <c r="D41" t="inlineStr">
        <is>
          <t>Mairie d&amp;#039;ANTONY</t>
        </is>
      </c>
      <c r="E41" t="inlineStr">
        <is>
          <t>21920002900011</t>
        </is>
      </c>
      <c r="F41" t="inlineStr">
        <is>
          <t>219200029</t>
        </is>
      </c>
      <c r="G41" t="inlineStr"/>
      <c r="H41" t="inlineStr"/>
      <c r="I41" t="inlineStr">
        <is>
          <t>marchespublics@ville-antony.fr</t>
        </is>
      </c>
      <c r="J41" t="inlineStr">
        <is>
          <t>+33 140966840</t>
        </is>
      </c>
      <c r="K41" t="inlineStr"/>
      <c r="L41" t="inlineStr"/>
      <c r="M41" t="inlineStr"/>
      <c r="N41" t="inlineStr">
        <is>
          <t>92</t>
        </is>
      </c>
      <c r="O41" t="inlineStr"/>
      <c r="P41" t="inlineStr">
        <is>
          <t>Ile-de-France</t>
        </is>
      </c>
      <c r="Q41" s="15" t="n">
        <v>46225</v>
      </c>
      <c r="R41" s="15" t="n">
        <v>46274</v>
      </c>
      <c r="S41" s="14" t="n">
        <v>150000</v>
      </c>
      <c r="T41" t="inlineStr">
        <is>
          <t>BUDGET_EXPLICITE_OK</t>
        </is>
      </c>
      <c r="U41" t="inlineStr">
        <is>
          <t>37500</t>
        </is>
      </c>
      <c r="V41" t="inlineStr">
        <is>
          <t>oui</t>
        </is>
      </c>
      <c r="W41" t="inlineStr">
        <is>
          <t>Personnel</t>
        </is>
      </c>
      <c r="X41" t="inlineStr">
        <is>
          <t>Mairie</t>
        </is>
      </c>
      <c r="Y41" t="inlineStr">
        <is>
          <t>SERVICES</t>
        </is>
      </c>
      <c r="Z41" t="inlineStr">
        <is>
          <t>Procédure Ouverte</t>
        </is>
      </c>
      <c r="AA41" t="inlineStr">
        <is>
          <t>Avis de marché</t>
        </is>
      </c>
      <c r="AB41" t="inlineStr">
        <is>
          <t>Mise à disposition de personnel</t>
        </is>
      </c>
      <c r="AC41" t="inlineStr"/>
      <c r="AD41" s="11" t="inlineStr">
        <is>
          <t>https://www.boamp.fr/pages/avis/?q=idweb:26-72690</t>
        </is>
      </c>
      <c r="AE41" t="inlineStr">
        <is>
          <t>https://marches.maximilien.fr/</t>
        </is>
      </c>
      <c r="AF41" t="inlineStr">
        <is>
          <t>https://marches.maximilien.fr/</t>
        </is>
      </c>
      <c r="AG41" t="inlineStr"/>
      <c r="AH41" t="inlineStr">
        <is>
          <t>3</t>
        </is>
      </c>
      <c r="AI41" t="inlineStr">
        <is>
          <t>60</t>
        </is>
      </c>
      <c r="AJ41" t="inlineStr">
        <is>
          <t>INFO_PARTIELLE</t>
        </is>
      </c>
      <c r="AK41" t="inlineStr">
        <is>
          <t>45</t>
        </is>
      </c>
      <c r="AL41" t="inlineStr">
        <is>
          <t>TIEDE</t>
        </is>
      </c>
      <c r="AM41" t="inlineStr"/>
      <c r="AN41" t="inlineStr"/>
      <c r="AO41" t="inlineStr"/>
      <c r="AP41" t="inlineStr"/>
      <c r="AQ41" t="inlineStr">
        <is>
          <t>IA_CONTACT_A_COMPLETER</t>
        </is>
      </c>
      <c r="AR41" t="inlineStr">
        <is>
          <t>Completer les champs manquants depuis l'avis source, le site acheteur ou le DCE.</t>
        </is>
      </c>
      <c r="AS41" t="inlineStr">
        <is>
          <t>adresse, ville</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41" t="inlineStr">
        <is>
          <t>Verifier url_avis et DCE si disponible</t>
        </is>
      </c>
      <c r="AV41" t="inlineStr"/>
      <c r="AW41" t="inlineStr"/>
      <c r="AX41" t="inlineStr"/>
      <c r="AY41" t="inlineStr"/>
      <c r="AZ41" t="inlineStr"/>
      <c r="BA41" t="inlineStr"/>
      <c r="BB41" t="inlineStr">
        <is>
          <t>0 pertinence metier faible | +25 budget annualise &lt;= 50 000 EUR | +10 secteur cible Mairie | +10 delai confortable 43j</t>
        </is>
      </c>
      <c r="BC41" t="inlineStr">
        <is>
          <t>Mairie d&amp;#039;ANTONY publie un AO potentiellement pertinent pour CHRUTH : Service de mise à disposition de personnel. Zone : 92. Budget detecte environ 150 000 EUR. Verifier le lien source avant contact.</t>
        </is>
      </c>
      <c r="BD41"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41"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2026-W30</t>
        </is>
      </c>
    </row>
    <row r="42">
      <c r="A42" t="inlineStr">
        <is>
          <t>BOAMP</t>
        </is>
      </c>
      <c r="B42" t="inlineStr">
        <is>
          <t>26-70805</t>
        </is>
      </c>
      <c r="C42" t="inlineStr">
        <is>
          <t>Prestation de paie externalisée</t>
        </is>
      </c>
      <c r="D42" t="inlineStr">
        <is>
          <t>Les Eaux de la Confluence</t>
        </is>
      </c>
      <c r="E42" t="inlineStr">
        <is>
          <t>10133050400016</t>
        </is>
      </c>
      <c r="F42" t="inlineStr">
        <is>
          <t>101330504</t>
        </is>
      </c>
      <c r="G42" t="inlineStr">
        <is>
          <t>Service achat</t>
        </is>
      </c>
      <c r="H42" t="inlineStr"/>
      <c r="I42" t="inlineStr">
        <is>
          <t>juliette.gontier@leseauxdelaconfluence.fr</t>
        </is>
      </c>
      <c r="J42" t="inlineStr">
        <is>
          <t>0133050400</t>
        </is>
      </c>
      <c r="K42" t="inlineStr">
        <is>
          <t>(95) Val-d'Oise</t>
        </is>
      </c>
      <c r="L42" t="inlineStr">
        <is>
          <t>95027</t>
        </is>
      </c>
      <c r="M42" t="inlineStr">
        <is>
          <t>Cergy-Pontoise</t>
        </is>
      </c>
      <c r="N42" t="inlineStr">
        <is>
          <t>95</t>
        </is>
      </c>
      <c r="O42" t="inlineStr"/>
      <c r="P42" t="inlineStr">
        <is>
          <t>Ile-de-France</t>
        </is>
      </c>
      <c r="Q42" s="15" t="n">
        <v>46219</v>
      </c>
      <c r="R42" s="15" t="n">
        <v>46240</v>
      </c>
      <c r="S42" s="14" t="n">
        <v>95027</v>
      </c>
      <c r="T42" t="inlineStr">
        <is>
          <t>BUDGET_SOUS_SEUIL</t>
        </is>
      </c>
      <c r="U42" t="inlineStr">
        <is>
          <t>190054</t>
        </is>
      </c>
      <c r="V42" t="inlineStr">
        <is>
          <t>oui</t>
        </is>
      </c>
      <c r="W42" t="inlineStr">
        <is>
          <t>Batiments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https://www.boamp.fr/pages/avis/?q=idweb:26-70805</t>
        </is>
      </c>
      <c r="AE42" t="inlineStr">
        <is>
          <t>https://marches.maximilien.fr/entreprise/consultation/943427?orgAcronyme=a7q</t>
        </is>
      </c>
      <c r="AF42" t="inlineStr">
        <is>
          <t>https://marches.maximilien.fr/entreprise/consultation/943427?orgAcronyme=a7q</t>
        </is>
      </c>
      <c r="AG42" t="inlineStr">
        <is>
          <t>nettoyage</t>
        </is>
      </c>
      <c r="AH42" t="inlineStr">
        <is>
          <t>6</t>
        </is>
      </c>
      <c r="AI42" t="inlineStr">
        <is>
          <t>98</t>
        </is>
      </c>
      <c r="AJ42" t="inlineStr">
        <is>
          <t>INFO_PARTIELLE</t>
        </is>
      </c>
      <c r="AK42" t="inlineStr">
        <is>
          <t>45</t>
        </is>
      </c>
      <c r="AL42" t="inlineStr">
        <is>
          <t>TIEDE</t>
        </is>
      </c>
      <c r="AM42" t="inlineStr"/>
      <c r="AN42" t="inlineStr"/>
      <c r="AO42" t="inlineStr"/>
      <c r="AP42" t="inlineStr"/>
      <c r="AQ42" t="inlineStr">
        <is>
          <t>IA_CONTROLE_SOURCE</t>
        </is>
      </c>
      <c r="AR42" t="inlineStr">
        <is>
          <t>Verifier rapidement la source avant contact.</t>
        </is>
      </c>
      <c r="AS42" t="inlineStr">
        <is>
          <t>Aucun champ critique manquant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42" t="inlineStr">
        <is>
          <t>Verifier url_avis et DCE si disponible</t>
        </is>
      </c>
      <c r="AV42" t="inlineStr"/>
      <c r="AW42" t="inlineStr"/>
      <c r="AX42" t="inlineStr"/>
      <c r="AY42" t="inlineStr"/>
      <c r="AZ42" t="inlineStr"/>
      <c r="BA42" t="inlineStr"/>
      <c r="BB42" t="inlineStr">
        <is>
          <t>+35 nettoyage + categorie claire | +5 budget annualise &lt;= 200 000 EUR | +5 delai court 9j</t>
        </is>
      </c>
      <c r="BC42" t="inlineStr">
        <is>
          <t>Les Eaux de la Confluence publie un AO potentiellement pertinent pour CHRUTH : Prestation de paie externalisée. Zone : Cergy-Pontoise. Budget detecte environ 95 027 EUR. Verifier le lien source avant contact.</t>
        </is>
      </c>
      <c r="BD42"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42"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2026-W29</t>
        </is>
      </c>
    </row>
    <row r="43">
      <c r="A43" t="inlineStr">
        <is>
          <t>BOAMP</t>
        </is>
      </c>
      <c r="B43" t="inlineStr">
        <is>
          <t>26-77150</t>
        </is>
      </c>
      <c r="C43" t="inlineStr">
        <is>
          <t>Maintenance des installations frigorifiques de la patinoire</t>
        </is>
      </c>
      <c r="D43" t="inlineStr">
        <is>
          <t>Ville de Franconville-la-Garenne</t>
        </is>
      </c>
      <c r="E43" t="inlineStr"/>
      <c r="F43" t="inlineStr"/>
      <c r="G43" t="inlineStr"/>
      <c r="H43" t="inlineStr"/>
      <c r="I43" t="inlineStr">
        <is>
          <t>publications-joue@aws-france.com</t>
        </is>
      </c>
      <c r="J43" t="inlineStr">
        <is>
          <t>+33480041260</t>
        </is>
      </c>
      <c r="K43" t="inlineStr"/>
      <c r="L43" t="inlineStr"/>
      <c r="M43" t="inlineStr"/>
      <c r="N43" t="inlineStr">
        <is>
          <t>95</t>
        </is>
      </c>
      <c r="O43" t="inlineStr"/>
      <c r="P43" t="inlineStr">
        <is>
          <t>Ile-de-France</t>
        </is>
      </c>
      <c r="Q43" s="15" t="n">
        <v>46236</v>
      </c>
      <c r="R43" s="15" t="n">
        <v>46269</v>
      </c>
      <c r="S43" t="inlineStr"/>
      <c r="T43" t="inlineStr">
        <is>
          <t>A_VERIFIER_BUDGET</t>
        </is>
      </c>
      <c r="U43" t="inlineStr"/>
      <c r="V43" t="inlineStr">
        <is>
          <t>non</t>
        </is>
      </c>
      <c r="W43" t="inlineStr">
        <is>
          <t>Batiments</t>
        </is>
      </c>
      <c r="X43" t="inlineStr">
        <is>
          <t>Mairie</t>
        </is>
      </c>
      <c r="Y43" t="inlineStr">
        <is>
          <t>SERVICES</t>
        </is>
      </c>
      <c r="Z43" t="inlineStr">
        <is>
          <t>Procédure Ouverte</t>
        </is>
      </c>
      <c r="AA43" t="inlineStr">
        <is>
          <t>Avis de marché</t>
        </is>
      </c>
      <c r="AB43" t="inlineStr">
        <is>
          <t>Chambre froide, Equipement sportif, Maintenance</t>
        </is>
      </c>
      <c r="AC43" t="inlineStr">
        <is>
          <t>['environnementaux']</t>
        </is>
      </c>
      <c r="AD43" s="11" t="inlineStr">
        <is>
          <t>https://www.boamp.fr/pages/avis/?q=idweb:26-77150</t>
        </is>
      </c>
      <c r="AE43" t="inlineStr">
        <is>
          <t>http://agysoft.marches-publics.info/</t>
        </is>
      </c>
      <c r="AF43" t="inlineStr">
        <is>
          <t>http://agysoft.marches-publics.info/</t>
        </is>
      </c>
      <c r="AG43" t="inlineStr">
        <is>
          <t>proprete</t>
        </is>
      </c>
      <c r="AH43" t="inlineStr">
        <is>
          <t>2</t>
        </is>
      </c>
      <c r="AI43" t="inlineStr">
        <is>
          <t>58</t>
        </is>
      </c>
      <c r="AJ43" t="inlineStr">
        <is>
          <t>INFO_PARTIELLE</t>
        </is>
      </c>
      <c r="AK43" t="inlineStr">
        <is>
          <t>44.0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SIRET, 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26-77150. Objet: Maintenance des installations frigorifiques de la patinoire. Acheteur: Ville de Franconville-la-Garenne. Lien: https://www.boamp.fr/pages/avis/?q=idweb:26-77150.</t>
        </is>
      </c>
      <c r="AU43" t="inlineStr">
        <is>
          <t>Verifier url_avis et DCE si disponible</t>
        </is>
      </c>
      <c r="AV43" t="inlineStr">
        <is>
          <t>LIEN_SEUL</t>
        </is>
      </c>
      <c r="AW43" t="inlineStr"/>
      <c r="AX43" t="inlineStr"/>
      <c r="AY43" t="inlineStr"/>
      <c r="AZ43" t="inlineStr"/>
      <c r="BA43" t="inlineStr"/>
      <c r="BB43" t="inlineStr">
        <is>
          <t>+33.5 nettoyage + categorie claire (1 termes) | +10 budget non affiche (a verifier) | +10 secteur cible Mairie | -11.0 delai 4 j | +1.5 dossier renseigne (3/4)</t>
        </is>
      </c>
      <c r="BC43" t="inlineStr">
        <is>
          <t>Ville de Franconville-la-Garenne publie un AO potentiellement pertinent pour CHRUTH : Maintenance des installations frigorifiques de la patinoire. Zone : 95. Budget a verifier. Verifier le lien source avant contact.</t>
        </is>
      </c>
      <c r="BD43" t="inlineStr">
        <is>
          <t>Bonjour,
Je me permets de vous contacter au sujet de votre appel d'offres : Maintenance des installations frigorifiques de la patinoire.
CHRUTH accompagne les structures publiques et privées sur les besoins de nettoyage, d'entretien des locaux et d'organisation de prestations de service.
Serait-il possible d'échanger rapidement afin de vérifier les modalités de réponse et les attentes de Ville de Franconville-la-Garenne ?
Cordialement,</t>
        </is>
      </c>
      <c r="BE43" t="inlineStr">
        <is>
          <t>Bonjour, je vous appelle concernant un appel d'offres publié par Ville de Franconville-la-Garenne.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2026-W31</t>
        </is>
      </c>
    </row>
    <row r="44">
      <c r="A44" t="inlineStr">
        <is>
          <t>BOAMP</t>
        </is>
      </c>
      <c r="B44" t="inlineStr">
        <is>
          <t>26-83490</t>
        </is>
      </c>
      <c r="C44" t="inlineStr">
        <is>
          <t>Nettoyage des bâtiments scolaires élémentaires, des accueils de loisirs et des gymnases intégrés</t>
        </is>
      </c>
      <c r="D44" t="inlineStr">
        <is>
          <t>COMMUNE NOUVELLE DE SAINT-DENIS</t>
        </is>
      </c>
      <c r="E44" t="inlineStr">
        <is>
          <t>92993941100013</t>
        </is>
      </c>
      <c r="F44" t="inlineStr">
        <is>
          <t>929939411</t>
        </is>
      </c>
      <c r="G44" t="inlineStr"/>
      <c r="H44" t="inlineStr"/>
      <c r="I44" t="inlineStr">
        <is>
          <t>mp_achats@saintdenis.fr</t>
        </is>
      </c>
      <c r="J44" t="inlineStr">
        <is>
          <t>0149336611</t>
        </is>
      </c>
      <c r="K44" t="inlineStr"/>
      <c r="L44" t="inlineStr"/>
      <c r="M44" t="inlineStr"/>
      <c r="N44" t="inlineStr">
        <is>
          <t>93,74,75,77</t>
        </is>
      </c>
      <c r="O44" t="inlineStr"/>
      <c r="P44" t="inlineStr">
        <is>
          <t>Ile-de-France</t>
        </is>
      </c>
      <c r="Q44" s="15" t="n">
        <v>46262</v>
      </c>
      <c r="R44" s="15" t="n">
        <v>46293</v>
      </c>
      <c r="S44" s="14" t="n">
        <v>950000</v>
      </c>
      <c r="T44" t="inlineStr">
        <is>
          <t>BUDGET_EXPLICITE_OK</t>
        </is>
      </c>
      <c r="U44" t="inlineStr">
        <is>
          <t>237500</t>
        </is>
      </c>
      <c r="V44" t="inlineStr">
        <is>
          <t>oui</t>
        </is>
      </c>
      <c r="W44" t="inlineStr">
        <is>
          <t>Batiments</t>
        </is>
      </c>
      <c r="X44" t="inlineStr">
        <is>
          <t>Autre</t>
        </is>
      </c>
      <c r="Y44" t="inlineStr">
        <is>
          <t>SERVICES</t>
        </is>
      </c>
      <c r="Z44" t="inlineStr">
        <is>
          <t>Procédure Ouverte</t>
        </is>
      </c>
      <c r="AA44" t="inlineStr">
        <is>
          <t>Avis de marché</t>
        </is>
      </c>
      <c r="AB44" t="inlineStr">
        <is>
          <t>Nettoyage de locaux</t>
        </is>
      </c>
      <c r="AC44" t="inlineStr">
        <is>
          <t>['sociaux', 'environnementaux']</t>
        </is>
      </c>
      <c r="AD44" s="11" t="inlineStr">
        <is>
          <t>https://www.boamp.fr/pages/avis/?q=idweb:26-83490</t>
        </is>
      </c>
      <c r="AE44" t="inlineStr">
        <is>
          <t>https://marches.maximilien.fr/?page=Entreprise.EntrepriseAdvancedSearch&amp;AllCons&amp;id=944212&amp;orgAcronyme=a6q</t>
        </is>
      </c>
      <c r="AF44" t="inlineStr">
        <is>
          <t>https://marches.maximilien.fr/?page=Entreprise.EntrepriseAdvancedSearch&amp;AllCons&amp;id=944212&amp;orgAcronyme=a6q</t>
        </is>
      </c>
      <c r="AG44" t="inlineStr">
        <is>
          <t>nettoyage</t>
        </is>
      </c>
      <c r="AH44" t="inlineStr">
        <is>
          <t>3</t>
        </is>
      </c>
      <c r="AI44" t="inlineStr">
        <is>
          <t>68</t>
        </is>
      </c>
      <c r="AJ44" t="inlineStr">
        <is>
          <t>INFO_PARTIELLE</t>
        </is>
      </c>
      <c r="AK44" t="inlineStr">
        <is>
          <t>42.9</t>
        </is>
      </c>
      <c r="AL44" t="inlineStr">
        <is>
          <t>TIEDE</t>
        </is>
      </c>
      <c r="AM44" t="inlineStr"/>
      <c r="AN44" t="inlineStr"/>
      <c r="AO44" t="inlineStr"/>
      <c r="AP44" t="inlineStr"/>
      <c r="AQ44" t="inlineStr">
        <is>
          <t>IA_CONTACT_A_COMPLETER</t>
        </is>
      </c>
      <c r="AR44" t="inlineStr">
        <is>
          <t>Completer les champs manquants depuis l'avis source, le site acheteur ou le DCE.</t>
        </is>
      </c>
      <c r="AS44" t="inlineStr">
        <is>
          <t>adresse, ville</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26-83490. Objet: Nettoyage des bâtiments scolaires élémentaires, des accueils de loisirs et des gymnases intégrés. Acheteur: COMMUNE NOUVELLE DE SAINT-DENIS. Lien: https://www.boamp.fr/pages/avis/?q=idweb:26-83490.</t>
        </is>
      </c>
      <c r="AU44" t="inlineStr">
        <is>
          <t>Verifier url_avis et DCE si disponible</t>
        </is>
      </c>
      <c r="AV44" t="inlineStr"/>
      <c r="AW44" t="inlineStr"/>
      <c r="AX44" t="inlineStr"/>
      <c r="AY44" t="inlineStr"/>
      <c r="AZ44" t="inlineStr"/>
      <c r="BA44" t="inlineStr"/>
      <c r="BB44" t="inlineStr">
        <is>
          <t>+33.5 nettoyage + categorie claire (1 termes) | -1.6 budget annualise 237 500 EUR | +9.5 delai 28 j | +1.5 dossier renseigne (3/4)</t>
        </is>
      </c>
      <c r="BC44" t="inlineStr">
        <is>
          <t>COMMUNE NOUVELLE DE SAINT-DENIS publie un AO potentiellement pertinent pour CHRUTH : Nettoyage des bâtiments scolaires élémentaires, des accueils de loisirs et des gymnases intégrés. Zone : 93,74,75,77. Budget detecte environ 950 000 EUR. Verifier le lien source avant contact.</t>
        </is>
      </c>
      <c r="BD44" t="inlineStr">
        <is>
          <t>Bonjour,
Je me permets de vous contacter au sujet de votre appel d'offres : Nettoyage des bâtiments scolaires élémentaires, des accueils de loisirs et des gymnases intégrés.
CHRUTH accompagne les structures publiques et privées sur les besoins de nettoyage, d'entretien des locaux et d'organisation de prestations de service.
Serait-il possible d'échanger rapidement afin de vérifier les modalités de réponse et les attentes de COMMUNE NOUVELLE DE SAINT-DENIS ?
Cordialement,</t>
        </is>
      </c>
      <c r="BE44" t="inlineStr">
        <is>
          <t>Bonjour, je vous appelle concernant un appel d'offres publié par COMMUNE NOUVELLE DE SAINT-DENIS. Je souhaite vérifier les informations pratiques : périmètre des prestations, date limite, modalités de visite, contact technique et pièces attendues. Pouvez-vous m'indiquer la bonne personne à contacter ?</t>
        </is>
      </c>
      <c r="BF44" t="inlineStr"/>
      <c r="BG44" t="inlineStr"/>
      <c r="BH44" t="inlineStr"/>
      <c r="BI44" t="inlineStr"/>
      <c r="BJ44" t="inlineStr"/>
      <c r="BK44" t="inlineStr"/>
      <c r="BL44" t="inlineStr"/>
      <c r="BM44" t="inlineStr">
        <is>
          <t>2026-W35</t>
        </is>
      </c>
    </row>
    <row r="45">
      <c r="A45" t="inlineStr">
        <is>
          <t>BOAMP</t>
        </is>
      </c>
      <c r="B45" t="inlineStr">
        <is>
          <t>26-83694</t>
        </is>
      </c>
      <c r="C45" t="inlineStr">
        <is>
          <t>26SF09 - Maintenance du mobilier auto-relevable ou coulissant et du TCSP de la Communauté d'Agglomération de Cergy-Pontoise</t>
        </is>
      </c>
      <c r="D45" t="inlineStr">
        <is>
          <t>Communauté  d'Agglomération de Cergy-Pontoise</t>
        </is>
      </c>
      <c r="E45" t="inlineStr"/>
      <c r="F45" t="inlineStr"/>
      <c r="G45" t="inlineStr"/>
      <c r="H45" t="inlineStr"/>
      <c r="I45" t="inlineStr">
        <is>
          <t>publications-joue@aws-france.com</t>
        </is>
      </c>
      <c r="J45" t="inlineStr">
        <is>
          <t>+33480041260</t>
        </is>
      </c>
      <c r="K45" t="inlineStr"/>
      <c r="L45" t="inlineStr"/>
      <c r="M45" t="inlineStr"/>
      <c r="N45" t="inlineStr">
        <is>
          <t>95</t>
        </is>
      </c>
      <c r="O45" t="inlineStr"/>
      <c r="P45" t="inlineStr">
        <is>
          <t>Ile-de-France</t>
        </is>
      </c>
      <c r="Q45" s="15" t="n">
        <v>46262</v>
      </c>
      <c r="R45" s="15" t="n">
        <v>46295</v>
      </c>
      <c r="S45" s="14" t="n">
        <v>200000</v>
      </c>
      <c r="T45" t="inlineStr">
        <is>
          <t>BUDGET_EXPLICITE_OK</t>
        </is>
      </c>
      <c r="U45" t="inlineStr">
        <is>
          <t>200000</t>
        </is>
      </c>
      <c r="V45" t="inlineStr">
        <is>
          <t>oui</t>
        </is>
      </c>
      <c r="W45" t="inlineStr">
        <is>
          <t>Mixte/Autre</t>
        </is>
      </c>
      <c r="X45" t="inlineStr">
        <is>
          <t>Autre</t>
        </is>
      </c>
      <c r="Y45" t="inlineStr">
        <is>
          <t>SERVICES</t>
        </is>
      </c>
      <c r="Z45" t="inlineStr">
        <is>
          <t>Procédure Ouverte</t>
        </is>
      </c>
      <c r="AA45" t="inlineStr">
        <is>
          <t>Avis de marché</t>
        </is>
      </c>
      <c r="AB45" t="inlineStr">
        <is>
          <t>Maintenance</t>
        </is>
      </c>
      <c r="AC45" t="inlineStr">
        <is>
          <t>['environnementaux']</t>
        </is>
      </c>
      <c r="AD45" s="11" t="inlineStr">
        <is>
          <t>https://www.boamp.fr/pages/avis/?q=idweb:26-83694</t>
        </is>
      </c>
      <c r="AE45" t="inlineStr">
        <is>
          <t>https://www.marches-publics.info/mpiaws/index.cfm?fuseaction=dematEnt.login&amp;amp;type=DCE&amp;amp;IDM=1865399</t>
        </is>
      </c>
      <c r="AF45" t="inlineStr">
        <is>
          <t>https://www.marches-publics.info/mpiaws/index.cfm?fuseaction=dematEnt.login&amp;amp;type=DCE&amp;amp;IDM=1865399</t>
        </is>
      </c>
      <c r="AG45" t="inlineStr">
        <is>
          <t>nettoyage</t>
        </is>
      </c>
      <c r="AH45" t="inlineStr">
        <is>
          <t>2</t>
        </is>
      </c>
      <c r="AI45" t="inlineStr">
        <is>
          <t>58</t>
        </is>
      </c>
      <c r="AJ45" t="inlineStr">
        <is>
          <t>INFO_PARTIELLE</t>
        </is>
      </c>
      <c r="AK45" t="inlineStr">
        <is>
          <t>41.2</t>
        </is>
      </c>
      <c r="AL45" t="inlineStr">
        <is>
          <t>TIEDE</t>
        </is>
      </c>
      <c r="AM45" t="inlineStr"/>
      <c r="AN45" t="inlineStr"/>
      <c r="AO45" t="inlineStr"/>
      <c r="AP45" t="inlineStr"/>
      <c r="AQ45" t="inlineStr">
        <is>
          <t>IA_CONTACT_A_COMPLETER</t>
        </is>
      </c>
      <c r="AR45" t="inlineStr">
        <is>
          <t>Completer les champs manquants depuis l'avis source, le site acheteur ou le DCE.</t>
        </is>
      </c>
      <c r="AS45" t="inlineStr">
        <is>
          <t>SIRET, 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26-83694. Objet: 26SF09 - Maintenance du mobilier auto-relevable ou coulissant et du TCSP de la Communauté d'Agglomération de Cergy-Pontoise. Acheteur: Communauté  d'Agglomération de Cergy-Pontoise. Lien: https://www.boamp.fr/pages/avis/?q=idweb:26-83694.</t>
        </is>
      </c>
      <c r="AU45" t="inlineStr">
        <is>
          <t>Verifier url_avis et DCE si disponible</t>
        </is>
      </c>
      <c r="AV45" t="inlineStr"/>
      <c r="AW45" t="inlineStr"/>
      <c r="AX45" t="inlineStr"/>
      <c r="AY45" t="inlineStr"/>
      <c r="AZ45" t="inlineStr"/>
      <c r="BA45" t="inlineStr"/>
      <c r="BB45" t="inlineStr">
        <is>
          <t>+28.5 mots-cles nettoyage forts (1 termes) | +1.2 budget annualise 200 000 EUR | +10.0 delai 30 j | +1.5 dossier renseigne (3/4)</t>
        </is>
      </c>
      <c r="BC45" t="inlineStr">
        <is>
          <t>Communauté  d'Agglomération de Cergy-Pontoise publie un AO potentiellement pertinent pour CHRUTH : 26SF09 - Maintenance du mobilier auto-relevable ou coulissant et du TCSP de la Communauté d'Agglomération de Cergy-Pontoise. Zone : 95. Budget detecte environ 200 000 EUR. Verifier le lien source avant contact.</t>
        </is>
      </c>
      <c r="BD45" t="inlineStr">
        <is>
          <t>Bonjour,
Je me permets de vous contacter au sujet de votre appel d'offres : 26SF09 - Maintenance du mobilier auto-relevable ou coulissant et du TCSP de la Communauté d'Agglomération de Cergy-Pontoise.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de Cergy-Pontoise ?
Cordialement,</t>
        </is>
      </c>
      <c r="BE45" t="inlineStr">
        <is>
          <t>Bonjour, je vous appelle concernant un appel d'offres publié par Communauté  d'Agglomération de Cergy-Pontoise.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2026-W35</t>
        </is>
      </c>
    </row>
    <row r="46">
      <c r="A46" t="inlineStr">
        <is>
          <t>BOAMP</t>
        </is>
      </c>
      <c r="B46" t="inlineStr">
        <is>
          <t>26-70259</t>
        </is>
      </c>
      <c r="C46" t="inlineStr">
        <is>
          <t>Marché de prestations de gardiennage lors de manifestations sur sites
Le titulaire du présent marché sera capable d'assurer sa mission de gardiennage dans le cadre d'interventions planifiée</t>
        </is>
      </c>
      <c r="D46" t="inlineStr">
        <is>
          <t>Mairie de Sannois</t>
        </is>
      </c>
      <c r="E46" t="inlineStr"/>
      <c r="F46" t="inlineStr"/>
      <c r="G46" t="inlineStr"/>
      <c r="H46" t="inlineStr"/>
      <c r="I46" t="inlineStr">
        <is>
          <t>publications-joue@aws-france.com</t>
        </is>
      </c>
      <c r="J46" t="inlineStr">
        <is>
          <t>+33480041260</t>
        </is>
      </c>
      <c r="K46" t="inlineStr"/>
      <c r="L46" t="inlineStr"/>
      <c r="M46" t="inlineStr"/>
      <c r="N46" t="inlineStr">
        <is>
          <t>95</t>
        </is>
      </c>
      <c r="O46" t="inlineStr"/>
      <c r="P46" t="inlineStr">
        <is>
          <t>Ile-de-France</t>
        </is>
      </c>
      <c r="Q46" s="15" t="n">
        <v>46219</v>
      </c>
      <c r="R46" s="15" t="n">
        <v>46251</v>
      </c>
      <c r="S46" s="14" t="n">
        <v>55000</v>
      </c>
      <c r="T46" t="inlineStr">
        <is>
          <t>BUDGET_SOUS_SEUIL</t>
        </is>
      </c>
      <c r="U46" t="inlineStr">
        <is>
          <t>55000.0</t>
        </is>
      </c>
      <c r="V46" t="inlineStr">
        <is>
          <t>non</t>
        </is>
      </c>
      <c r="W46" t="inlineStr">
        <is>
          <t>Personnel</t>
        </is>
      </c>
      <c r="X46" t="inlineStr">
        <is>
          <t>Mairie</t>
        </is>
      </c>
      <c r="Y46" t="inlineStr">
        <is>
          <t>SERVICES</t>
        </is>
      </c>
      <c r="Z46" t="inlineStr">
        <is>
          <t>Procédure Ouverte</t>
        </is>
      </c>
      <c r="AA46" t="inlineStr">
        <is>
          <t>Avis de marché</t>
        </is>
      </c>
      <c r="AB46" t="inlineStr">
        <is>
          <t>Gardiennage, Prestations de services, Surveillance</t>
        </is>
      </c>
      <c r="AC46" t="inlineStr">
        <is>
          <t>['sociaux', 'environnementaux']</t>
        </is>
      </c>
      <c r="AD46" s="11" t="inlineStr">
        <is>
          <t>https://www.boamp.fr/pages/avis/?q=idweb:26-70259</t>
        </is>
      </c>
      <c r="AE46" t="inlineStr">
        <is>
          <t>https://www.achatpublic.com/</t>
        </is>
      </c>
      <c r="AF46" t="inlineStr">
        <is>
          <t>https://www.achatpublic.com/</t>
        </is>
      </c>
      <c r="AG46" t="inlineStr"/>
      <c r="AH46" t="inlineStr">
        <is>
          <t>2</t>
        </is>
      </c>
      <c r="AI46" t="inlineStr">
        <is>
          <t>50</t>
        </is>
      </c>
      <c r="AJ46" t="inlineStr">
        <is>
          <t>INFO_PARTIELLE</t>
        </is>
      </c>
      <c r="AK46" t="inlineStr">
        <is>
          <t>40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SIRET, 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46" t="inlineStr">
        <is>
          <t>Verifier url_avis et DCE si disponible</t>
        </is>
      </c>
      <c r="AV46" t="inlineStr"/>
      <c r="AW46" t="inlineStr"/>
      <c r="AX46" t="inlineStr"/>
      <c r="AY46" t="inlineStr"/>
      <c r="AZ46" t="inlineStr"/>
      <c r="BA46" t="inlineStr"/>
      <c r="BB46" t="inlineStr">
        <is>
          <t>0 pertinence metier faible | +20 budget annualise &lt;= 100 000 EUR | +10 secteur cible Mairie | +10 delai confortable 20j</t>
        </is>
      </c>
      <c r="BC46"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46"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46"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2026-W29</t>
        </is>
      </c>
    </row>
    <row r="47">
      <c r="A47" t="inlineStr">
        <is>
          <t>BOAMP</t>
        </is>
      </c>
      <c r="B47" t="inlineStr">
        <is>
          <t>26-81405</t>
        </is>
      </c>
      <c r="C47" t="inlineStr">
        <is>
          <t>Fournitures de produits d'entretien, de consommables et d'équipements</t>
        </is>
      </c>
      <c r="D47" t="inlineStr">
        <is>
          <t>CDEF 93</t>
        </is>
      </c>
      <c r="E47" t="inlineStr">
        <is>
          <t>26931400100018</t>
        </is>
      </c>
      <c r="F47" t="inlineStr">
        <is>
          <t>269314001</t>
        </is>
      </c>
      <c r="G47" t="inlineStr"/>
      <c r="H47" t="inlineStr"/>
      <c r="I47" t="inlineStr">
        <is>
          <t>sabrina.perret@cdef93.com</t>
        </is>
      </c>
      <c r="J47" t="inlineStr">
        <is>
          <t>0141505870</t>
        </is>
      </c>
      <c r="K47" t="inlineStr"/>
      <c r="L47" t="inlineStr"/>
      <c r="M47" t="inlineStr"/>
      <c r="N47" t="inlineStr">
        <is>
          <t>93,77,75,95</t>
        </is>
      </c>
      <c r="O47" t="inlineStr"/>
      <c r="P47" t="inlineStr">
        <is>
          <t>Ile-de-France</t>
        </is>
      </c>
      <c r="Q47" s="15" t="n">
        <v>46254</v>
      </c>
      <c r="R47" s="15" t="n">
        <v>46289</v>
      </c>
      <c r="S47" s="14" t="n">
        <v>200000</v>
      </c>
      <c r="T47" t="inlineStr">
        <is>
          <t>BUDGET_EXPLICITE_OK</t>
        </is>
      </c>
      <c r="U47" t="inlineStr">
        <is>
          <t>200000.0</t>
        </is>
      </c>
      <c r="V47" t="inlineStr">
        <is>
          <t>non</t>
        </is>
      </c>
      <c r="W47" t="inlineStr">
        <is>
          <t>Mixte/Autre</t>
        </is>
      </c>
      <c r="X47" t="inlineStr">
        <is>
          <t>Autre</t>
        </is>
      </c>
      <c r="Y47" t="inlineStr">
        <is>
          <t>FOURNITURES</t>
        </is>
      </c>
      <c r="Z47" t="inlineStr">
        <is>
          <t>Procédure Ouverte</t>
        </is>
      </c>
      <c r="AA47" t="inlineStr">
        <is>
          <t>Avis de marché</t>
        </is>
      </c>
      <c r="AB47" t="inlineStr">
        <is>
          <t>Produits d'entretien</t>
        </is>
      </c>
      <c r="AC47" t="inlineStr"/>
      <c r="AD47" s="11" t="inlineStr">
        <is>
          <t>https://www.boamp.fr/pages/avis/?q=idweb:26-81405</t>
        </is>
      </c>
      <c r="AE47" t="inlineStr">
        <is>
          <t>https://www.achatpublic.com</t>
        </is>
      </c>
      <c r="AF47" t="inlineStr">
        <is>
          <t>https://www.achatpublic.com</t>
        </is>
      </c>
      <c r="AG47" t="inlineStr">
        <is>
          <t>nettoyage</t>
        </is>
      </c>
      <c r="AH47" t="inlineStr">
        <is>
          <t>3</t>
        </is>
      </c>
      <c r="AI47" t="inlineStr">
        <is>
          <t>68</t>
        </is>
      </c>
      <c r="AJ47" t="inlineStr">
        <is>
          <t>INFO_PARTIELLE</t>
        </is>
      </c>
      <c r="AK47" t="inlineStr">
        <is>
          <t>39.8</t>
        </is>
      </c>
      <c r="AL47" s="16" t="inlineStr">
        <is>
          <t>FROID</t>
        </is>
      </c>
      <c r="AM47" t="inlineStr"/>
      <c r="AN47" t="inlineStr"/>
      <c r="AO47" t="inlineStr"/>
      <c r="AP47" t="inlineStr"/>
      <c r="AQ47" t="inlineStr">
        <is>
          <t>IA_CONTACT_A_COMPLETER</t>
        </is>
      </c>
      <c r="AR47" t="inlineStr">
        <is>
          <t>Completer les champs manquants depuis l'avis source, le site acheteur ou le DCE.</t>
        </is>
      </c>
      <c r="AS47" t="inlineStr">
        <is>
          <t>adresse, ville</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26-81405. Objet: Fournitures de produits d'entretien, de consommables et d'équipements. Acheteur: CDEF 93. Lien: https://www.boamp.fr/pages/avis/?q=idweb:26-81405.</t>
        </is>
      </c>
      <c r="AU47" t="inlineStr">
        <is>
          <t>Verifier url_avis et DCE si disponible</t>
        </is>
      </c>
      <c r="AV47" t="inlineStr"/>
      <c r="AW47" t="inlineStr"/>
      <c r="AX47" t="inlineStr"/>
      <c r="AY47" t="inlineStr"/>
      <c r="AZ47" t="inlineStr"/>
      <c r="BA47" t="inlineStr"/>
      <c r="BB47" t="inlineStr">
        <is>
          <t>+28.5 mots-cles nettoyage forts (1 termes) | +1.2 budget annualise 200 000 EUR | +8.5 delai 24 j | +1.5 dossier renseigne (3/4)</t>
        </is>
      </c>
      <c r="BC47" t="inlineStr">
        <is>
          <t>CDEF 93 publie un AO potentiellement pertinent pour CHRUTH : Fournitures de produits d'entretien, de consommables et d'équipements. Zone : 93,77,75,95. Budget detecte environ 200 000 EUR. Verifier le lien source avant contact.</t>
        </is>
      </c>
      <c r="BD47" t="inlineStr">
        <is>
          <t>Bonjour,
Je me permets de vous contacter au sujet de votre appel d'offres : Fournitures de produits d'entretien, de consommables et d'équipements.
CHRUTH accompagne les structures publiques et privées sur les besoins de nettoyage, d'entretien des locaux et d'organisation de prestations de service.
Serait-il possible d'échanger rapidement afin de vérifier les modalités de réponse et les attentes de CDEF 93 ?
Cordialement,</t>
        </is>
      </c>
      <c r="BE47" t="inlineStr">
        <is>
          <t>Bonjour, je vous appelle concernant un appel d'offres publié par CDEF 93. Je souhaite vérifier les informations pratiques : périmètre des prestations, date limite, modalités de visite, contact technique et pièces attendues. Pouvez-vous m'indiquer la bonne personne à contacter ?</t>
        </is>
      </c>
      <c r="BF47" t="inlineStr"/>
      <c r="BG47" t="inlineStr"/>
      <c r="BH47" t="inlineStr"/>
      <c r="BI47" t="inlineStr"/>
      <c r="BJ47" t="inlineStr"/>
      <c r="BK47" t="inlineStr"/>
      <c r="BL47" t="inlineStr"/>
      <c r="BM47" t="inlineStr">
        <is>
          <t>2026-W34</t>
        </is>
      </c>
    </row>
    <row r="48">
      <c r="A48" t="inlineStr">
        <is>
          <t>BOAMP</t>
        </is>
      </c>
      <c r="B48" t="inlineStr">
        <is>
          <t>26-81108</t>
        </is>
      </c>
      <c r="C48" t="inlineStr">
        <is>
          <t>Accord-cadre à bons de commande relatif au nettoyage des locaux et des vitres des bâtiments départementaux et au nettoyage partiel de certains collèges du Val d'Oise (8 lots)</t>
        </is>
      </c>
      <c r="D48" t="inlineStr">
        <is>
          <t>Conseil départemental du Val-d'Oise</t>
        </is>
      </c>
      <c r="E48" t="inlineStr"/>
      <c r="F48" t="inlineStr"/>
      <c r="G48" t="inlineStr"/>
      <c r="H48" t="inlineStr"/>
      <c r="I48" t="inlineStr">
        <is>
          <t>publications-joue@aws-france.com</t>
        </is>
      </c>
      <c r="J48" t="inlineStr">
        <is>
          <t>+33480041260</t>
        </is>
      </c>
      <c r="K48" t="inlineStr"/>
      <c r="L48" t="inlineStr"/>
      <c r="M48" t="inlineStr"/>
      <c r="N48" t="inlineStr">
        <is>
          <t>95</t>
        </is>
      </c>
      <c r="O48" t="inlineStr"/>
      <c r="P48" t="inlineStr">
        <is>
          <t>Ile-de-France</t>
        </is>
      </c>
      <c r="Q48" s="15" t="n">
        <v>46253</v>
      </c>
      <c r="R48" s="15" t="n">
        <v>46283</v>
      </c>
      <c r="S48" s="14" t="n">
        <v>4500000</v>
      </c>
      <c r="T48" t="inlineStr">
        <is>
          <t>BUDGET_EXPLICITE_OK</t>
        </is>
      </c>
      <c r="U48" t="inlineStr">
        <is>
          <t>1125000</t>
        </is>
      </c>
      <c r="V48" t="inlineStr">
        <is>
          <t>oui</t>
        </is>
      </c>
      <c r="W48" t="inlineStr">
        <is>
          <t>Vitres</t>
        </is>
      </c>
      <c r="X48" t="inlineStr">
        <is>
          <t>Autre</t>
        </is>
      </c>
      <c r="Y48" t="inlineStr">
        <is>
          <t>SERVICES</t>
        </is>
      </c>
      <c r="Z48" t="inlineStr">
        <is>
          <t>Procédure Ouverte</t>
        </is>
      </c>
      <c r="AA48" t="inlineStr">
        <is>
          <t>Avis de marché</t>
        </is>
      </c>
      <c r="AB48" t="inlineStr">
        <is>
          <t>Nettoyage de locaux</t>
        </is>
      </c>
      <c r="AC48" t="inlineStr">
        <is>
          <t>['sociaux', 'environnementaux']</t>
        </is>
      </c>
      <c r="AD48" s="11" t="inlineStr">
        <is>
          <t>https://www.boamp.fr/pages/avis/?q=idweb:26-81108</t>
        </is>
      </c>
      <c r="AE48" t="inlineStr">
        <is>
          <t>https://www.marches-publics.info/mpiaws/index.cfm?fuseaction=dematEnt.login&amp;amp;type=DCE&amp;amp;IDM=1862248</t>
        </is>
      </c>
      <c r="AF48" t="inlineStr">
        <is>
          <t>https://www.marches-publics.info/mpiaws/index.cfm?fuseaction=dematEnt.login&amp;amp;type=DCE&amp;amp;IDM=1862248</t>
        </is>
      </c>
      <c r="AG48" t="inlineStr">
        <is>
          <t>nettoyage, entretien des locaux</t>
        </is>
      </c>
      <c r="AH48" t="inlineStr">
        <is>
          <t>2</t>
        </is>
      </c>
      <c r="AI48" t="inlineStr">
        <is>
          <t>66</t>
        </is>
      </c>
      <c r="AJ48" t="inlineStr">
        <is>
          <t>INFO_PARTIELLE</t>
        </is>
      </c>
      <c r="AK48" t="inlineStr">
        <is>
          <t>37.5</t>
        </is>
      </c>
      <c r="AL48" s="16" t="inlineStr">
        <is>
          <t>FROID</t>
        </is>
      </c>
      <c r="AM48" t="inlineStr"/>
      <c r="AN48" t="inlineStr"/>
      <c r="AO48" t="inlineStr"/>
      <c r="AP48" t="inlineStr"/>
      <c r="AQ48" t="inlineStr">
        <is>
          <t>IA_CONTACT_A_COMPLETER</t>
        </is>
      </c>
      <c r="AR48" t="inlineStr">
        <is>
          <t>Completer les champs manquants depuis l'avis source, le site acheteur ou le DCE.</t>
        </is>
      </c>
      <c r="AS48" t="inlineStr">
        <is>
          <t>SIRET, adresse, ville</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26-81108. Objet: Accord-cadre à bons de commande relatif au nettoyage des locaux et des vitres des bâtiments départementaux et au nettoyage partiel de certains collèges du Val d'Oise (8 lots). Acheteur: Conseil départemental du Val-d'Oise. Lien: https://www.boamp.fr/pages/avis/?q=idweb:26-81108.</t>
        </is>
      </c>
      <c r="AU48" t="inlineStr">
        <is>
          <t>Verifier url_avis et DCE si disponible</t>
        </is>
      </c>
      <c r="AV48" t="inlineStr"/>
      <c r="AW48" t="inlineStr"/>
      <c r="AX48" t="inlineStr"/>
      <c r="AY48" t="inlineStr"/>
      <c r="AZ48" t="inlineStr"/>
      <c r="BA48" t="inlineStr"/>
      <c r="BB48" t="inlineStr">
        <is>
          <t>+34.0 nettoyage + categorie claire (2 termes) | -20.0 budget annualise 1 125 000 EUR | +15 procedure adaptee / MAPA / allotissement | +7.0 delai 18 j | +1.5 dossier renseigne (3/4)</t>
        </is>
      </c>
      <c r="BC48" t="inlineStr">
        <is>
          <t>Conseil départemental du Val-d'Oise publie un AO potentiellement pertinent pour CHRUTH : Accord-cadre à bons de commande relatif au nettoyage des locaux et des vitres des bâtiments départementaux et au nettoyage partiel de certains collèges du Val d'Oise (8 lots). Zone : 95. Budget detecte environ 4 500 000 EUR. Verifier le lien source avant contact.</t>
        </is>
      </c>
      <c r="BD48" t="inlineStr">
        <is>
          <t>Bonjour,
Je me permets de vous contacter au sujet de votre appel d'offres : Accord-cadre à bons de commande relatif au nettoyage des locaux et des vitres des bâtiments départementaux et au nettoyage partiel de certains collèges du Val d'Oise (8 lots).
CHRUTH accompagne les structures publiques et privées sur les besoins de nettoyage, d'entretien des locaux et d'organisation de prestations de service.
Serait-il possible d'échanger rapidement afin de vérifier les modalités de réponse et les attentes de Conseil départemental du Val-d'Oise ?
Cordialement,</t>
        </is>
      </c>
      <c r="BE48" t="inlineStr">
        <is>
          <t>Bonjour, je vous appelle concernant un appel d'offres publié par Conseil départemental du Val-d'Oise.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2026-W34</t>
        </is>
      </c>
    </row>
    <row r="49">
      <c r="A49" t="inlineStr">
        <is>
          <t>BOAMP</t>
        </is>
      </c>
      <c r="B49" t="inlineStr">
        <is>
          <t>26-77304</t>
        </is>
      </c>
      <c r="C49" t="inlineStr">
        <is>
          <t>Travaux d'aménagement d'une crèche de 15 berceaux - Crèche des bonshommes : Relance lot 1 - Gros oeuvre - carrelage pour cause de liquidation judiciaire</t>
        </is>
      </c>
      <c r="D49" t="inlineStr">
        <is>
          <t>Val d'Europe agglomération</t>
        </is>
      </c>
      <c r="E49" t="inlineStr">
        <is>
          <t>24770033900010</t>
        </is>
      </c>
      <c r="F49" t="inlineStr">
        <is>
          <t>247700339</t>
        </is>
      </c>
      <c r="G49" t="inlineStr">
        <is>
          <t>M. Philippe DESCROUET</t>
        </is>
      </c>
      <c r="H49" t="inlineStr"/>
      <c r="I49" t="inlineStr">
        <is>
          <t>vassilia.bucan@vdeagglo.fr</t>
        </is>
      </c>
      <c r="J49" t="inlineStr">
        <is>
          <t>+33 160436617</t>
        </is>
      </c>
      <c r="K49" t="inlineStr">
        <is>
          <t>Seine-et-Marne</t>
        </is>
      </c>
      <c r="L49" t="inlineStr">
        <is>
          <t>77701</t>
        </is>
      </c>
      <c r="M49" t="inlineStr">
        <is>
          <t>Marne la vallée cedex 4</t>
        </is>
      </c>
      <c r="N49" t="inlineStr">
        <is>
          <t>77</t>
        </is>
      </c>
      <c r="O49" t="inlineStr"/>
      <c r="P49" t="inlineStr">
        <is>
          <t>Ile-de-France</t>
        </is>
      </c>
      <c r="Q49" s="15" t="n">
        <v>46237</v>
      </c>
      <c r="R49" s="15" t="n">
        <v>46261</v>
      </c>
      <c r="S49" s="14" t="n">
        <v>77701</v>
      </c>
      <c r="T49" t="inlineStr">
        <is>
          <t>BUDGET_SOUS_SEUIL</t>
        </is>
      </c>
      <c r="U49" t="inlineStr">
        <is>
          <t>155402</t>
        </is>
      </c>
      <c r="V49" t="inlineStr">
        <is>
          <t>oui</t>
        </is>
      </c>
      <c r="W49" t="inlineStr">
        <is>
          <t>Bureaux</t>
        </is>
      </c>
      <c r="X49" t="inlineStr">
        <is>
          <t>Ecole</t>
        </is>
      </c>
      <c r="Y49" t="inlineStr">
        <is>
          <t>TRAVAUX</t>
        </is>
      </c>
      <c r="Z49" t="inlineStr">
        <is>
          <t>Procédure Ouverte</t>
        </is>
      </c>
      <c r="AA49" t="inlineStr">
        <is>
          <t>Avis de marché</t>
        </is>
      </c>
      <c r="AB49" t="inlineStr">
        <is>
          <t>Gros oeuvre, Carrelage</t>
        </is>
      </c>
      <c r="AC49" t="inlineStr">
        <is>
          <t>['environnementaux']</t>
        </is>
      </c>
      <c r="AD49" s="11" t="inlineStr">
        <is>
          <t>https://www.boamp.fr/pages/avis/?q=idweb:26-77304</t>
        </is>
      </c>
      <c r="AE49" t="inlineStr">
        <is>
          <t>https://www.achatpublic.com/sdm/ent/gen/ent_detail.do?PCSLID=CSL_2026_HfAtl9mcaM</t>
        </is>
      </c>
      <c r="AF49" t="inlineStr">
        <is>
          <t>https://www.achatpublic.com/sdm/ent/gen/ent_detail.do?PCSLID=CSL_2026_HfAtl9mcaM</t>
        </is>
      </c>
      <c r="AG49" t="inlineStr">
        <is>
          <t>proprete</t>
        </is>
      </c>
      <c r="AH49" t="inlineStr">
        <is>
          <t>6</t>
        </is>
      </c>
      <c r="AI49" t="inlineStr">
        <is>
          <t>98</t>
        </is>
      </c>
      <c r="AJ49" t="inlineStr">
        <is>
          <t>INFO_PARTIELLE</t>
        </is>
      </c>
      <c r="AK49" t="inlineStr">
        <is>
          <t>35.1</t>
        </is>
      </c>
      <c r="AL49" s="16" t="inlineStr">
        <is>
          <t>FROID</t>
        </is>
      </c>
      <c r="AM49" t="inlineStr"/>
      <c r="AN49" t="inlineStr"/>
      <c r="AO49" t="inlineStr"/>
      <c r="AP49" t="inlineStr"/>
      <c r="AQ49" t="inlineStr">
        <is>
          <t>IA_CONTROLE_SOURCE</t>
        </is>
      </c>
      <c r="AR49" t="inlineStr">
        <is>
          <t>Verifier rapidement la source avant contact.</t>
        </is>
      </c>
      <c r="AS49" t="inlineStr">
        <is>
          <t>Aucun champ critique manquant</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26-77304. Objet: Travaux d'aménagement d'une crèche de 15 berceaux - Crèche des bonshommes : Relance lot 1 - Gros oeuvre - carrelage pour cause de liquidation judiciaire. Acheteur: Val d'Europe agglomération. Lien: https://www.boamp.fr/pages/avis/?q=idweb:26-77304.</t>
        </is>
      </c>
      <c r="AU49" t="inlineStr">
        <is>
          <t>Verifier url_avis et DCE si disponible</t>
        </is>
      </c>
      <c r="AV49" t="inlineStr"/>
      <c r="AW49" t="inlineStr"/>
      <c r="AX49" t="inlineStr"/>
      <c r="AY49" t="inlineStr"/>
      <c r="AZ49" t="inlineStr"/>
      <c r="BA49" t="inlineStr"/>
      <c r="BB49" t="inlineStr">
        <is>
          <t>+33.5 nettoyage + categorie claire (1 termes) | +4.6 budget annualise 155 402 EUR | +15 procedure adaptee / MAPA / allotissement | +10 secteur cible Ecole | -30 AO expire | +2.0 dossier renseigne (4/4)</t>
        </is>
      </c>
      <c r="BC49" t="inlineStr">
        <is>
          <t>Val d'Europe agglomération publie un AO potentiellement pertinent pour CHRUTH : Travaux d'aménagement d'une crèche de 15 berceaux - Crèche des bonshommes : Relance lot 1 - Gros oeuvre - carrelage pour cause de liquidation judiciaire. Zone : Marne la vallée cedex 4. Budget detecte environ 77 701 EUR. Verifier le lien source avant contact.</t>
        </is>
      </c>
      <c r="BD49" t="inlineStr">
        <is>
          <t>Bonjour,
Je me permets de vous contacter au sujet de votre appel d'offres : Travaux d'aménagement d'une crèche de 15 berceaux - Crèche des bonshommes : Relance lot 1 - Gros oeuvre - carrelage pour cause de liquidation judiciaire.
CHRUTH accompagne les structures publiques et privées sur les besoins de nettoyage, d'entretien des locaux et d'organisation de prestations de service.
Serait-il possible d'échanger rapidement afin de vérifier les modalités de réponse et les attentes de Val d'Europe agglomération ?
Cordialement,</t>
        </is>
      </c>
      <c r="BE49" t="inlineStr">
        <is>
          <t>Bonjour, je vous appelle concernant un appel d'offres publié par Val d'Europe agglomération.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2026-W32</t>
        </is>
      </c>
    </row>
    <row r="50">
      <c r="A50" t="inlineStr">
        <is>
          <t>BOAMP</t>
        </is>
      </c>
      <c r="B50" t="inlineStr">
        <is>
          <t>26-74504</t>
        </is>
      </c>
      <c r="C50" t="inlineStr">
        <is>
          <t>chalet DGAC pour le salon du Bourget</t>
        </is>
      </c>
      <c r="D50" t="inlineStr">
        <is>
          <t>SG / SDF2</t>
        </is>
      </c>
      <c r="E50" t="inlineStr">
        <is>
          <t>12006401900074</t>
        </is>
      </c>
      <c r="F50" t="inlineStr">
        <is>
          <t>120064019</t>
        </is>
      </c>
      <c r="G50" t="inlineStr">
        <is>
          <t>SDF2 - Pole achats et marchés</t>
        </is>
      </c>
      <c r="H50" t="inlineStr"/>
      <c r="I50" t="inlineStr">
        <is>
          <t>pmi-dgac@aviation-civile.gouv.fr</t>
        </is>
      </c>
      <c r="J50" t="inlineStr">
        <is>
          <t>0640190007</t>
        </is>
      </c>
      <c r="K50" t="inlineStr">
        <is>
          <t>Le parc des expositions de Paris-Le Bourget, aéroport Paris-Le Bourget, 93 350 Le Bourget</t>
        </is>
      </c>
      <c r="L50" t="inlineStr">
        <is>
          <t>75720</t>
        </is>
      </c>
      <c r="M50" t="inlineStr">
        <is>
          <t>Paris Cedex 15</t>
        </is>
      </c>
      <c r="N50" t="inlineStr">
        <is>
          <t>75,93</t>
        </is>
      </c>
      <c r="O50" t="inlineStr"/>
      <c r="P50" t="inlineStr">
        <is>
          <t>Ile-de-France</t>
        </is>
      </c>
      <c r="Q50" s="15" t="n">
        <v>46227</v>
      </c>
      <c r="R50" s="15" t="n">
        <v>46279</v>
      </c>
      <c r="S50" s="14" t="n">
        <v>570000</v>
      </c>
      <c r="T50" t="inlineStr">
        <is>
          <t>BUDGET_EXPLICITE_OK</t>
        </is>
      </c>
      <c r="U50" t="inlineStr">
        <is>
          <t>285000</t>
        </is>
      </c>
      <c r="V50" t="inlineStr">
        <is>
          <t>oui</t>
        </is>
      </c>
      <c r="W50" t="inlineStr">
        <is>
          <t>Personnel</t>
        </is>
      </c>
      <c r="X50" t="inlineStr">
        <is>
          <t>Autre</t>
        </is>
      </c>
      <c r="Y50" t="inlineStr">
        <is>
          <t>TRAVAUX</t>
        </is>
      </c>
      <c r="Z50" t="inlineStr">
        <is>
          <t>Procédure Ouverte</t>
        </is>
      </c>
      <c r="AA50" t="inlineStr">
        <is>
          <t>Avis de marché</t>
        </is>
      </c>
      <c r="AB50" t="inlineStr">
        <is>
          <t>Stand, Evénementiel</t>
        </is>
      </c>
      <c r="AC50" t="inlineStr">
        <is>
          <t>['environnementaux']</t>
        </is>
      </c>
      <c r="AD50" s="11" t="inlineStr">
        <is>
          <t>https://www.boamp.fr/pages/avis/?q=idweb:26-74504</t>
        </is>
      </c>
      <c r="AE50" t="inlineStr">
        <is>
          <t>https://www.marches-publics.gouv.fr/entreprise/consultation/3043184?orgAcronyme=d4t</t>
        </is>
      </c>
      <c r="AF50" t="inlineStr">
        <is>
          <t>https://www.marches-publics.gouv.fr/entreprise/consultation/3043184?orgAcronyme=d4t</t>
        </is>
      </c>
      <c r="AG50" t="inlineStr">
        <is>
          <t>nettoyage</t>
        </is>
      </c>
      <c r="AH50" t="inlineStr">
        <is>
          <t>6</t>
        </is>
      </c>
      <c r="AI50" t="inlineStr">
        <is>
          <t>98</t>
        </is>
      </c>
      <c r="AJ50" t="inlineStr">
        <is>
          <t>INFO_COMPLETE</t>
        </is>
      </c>
      <c r="AK50" t="inlineStr">
        <is>
          <t>35</t>
        </is>
      </c>
      <c r="AL50" s="16" t="inlineStr">
        <is>
          <t>FROID</t>
        </is>
      </c>
      <c r="AM50" t="inlineStr"/>
      <c r="AN50" t="inlineStr"/>
      <c r="AO50" t="inlineStr"/>
      <c r="AP50" t="inlineStr"/>
      <c r="AQ50" t="inlineStr">
        <is>
          <t>IA_CONTROLE_SOURCE</t>
        </is>
      </c>
      <c r="AR50" t="inlineStr">
        <is>
          <t>Verifier rapidement la source avant contact.</t>
        </is>
      </c>
      <c r="AS50" t="inlineStr">
        <is>
          <t>Aucun champ critique manquant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50" t="inlineStr">
        <is>
          <t>Verifier url_avis et DCE si disponible</t>
        </is>
      </c>
      <c r="AV50" t="inlineStr"/>
      <c r="AW50" t="inlineStr"/>
      <c r="AX50" t="inlineStr"/>
      <c r="AY50" t="inlineStr"/>
      <c r="AZ50" t="inlineStr"/>
      <c r="BA50" t="inlineStr"/>
      <c r="BB50" t="inlineStr">
        <is>
          <t>+35 nettoyage + categorie claire | -10 budget annualise &lt;= 500 000 EUR | +10 delai confortable 48j</t>
        </is>
      </c>
      <c r="BC50" t="inlineStr">
        <is>
          <t>SG / SDF2 publie un AO potentiellement pertinent pour CHRUTH : chalet DGAC pour le salon du Bourget. Zone : Paris Cedex 15. Budget detecte environ 570 000 EUR. Verifier le lien source avant contact.</t>
        </is>
      </c>
      <c r="BD50"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50"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2026-W30</t>
        </is>
      </c>
    </row>
    <row r="51">
      <c r="A51" t="inlineStr">
        <is>
          <t>BOAMP</t>
        </is>
      </c>
      <c r="B51" t="inlineStr">
        <is>
          <t>26-73442</t>
        </is>
      </c>
      <c r="C51" t="inlineStr">
        <is>
          <t>Travaux de menuiseries extérieures et de vitrerie dans les bâtiments communaux</t>
        </is>
      </c>
      <c r="D51" t="inlineStr">
        <is>
          <t>Ville de Montrouge
Direction des bâtiments, énergie et propreté 
43 avenue de la République
92120 MONTROUGE</t>
        </is>
      </c>
      <c r="E51" t="inlineStr">
        <is>
          <t>21920049000015</t>
        </is>
      </c>
      <c r="F51" t="inlineStr">
        <is>
          <t>219200490</t>
        </is>
      </c>
      <c r="G51" t="inlineStr"/>
      <c r="H51" t="inlineStr"/>
      <c r="I51" t="inlineStr">
        <is>
          <t>o.satouri@ville-montrouge.fr</t>
        </is>
      </c>
      <c r="J51" t="inlineStr">
        <is>
          <t>0146127540</t>
        </is>
      </c>
      <c r="K51" t="inlineStr"/>
      <c r="L51" t="inlineStr"/>
      <c r="M51" t="inlineStr"/>
      <c r="N51" t="inlineStr">
        <is>
          <t>92,75</t>
        </is>
      </c>
      <c r="O51" t="inlineStr"/>
      <c r="P51" t="inlineStr">
        <is>
          <t>Ile-de-France</t>
        </is>
      </c>
      <c r="Q51" s="15" t="n">
        <v>46227</v>
      </c>
      <c r="R51" s="15" t="n">
        <v>46293</v>
      </c>
      <c r="S51" s="14" t="n">
        <v>3200000</v>
      </c>
      <c r="T51" t="inlineStr">
        <is>
          <t>BUDGET_EXPLICITE_OK</t>
        </is>
      </c>
      <c r="U51" t="inlineStr">
        <is>
          <t>3200000.0</t>
        </is>
      </c>
      <c r="V51" t="inlineStr">
        <is>
          <t>non</t>
        </is>
      </c>
      <c r="W51" t="inlineStr">
        <is>
          <t>Vitres</t>
        </is>
      </c>
      <c r="X51" t="inlineStr">
        <is>
          <t>Mairie</t>
        </is>
      </c>
      <c r="Y51" t="inlineStr">
        <is>
          <t>TRAVAUX</t>
        </is>
      </c>
      <c r="Z51" t="inlineStr">
        <is>
          <t>Procédure Ouverte</t>
        </is>
      </c>
      <c r="AA51" t="inlineStr">
        <is>
          <t>Avis de marché</t>
        </is>
      </c>
      <c r="AB51" t="inlineStr">
        <is>
          <t>Menuiserie</t>
        </is>
      </c>
      <c r="AC51" t="inlineStr">
        <is>
          <t>['environnementaux']</t>
        </is>
      </c>
      <c r="AD51" s="11" t="inlineStr">
        <is>
          <t>https://www.boamp.fr/pages/avis/?q=idweb:26-73442</t>
        </is>
      </c>
      <c r="AE51" t="inlineStr">
        <is>
          <t>https://www.achatpublic.com/sdm/ent/gen/ent_detail.do?PCSLID=CSL_2026_YLyiWdUZqH</t>
        </is>
      </c>
      <c r="AF51" t="inlineStr">
        <is>
          <t>https://www.achatpublic.com/sdm/ent/gen/ent_detail.do?PCSLID=CSL_2026_YLyiWdUZqH</t>
        </is>
      </c>
      <c r="AG51" t="inlineStr">
        <is>
          <t>proprete</t>
        </is>
      </c>
      <c r="AH51" t="inlineStr">
        <is>
          <t>3</t>
        </is>
      </c>
      <c r="AI51" t="inlineStr">
        <is>
          <t>68</t>
        </is>
      </c>
      <c r="AJ51" t="inlineStr">
        <is>
          <t>INFO_PARTIELLE</t>
        </is>
      </c>
      <c r="AK51" t="inlineStr">
        <is>
          <t>35</t>
        </is>
      </c>
      <c r="AL51" s="16" t="inlineStr">
        <is>
          <t>FROID</t>
        </is>
      </c>
      <c r="AM51" t="inlineStr"/>
      <c r="AN51" t="inlineStr"/>
      <c r="AO51" t="inlineStr"/>
      <c r="AP51" t="inlineStr"/>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62j</t>
        </is>
      </c>
      <c r="BC51"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51"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51"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2026-W30</t>
        </is>
      </c>
    </row>
    <row r="52">
      <c r="A52" t="inlineStr">
        <is>
          <t>BOAMP</t>
        </is>
      </c>
      <c r="B52" t="inlineStr">
        <is>
          <t>26-78377</t>
        </is>
      </c>
      <c r="C52" t="inlineStr">
        <is>
          <t>Prestation de balayage et nettoyage du domaine public et privé de la collectivité</t>
        </is>
      </c>
      <c r="D52" t="inlineStr">
        <is>
          <t>Mairie de Paray-Vieille-Poste</t>
        </is>
      </c>
      <c r="E52" t="inlineStr">
        <is>
          <t>21910479100013</t>
        </is>
      </c>
      <c r="F52" t="inlineStr">
        <is>
          <t>219104791</t>
        </is>
      </c>
      <c r="G52" t="inlineStr"/>
      <c r="H52" t="inlineStr"/>
      <c r="I52" t="inlineStr">
        <is>
          <t>christine.goncalves@grandorlyseinebievre.fr</t>
        </is>
      </c>
      <c r="J52" t="inlineStr">
        <is>
          <t>0479100013</t>
        </is>
      </c>
      <c r="K52" t="inlineStr"/>
      <c r="L52" t="inlineStr"/>
      <c r="M52" t="inlineStr"/>
      <c r="N52" t="inlineStr">
        <is>
          <t>91</t>
        </is>
      </c>
      <c r="O52" t="inlineStr"/>
      <c r="P52" t="inlineStr">
        <is>
          <t>Ile-de-France</t>
        </is>
      </c>
      <c r="Q52" s="15" t="n">
        <v>46241</v>
      </c>
      <c r="R52" s="15" t="n">
        <v>46281</v>
      </c>
      <c r="S52" s="14" t="n">
        <v>440000</v>
      </c>
      <c r="T52" t="inlineStr">
        <is>
          <t>BUDGET_EXPLICITE_OK</t>
        </is>
      </c>
      <c r="U52" t="inlineStr">
        <is>
          <t>440000</t>
        </is>
      </c>
      <c r="V52" t="inlineStr">
        <is>
          <t>oui</t>
        </is>
      </c>
      <c r="W52" t="inlineStr">
        <is>
          <t>Mixte/Autre</t>
        </is>
      </c>
      <c r="X52" t="inlineStr">
        <is>
          <t>Mairie</t>
        </is>
      </c>
      <c r="Y52" t="inlineStr">
        <is>
          <t>SERVICES</t>
        </is>
      </c>
      <c r="Z52" t="inlineStr">
        <is>
          <t>Procédure Ouverte</t>
        </is>
      </c>
      <c r="AA52" t="inlineStr">
        <is>
          <t>Avis de marché</t>
        </is>
      </c>
      <c r="AB52" t="inlineStr">
        <is>
          <t>Nettoyage urbain</t>
        </is>
      </c>
      <c r="AC52" t="inlineStr">
        <is>
          <t>['environnementaux']</t>
        </is>
      </c>
      <c r="AD52" s="11" t="inlineStr">
        <is>
          <t>https://www.boamp.fr/pages/avis/?q=idweb:26-78377</t>
        </is>
      </c>
      <c r="AE52" t="inlineStr">
        <is>
          <t>https://marches.maximilien.fr</t>
        </is>
      </c>
      <c r="AF52" t="inlineStr">
        <is>
          <t>https://marches.maximilien.fr</t>
        </is>
      </c>
      <c r="AG52" t="inlineStr">
        <is>
          <t>nettoyage</t>
        </is>
      </c>
      <c r="AH52" t="inlineStr">
        <is>
          <t>3</t>
        </is>
      </c>
      <c r="AI52" t="inlineStr">
        <is>
          <t>68</t>
        </is>
      </c>
      <c r="AJ52" t="inlineStr">
        <is>
          <t>INFO_PARTIELLE</t>
        </is>
      </c>
      <c r="AK52" t="inlineStr">
        <is>
          <t>34.2</t>
        </is>
      </c>
      <c r="AL52" s="16" t="inlineStr">
        <is>
          <t>FROID</t>
        </is>
      </c>
      <c r="AM52" t="inlineStr"/>
      <c r="AN52" t="inlineStr"/>
      <c r="AO52" t="inlineStr"/>
      <c r="AP52" t="inlineStr"/>
      <c r="AQ52" t="inlineStr">
        <is>
          <t>IA_CONTACT_A_COMPLETER</t>
        </is>
      </c>
      <c r="AR52" t="inlineStr">
        <is>
          <t>Completer les champs manquants depuis l'avis source, le site acheteur ou le DCE.</t>
        </is>
      </c>
      <c r="AS52" t="inlineStr">
        <is>
          <t>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26-78377. Objet: Prestation de balayage et nettoyage du domaine public et privé de la collectivité. Acheteur: Mairie de Paray-Vieille-Poste. Lien: https://www.boamp.fr/pages/avis/?q=idweb:26-78377.</t>
        </is>
      </c>
      <c r="AU52" t="inlineStr">
        <is>
          <t>Verifier url_avis et DCE si disponible</t>
        </is>
      </c>
      <c r="AV52" t="inlineStr"/>
      <c r="AW52" t="inlineStr"/>
      <c r="AX52" t="inlineStr"/>
      <c r="AY52" t="inlineStr"/>
      <c r="AZ52" t="inlineStr"/>
      <c r="BA52" t="inlineStr"/>
      <c r="BB52" t="inlineStr">
        <is>
          <t>+28.5 mots-cles nettoyage forts (1 termes) | -12.2 budget annualise 440 000 EUR | +10 secteur cible Mairie | +6.5 delai 16 j | +1.5 dossier renseigne (3/4)</t>
        </is>
      </c>
      <c r="BC52" t="inlineStr">
        <is>
          <t>Mairie de Paray-Vieille-Poste publie un AO potentiellement pertinent pour CHRUTH : Prestation de balayage et nettoyage du domaine public et privé de la collectivité. Zone : 91. Budget detecte environ 440 000 EUR. Verifier le lien source avant contact.</t>
        </is>
      </c>
      <c r="BD52" t="inlineStr">
        <is>
          <t>Bonjour,
Je me permets de vous contacter au sujet de votre appel d'offres : Prestation de balayage et nettoyage du domaine public et privé de la collectivité.
CHRUTH accompagne les structures publiques et privées sur les besoins de nettoyage, d'entretien des locaux et d'organisation de prestations de service.
Serait-il possible d'échanger rapidement afin de vérifier les modalités de réponse et les attentes de Mairie de Paray-Vieille-Poste ?
Cordialement,</t>
        </is>
      </c>
      <c r="BE52" t="inlineStr">
        <is>
          <t>Bonjour, je vous appelle concernant un appel d'offres publié par Mairie de Paray-Vieille-Poste. Je souhaite vérifier les informations pratiques : périmètre des prestations, date limite, modalités de visite, contact technique et pièces attendues. Pouvez-vous m'indiquer la bonne personne à contacter ?</t>
        </is>
      </c>
      <c r="BF52" t="inlineStr"/>
      <c r="BG52" t="inlineStr"/>
      <c r="BH52" t="inlineStr"/>
      <c r="BI52" t="inlineStr"/>
      <c r="BJ52" t="inlineStr"/>
      <c r="BK52" t="inlineStr"/>
      <c r="BL52" t="inlineStr"/>
      <c r="BM52" t="inlineStr">
        <is>
          <t>2026-W32</t>
        </is>
      </c>
    </row>
    <row r="53">
      <c r="A53" t="inlineStr">
        <is>
          <t>BOAMP</t>
        </is>
      </c>
      <c r="B53" t="inlineStr">
        <is>
          <t>26-82637</t>
        </is>
      </c>
      <c r="C53" t="inlineStr">
        <is>
          <t>Service de balayage mécanique des espaces publics de la Commune de Montmagny</t>
        </is>
      </c>
      <c r="D53" t="inlineStr">
        <is>
          <t>Commune de Montmagny</t>
        </is>
      </c>
      <c r="E53" t="inlineStr">
        <is>
          <t>21950427100012</t>
        </is>
      </c>
      <c r="F53" t="inlineStr">
        <is>
          <t>219504271</t>
        </is>
      </c>
      <c r="G53" t="inlineStr"/>
      <c r="H53" t="inlineStr"/>
      <c r="I53" t="inlineStr">
        <is>
          <t>moussa.dia@ville-montmagny.fr</t>
        </is>
      </c>
      <c r="J53" t="inlineStr">
        <is>
          <t>0427100012</t>
        </is>
      </c>
      <c r="K53" t="inlineStr"/>
      <c r="L53" t="inlineStr"/>
      <c r="M53" t="inlineStr"/>
      <c r="N53" t="inlineStr">
        <is>
          <t>95</t>
        </is>
      </c>
      <c r="O53" t="inlineStr"/>
      <c r="P53" t="inlineStr">
        <is>
          <t>Ile-de-France</t>
        </is>
      </c>
      <c r="Q53" s="15" t="n">
        <v>46259</v>
      </c>
      <c r="R53" s="15" t="n">
        <v>46293</v>
      </c>
      <c r="S53" s="14" t="n">
        <v>640000</v>
      </c>
      <c r="T53" t="inlineStr">
        <is>
          <t>BUDGET_EXPLICITE_OK</t>
        </is>
      </c>
      <c r="U53" t="inlineStr">
        <is>
          <t>640000.0</t>
        </is>
      </c>
      <c r="V53" t="inlineStr">
        <is>
          <t>non</t>
        </is>
      </c>
      <c r="W53" t="inlineStr">
        <is>
          <t>Mixte/Autre</t>
        </is>
      </c>
      <c r="X53" t="inlineStr">
        <is>
          <t>Mairie</t>
        </is>
      </c>
      <c r="Y53" t="inlineStr">
        <is>
          <t>SERVICES</t>
        </is>
      </c>
      <c r="Z53" t="inlineStr">
        <is>
          <t>Procédure Ouverte</t>
        </is>
      </c>
      <c r="AA53" t="inlineStr">
        <is>
          <t>Avis de marché</t>
        </is>
      </c>
      <c r="AB53" t="inlineStr">
        <is>
          <t>Nettoyage urbain</t>
        </is>
      </c>
      <c r="AC53" t="inlineStr">
        <is>
          <t>['sociaux', 'environnementaux']</t>
        </is>
      </c>
      <c r="AD53" s="11" t="inlineStr">
        <is>
          <t>https://www.boamp.fr/pages/avis/?q=idweb:26-82637</t>
        </is>
      </c>
      <c r="AE53" t="inlineStr">
        <is>
          <t>https://www.achatpublic.com/sdm/ent/gen/ent_detail.do?PCSLID=CSL_2026_tRFCblH-Fv</t>
        </is>
      </c>
      <c r="AF53" t="inlineStr">
        <is>
          <t>https://www.achatpublic.com/sdm/ent/gen/ent_detail.do?PCSLID=CSL_2026_tRFCblH-Fv</t>
        </is>
      </c>
      <c r="AG53" t="inlineStr">
        <is>
          <t>nettoyage, proprete</t>
        </is>
      </c>
      <c r="AH53" t="inlineStr">
        <is>
          <t>3</t>
        </is>
      </c>
      <c r="AI53" t="inlineStr">
        <is>
          <t>76</t>
        </is>
      </c>
      <c r="AJ53" t="inlineStr">
        <is>
          <t>INFO_PARTIELLE</t>
        </is>
      </c>
      <c r="AK53" t="inlineStr">
        <is>
          <t>32.8</t>
        </is>
      </c>
      <c r="AL53" s="16" t="inlineStr">
        <is>
          <t>FROID</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26-82637. Objet: Service de balayage mécanique des espaces publics de la Commune de Montmagny. Acheteur: Commune de Montmagny. Lien: https://www.boamp.fr/pages/avis/?q=idweb:26-82637.</t>
        </is>
      </c>
      <c r="AU53" t="inlineStr">
        <is>
          <t>Verifier url_avis et DCE si disponible</t>
        </is>
      </c>
      <c r="AV53" t="inlineStr"/>
      <c r="AW53" t="inlineStr"/>
      <c r="AX53" t="inlineStr"/>
      <c r="AY53" t="inlineStr"/>
      <c r="AZ53" t="inlineStr"/>
      <c r="BA53" t="inlineStr"/>
      <c r="BB53" t="inlineStr">
        <is>
          <t>+29.0 mots-cles nettoyage forts (2 termes) | -17.2 budget annualise 640 000 EUR | +10 secteur cible Mairie | +9.5 delai 28 j | +1.5 dossier renseigne (3/4)</t>
        </is>
      </c>
      <c r="BC53" t="inlineStr">
        <is>
          <t>Commune de Montmagny publie un AO potentiellement pertinent pour CHRUTH : Service de balayage mécanique des espaces publics de la Commune de Montmagny. Zone : 95. Budget detecte environ 640 000 EUR. Verifier le lien source avant contact.</t>
        </is>
      </c>
      <c r="BD53" t="inlineStr">
        <is>
          <t>Bonjour,
Je me permets de vous contacter au sujet de votre appel d'offres : Service de balayage mécanique des espaces publics de la Commune de Montmagny.
CHRUTH accompagne les structures publiques et privées sur les besoins de nettoyage, d'entretien des locaux et d'organisation de prestations de service.
Serait-il possible d'échanger rapidement afin de vérifier les modalités de réponse et les attentes de Commune de Montmagny ?
Cordialement,</t>
        </is>
      </c>
      <c r="BE53" t="inlineStr">
        <is>
          <t>Bonjour, je vous appelle concernant un appel d'offres publié par Commune de Montmagny.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2026-W35</t>
        </is>
      </c>
    </row>
    <row r="54">
      <c r="A54" t="inlineStr">
        <is>
          <t>BOAMP</t>
        </is>
      </c>
      <c r="B54" t="inlineStr">
        <is>
          <t>26-83350</t>
        </is>
      </c>
      <c r="C54" t="inlineStr">
        <is>
          <t>Sécurité des évènements</t>
        </is>
      </c>
      <c r="D54" t="inlineStr">
        <is>
          <t>Ville de Vitry-sur-Seine</t>
        </is>
      </c>
      <c r="E54" t="inlineStr">
        <is>
          <t>21940081900575</t>
        </is>
      </c>
      <c r="F54" t="inlineStr">
        <is>
          <t>219400819</t>
        </is>
      </c>
      <c r="G54" t="inlineStr"/>
      <c r="H54" t="inlineStr"/>
      <c r="I54" t="inlineStr">
        <is>
          <t>sebastien.guillot@mairie-vitry94.fr</t>
        </is>
      </c>
      <c r="J54" t="inlineStr">
        <is>
          <t>+33 146828378</t>
        </is>
      </c>
      <c r="K54" t="inlineStr"/>
      <c r="L54" t="inlineStr"/>
      <c r="M54" t="inlineStr"/>
      <c r="N54" t="inlineStr">
        <is>
          <t>94</t>
        </is>
      </c>
      <c r="O54" t="inlineStr"/>
      <c r="P54" t="inlineStr">
        <is>
          <t>Ile-de-France</t>
        </is>
      </c>
      <c r="Q54" s="15" t="n">
        <v>46261</v>
      </c>
      <c r="R54" s="15" t="n">
        <v>46300</v>
      </c>
      <c r="S54" t="inlineStr"/>
      <c r="T54" t="inlineStr">
        <is>
          <t>A_VERIFIER_BUDGET</t>
        </is>
      </c>
      <c r="U54" t="inlineStr"/>
      <c r="V54" t="inlineStr">
        <is>
          <t>non</t>
        </is>
      </c>
      <c r="W54" t="inlineStr">
        <is>
          <t>Personnel</t>
        </is>
      </c>
      <c r="X54" t="inlineStr">
        <is>
          <t>Mairie</t>
        </is>
      </c>
      <c r="Y54" t="inlineStr">
        <is>
          <t>SERVICES</t>
        </is>
      </c>
      <c r="Z54" t="inlineStr">
        <is>
          <t>Procédure NC</t>
        </is>
      </c>
      <c r="AA54" t="inlineStr">
        <is>
          <t>Avis de marché</t>
        </is>
      </c>
      <c r="AB54" t="inlineStr">
        <is>
          <t>Gardiennage</t>
        </is>
      </c>
      <c r="AC54" t="inlineStr"/>
      <c r="AD54" s="11" t="inlineStr">
        <is>
          <t>https://www.boamp.fr/pages/avis/?q=idweb:26-83350</t>
        </is>
      </c>
      <c r="AE54" t="inlineStr">
        <is>
          <t>https://marches.maximilien.fr</t>
        </is>
      </c>
      <c r="AF54" t="inlineStr">
        <is>
          <t>https://marches.maximilien.fr</t>
        </is>
      </c>
      <c r="AG54" t="inlineStr"/>
      <c r="AH54" t="inlineStr">
        <is>
          <t>3</t>
        </is>
      </c>
      <c r="AI54" t="inlineStr">
        <is>
          <t>60</t>
        </is>
      </c>
      <c r="AJ54" t="inlineStr">
        <is>
          <t>INFO_PARTIELLE</t>
        </is>
      </c>
      <c r="AK54" t="inlineStr">
        <is>
          <t>31.5</t>
        </is>
      </c>
      <c r="AL54" s="16" t="inlineStr">
        <is>
          <t>FROID</t>
        </is>
      </c>
      <c r="AM54" t="inlineStr"/>
      <c r="AN54" t="inlineStr"/>
      <c r="AO54" t="inlineStr"/>
      <c r="AP54" t="inlineStr"/>
      <c r="AQ54" t="inlineStr">
        <is>
          <t>IA_BUDGET_A_VERIFIER</t>
        </is>
      </c>
      <c r="AR54" t="inlineStr">
        <is>
          <t>Verifier le budget dans l'avis source ou le DCE avant decision commerciale.</t>
        </is>
      </c>
      <c r="AS54" t="inlineStr">
        <is>
          <t>adresse, ville, budget</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26-83350. Objet: Sécurité des évènements. Acheteur: Ville de Vitry-sur-Seine. Lien: https://www.boamp.fr/pages/avis/?q=idweb:26-83350.</t>
        </is>
      </c>
      <c r="AU54" t="inlineStr">
        <is>
          <t>Verifier url_avis et DCE si disponible</t>
        </is>
      </c>
      <c r="AV54" t="inlineStr">
        <is>
          <t>LIEN_SEUL</t>
        </is>
      </c>
      <c r="AW54" t="inlineStr"/>
      <c r="AX54" t="inlineStr"/>
      <c r="AY54" t="inlineStr"/>
      <c r="AZ54" t="inlineStr"/>
      <c r="BA54" t="inlineStr"/>
      <c r="BB54" t="inlineStr">
        <is>
          <t>0 pertinence metier faible | +10 budget non affiche (a verifier) | +10 secteur cible Mairie | +10.0 delai 35 j | +1.5 dossier renseigne (3/4)</t>
        </is>
      </c>
      <c r="BC54" t="inlineStr">
        <is>
          <t>Ville de Vitry-sur-Seine publie un AO potentiellement pertinent pour CHRUTH : Sécurité des évènements. Zone : 94. Budget a verifier. Verifier le lien source avant contact.</t>
        </is>
      </c>
      <c r="BD54" t="inlineStr">
        <is>
          <t>Bonjour,
Je me permets de vous contacter au sujet de votre appel d'offres : Sécurité des évènements.
CHRUTH accompagne les structures publiques et privées sur les besoins de nettoyage, d'entretien des locaux et d'organisation de prestations de service.
Serait-il possible d'échanger rapidement afin de vérifier les modalités de réponse et les attentes de Ville de Vitry-sur-Seine ?
Cordialement,</t>
        </is>
      </c>
      <c r="BE54" t="inlineStr">
        <is>
          <t>Bonjour, je vous appelle concernant un appel d'offres publié par Ville de Vitry-sur-Seine.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2026-W35</t>
        </is>
      </c>
    </row>
    <row r="55">
      <c r="A55" t="inlineStr">
        <is>
          <t>BOAMP</t>
        </is>
      </c>
      <c r="B55" t="inlineStr">
        <is>
          <t>26-82779</t>
        </is>
      </c>
      <c r="C55" t="inlineStr">
        <is>
          <t>GESTION ET NETTOYAGE DE BASE VIE ET DE STRUCTURES MODULAIRES</t>
        </is>
      </c>
      <c r="D55" t="inlineStr">
        <is>
          <t>ETBT du Château de Versailles</t>
        </is>
      </c>
      <c r="E55" t="inlineStr">
        <is>
          <t>18004626000014</t>
        </is>
      </c>
      <c r="F55" t="inlineStr">
        <is>
          <t>180046260</t>
        </is>
      </c>
      <c r="G55" t="inlineStr"/>
      <c r="H55" t="inlineStr"/>
      <c r="I55" t="inlineStr">
        <is>
          <t>bmdpj@chateauversailles.fr</t>
        </is>
      </c>
      <c r="J55" t="inlineStr">
        <is>
          <t>0462600001</t>
        </is>
      </c>
      <c r="K55" t="inlineStr"/>
      <c r="L55" t="inlineStr"/>
      <c r="M55" t="inlineStr"/>
      <c r="N55" t="inlineStr">
        <is>
          <t>78</t>
        </is>
      </c>
      <c r="O55" t="inlineStr"/>
      <c r="P55" t="inlineStr">
        <is>
          <t>Ile-de-France</t>
        </is>
      </c>
      <c r="Q55" s="15" t="n">
        <v>46260</v>
      </c>
      <c r="R55" s="15" t="n">
        <v>46307</v>
      </c>
      <c r="S55" s="14" t="n">
        <v>350000</v>
      </c>
      <c r="T55" t="inlineStr">
        <is>
          <t>BUDGET_EXPLICITE_OK</t>
        </is>
      </c>
      <c r="U55" t="inlineStr">
        <is>
          <t>350000.0</t>
        </is>
      </c>
      <c r="V55" t="inlineStr">
        <is>
          <t>non</t>
        </is>
      </c>
      <c r="W55" t="inlineStr">
        <is>
          <t>Mixte/Autre</t>
        </is>
      </c>
      <c r="X55" t="inlineStr">
        <is>
          <t>Autre</t>
        </is>
      </c>
      <c r="Y55" t="inlineStr">
        <is>
          <t>SERVICES</t>
        </is>
      </c>
      <c r="Z55" t="inlineStr">
        <is>
          <t>Procédure Ouverte</t>
        </is>
      </c>
      <c r="AA55" t="inlineStr">
        <is>
          <t>Avis de marché</t>
        </is>
      </c>
      <c r="AB55" t="inlineStr">
        <is>
          <t>Prestations de services</t>
        </is>
      </c>
      <c r="AC55" t="inlineStr"/>
      <c r="AD55" s="11" t="inlineStr">
        <is>
          <t>https://www.boamp.fr/pages/avis/?q=idweb:26-82779</t>
        </is>
      </c>
      <c r="AE55" t="inlineStr">
        <is>
          <t>https://www.achatpublic.com/sdm/ent/gen/ent_detail.do?PCSLID=CSL_2026_K0GSdVTAwn</t>
        </is>
      </c>
      <c r="AF55" t="inlineStr">
        <is>
          <t>https://www.achatpublic.com/sdm/ent/gen/ent_detail.do?PCSLID=CSL_2026_K0GSdVTAwn</t>
        </is>
      </c>
      <c r="AG55" t="inlineStr">
        <is>
          <t>nettoyage</t>
        </is>
      </c>
      <c r="AH55" t="inlineStr">
        <is>
          <t>3</t>
        </is>
      </c>
      <c r="AI55" t="inlineStr">
        <is>
          <t>68</t>
        </is>
      </c>
      <c r="AJ55" t="inlineStr">
        <is>
          <t>INFO_PARTIELLE</t>
        </is>
      </c>
      <c r="AK55" t="inlineStr">
        <is>
          <t>30.0</t>
        </is>
      </c>
      <c r="AL55" s="16"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26-82779. Objet: GESTION ET NETTOYAGE DE BASE VIE ET DE STRUCTURES MODULAIRES. Acheteur: ETBT du Château de Versailles. Lien: https://www.boamp.fr/pages/avis/?q=idweb:26-82779.</t>
        </is>
      </c>
      <c r="AU55" t="inlineStr">
        <is>
          <t>Verifier url_avis et DCE si disponible</t>
        </is>
      </c>
      <c r="AV55" t="inlineStr"/>
      <c r="AW55" t="inlineStr"/>
      <c r="AX55" t="inlineStr"/>
      <c r="AY55" t="inlineStr"/>
      <c r="AZ55" t="inlineStr"/>
      <c r="BA55" t="inlineStr"/>
      <c r="BB55" t="inlineStr">
        <is>
          <t>+28.5 mots-cles nettoyage forts (1 termes) | -10.0 budget annualise 350 000 EUR | +10.0 delai 42 j | +1.5 dossier renseigne (3/4)</t>
        </is>
      </c>
      <c r="BC55" t="inlineStr">
        <is>
          <t>ETBT du Château de Versailles publie un AO potentiellement pertinent pour CHRUTH : GESTION ET NETTOYAGE DE BASE VIE ET DE STRUCTURES MODULAIRES. Zone : 78. Budget detecte environ 350 000 EUR. Verifier le lien source avant contact.</t>
        </is>
      </c>
      <c r="BD55" t="inlineStr">
        <is>
          <t>Bonjour,
Je me permets de vous contacter au sujet de votre appel d'offres : GESTION ET NETTOYAGE DE BASE VIE ET DE STRUCTURES MODULAIRES.
CHRUTH accompagne les structures publiques et privées sur les besoins de nettoyage, d'entretien des locaux et d'organisation de prestations de service.
Serait-il possible d'échanger rapidement afin de vérifier les modalités de réponse et les attentes de ETBT du Château de Versailles ?
Cordialement,</t>
        </is>
      </c>
      <c r="BE55" t="inlineStr">
        <is>
          <t>Bonjour, je vous appelle concernant un appel d'offres publié par ETBT du Château de Versailles.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2026-W35</t>
        </is>
      </c>
    </row>
    <row r="56">
      <c r="A56" t="inlineStr">
        <is>
          <t>BOAMP</t>
        </is>
      </c>
      <c r="B56" t="inlineStr">
        <is>
          <t>26-73389</t>
        </is>
      </c>
      <c r="C56" t="inlineStr">
        <is>
          <t>PRESTATIONS DE SECURITE, GARDIENNAGE ET SURETE DES ARENES DE GRAND PARIS SUD</t>
        </is>
      </c>
      <c r="D56" t="inlineStr">
        <is>
          <t>CA GRAND PARIS SUD SEINE ESSONNE SENART</t>
        </is>
      </c>
      <c r="E56" t="inlineStr">
        <is>
          <t>20005922800011</t>
        </is>
      </c>
      <c r="F56" t="inlineStr">
        <is>
          <t>200059228</t>
        </is>
      </c>
      <c r="G56" t="inlineStr"/>
      <c r="H56" t="inlineStr"/>
      <c r="I56" t="inlineStr">
        <is>
          <t>commande.publique@grandparissud.fr</t>
        </is>
      </c>
      <c r="J56" t="inlineStr">
        <is>
          <t>0592280001</t>
        </is>
      </c>
      <c r="K56" t="inlineStr"/>
      <c r="L56" t="inlineStr"/>
      <c r="M56" t="inlineStr"/>
      <c r="N56" t="inlineStr">
        <is>
          <t>91,77</t>
        </is>
      </c>
      <c r="O56" t="inlineStr"/>
      <c r="P56" t="inlineStr">
        <is>
          <t>Ile-de-France</t>
        </is>
      </c>
      <c r="Q56" s="15" t="n">
        <v>46227</v>
      </c>
      <c r="R56" s="15" t="n">
        <v>46293</v>
      </c>
      <c r="S56" s="14" t="n">
        <v>300000</v>
      </c>
      <c r="T56" t="inlineStr">
        <is>
          <t>BUDGET_EXPLICITE_OK</t>
        </is>
      </c>
      <c r="U56" t="inlineStr">
        <is>
          <t>75000</t>
        </is>
      </c>
      <c r="V56" t="inlineStr">
        <is>
          <t>oui</t>
        </is>
      </c>
      <c r="W56" t="inlineStr">
        <is>
          <t>Personnel</t>
        </is>
      </c>
      <c r="X56" t="inlineStr">
        <is>
          <t>Autre</t>
        </is>
      </c>
      <c r="Y56" t="inlineStr">
        <is>
          <t>SERVICES</t>
        </is>
      </c>
      <c r="Z56" t="inlineStr">
        <is>
          <t>Procédure Ouverte</t>
        </is>
      </c>
      <c r="AA56" t="inlineStr">
        <is>
          <t>Avis de marché</t>
        </is>
      </c>
      <c r="AB56" t="inlineStr">
        <is>
          <t>Surveillance</t>
        </is>
      </c>
      <c r="AC56" t="inlineStr">
        <is>
          <t>['sociaux', 'environnementaux']</t>
        </is>
      </c>
      <c r="AD56" s="11" t="inlineStr">
        <is>
          <t>https://www.boamp.fr/pages/avis/?q=idweb:26-73389</t>
        </is>
      </c>
      <c r="AE56" t="inlineStr">
        <is>
          <t>https://www.achatpublic.com/sdm/ent/gen/ent_detail.do?PCSLID=CSL_2026_drUDYVSvmp</t>
        </is>
      </c>
      <c r="AF56" t="inlineStr">
        <is>
          <t>https://www.achatpublic.com/sdm/ent/gen/ent_detail.do?PCSLID=CSL_2026_drUDYVSvmp</t>
        </is>
      </c>
      <c r="AG56" t="inlineStr"/>
      <c r="AH56" t="inlineStr">
        <is>
          <t>3</t>
        </is>
      </c>
      <c r="AI56" t="inlineStr">
        <is>
          <t>60</t>
        </is>
      </c>
      <c r="AJ56" t="inlineStr">
        <is>
          <t>INFO_PARTIELLE</t>
        </is>
      </c>
      <c r="AK56" t="inlineStr">
        <is>
          <t>30</t>
        </is>
      </c>
      <c r="AL56" s="16" t="inlineStr">
        <is>
          <t>FROID</t>
        </is>
      </c>
      <c r="AM56" t="inlineStr"/>
      <c r="AN56" t="inlineStr"/>
      <c r="AO56" t="inlineStr"/>
      <c r="AP56" t="inlineStr"/>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56" t="inlineStr">
        <is>
          <t>Verifier url_avis et DCE si disponible</t>
        </is>
      </c>
      <c r="AV56" t="inlineStr"/>
      <c r="AW56" t="inlineStr"/>
      <c r="AX56" t="inlineStr"/>
      <c r="AY56" t="inlineStr"/>
      <c r="AZ56" t="inlineStr"/>
      <c r="BA56" t="inlineStr"/>
      <c r="BB56" t="inlineStr">
        <is>
          <t>0 pertinence metier faible | +20 budget annualise &lt;= 100 000 EUR | +10 delai confortable 62j</t>
        </is>
      </c>
      <c r="BC56" t="inlineStr">
        <is>
          <t>CA GRAND PARIS SUD SEINE ESSONNE SENART publie un AO potentiellement pertinent pour CHRUTH : PRESTATIONS DE SECURITE, GARDIENNAGE ET SURETE DES ARENES DE GRAND PARIS SUD. Zone : 91,77. Budget detecte environ 300 000 EUR. Verifier le lien source avant contact.</t>
        </is>
      </c>
      <c r="BD56"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6"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2026-W30</t>
        </is>
      </c>
    </row>
    <row r="57">
      <c r="A57" t="inlineStr">
        <is>
          <t>BOAMP</t>
        </is>
      </c>
      <c r="B57" t="inlineStr">
        <is>
          <t>26-74661</t>
        </is>
      </c>
      <c r="C57" t="inlineStr">
        <is>
          <t>Services de mise à disposition de personnels temporaires pour le Ccca-Btp</t>
        </is>
      </c>
      <c r="D57" t="inlineStr">
        <is>
          <t>Comité de concertation et de coordination de l'apprentissage du Btp</t>
        </is>
      </c>
      <c r="E57" t="inlineStr">
        <is>
          <t>77568322000104</t>
        </is>
      </c>
      <c r="F57" t="inlineStr">
        <is>
          <t>775683220</t>
        </is>
      </c>
      <c r="G57" t="inlineStr">
        <is>
          <t>cm.pragma9@ccca-btp.fr</t>
        </is>
      </c>
      <c r="H57" t="inlineStr"/>
      <c r="I57" t="inlineStr">
        <is>
          <t>cm.pragma9@ccca-btp.fr</t>
        </is>
      </c>
      <c r="J57" t="inlineStr">
        <is>
          <t>07-24 2026-09</t>
        </is>
      </c>
      <c r="K57" t="inlineStr">
        <is>
          <t>rue du Père Corentin 75014 - PARIS</t>
        </is>
      </c>
      <c r="L57" t="inlineStr">
        <is>
          <t>75014</t>
        </is>
      </c>
      <c r="M57" t="inlineStr">
        <is>
          <t>Paris</t>
        </is>
      </c>
      <c r="N57" t="inlineStr">
        <is>
          <t>75</t>
        </is>
      </c>
      <c r="O57" t="inlineStr"/>
      <c r="P57" t="inlineStr">
        <is>
          <t>Ile-de-France</t>
        </is>
      </c>
      <c r="Q57" s="15" t="n">
        <v>46227</v>
      </c>
      <c r="R57" s="15" t="n">
        <v>46269</v>
      </c>
      <c r="S57" s="14" t="n">
        <v>75014</v>
      </c>
      <c r="T57" t="inlineStr">
        <is>
          <t>BUDGET_SOUS_SEUIL</t>
        </is>
      </c>
      <c r="U57" t="inlineStr">
        <is>
          <t>75014.0</t>
        </is>
      </c>
      <c r="V57" t="inlineStr">
        <is>
          <t>non</t>
        </is>
      </c>
      <c r="W57" t="inlineStr">
        <is>
          <t>Personnel</t>
        </is>
      </c>
      <c r="X57" t="inlineStr">
        <is>
          <t>Autre</t>
        </is>
      </c>
      <c r="Y57" t="inlineStr">
        <is>
          <t>SERVICES</t>
        </is>
      </c>
      <c r="Z57" t="inlineStr">
        <is>
          <t>Procédure Ouverte</t>
        </is>
      </c>
      <c r="AA57" t="inlineStr">
        <is>
          <t>Avis de marché</t>
        </is>
      </c>
      <c r="AB57" t="inlineStr">
        <is>
          <t>Mise à disposition de personnel</t>
        </is>
      </c>
      <c r="AC57" t="inlineStr">
        <is>
          <t>['environnementaux']</t>
        </is>
      </c>
      <c r="AD57" s="11" t="inlineStr">
        <is>
          <t>https://www.boamp.fr/pages/avis/?q=idweb:26-74661</t>
        </is>
      </c>
      <c r="AE57" t="inlineStr">
        <is>
          <t>https://www.marches-publics.info/mpiaws/index.cfm?fuseaction=dematent.login&amp;type=Dce&amp;Idm=1855311</t>
        </is>
      </c>
      <c r="AF57" t="inlineStr">
        <is>
          <t>https://www.marches-publics.info/mpiaws/index.cfm?fuseaction=dematent.login&amp;type=Dce&amp;Idm=1855311</t>
        </is>
      </c>
      <c r="AG57" t="inlineStr"/>
      <c r="AH57" t="inlineStr">
        <is>
          <t>6</t>
        </is>
      </c>
      <c r="AI57" t="inlineStr">
        <is>
          <t>90</t>
        </is>
      </c>
      <c r="AJ57" t="inlineStr">
        <is>
          <t>INFO_PARTIELLE</t>
        </is>
      </c>
      <c r="AK57" t="inlineStr">
        <is>
          <t>30</t>
        </is>
      </c>
      <c r="AL57" s="16" t="inlineStr">
        <is>
          <t>FROID</t>
        </is>
      </c>
      <c r="AM57" t="inlineStr"/>
      <c r="AN57" t="inlineStr"/>
      <c r="AO57" t="inlineStr"/>
      <c r="AP57" t="inlineStr"/>
      <c r="AQ57" t="inlineStr">
        <is>
          <t>IA_CONTROLE_SOURCE</t>
        </is>
      </c>
      <c r="AR57" t="inlineStr">
        <is>
          <t>Verifier rapidement la source avant contact.</t>
        </is>
      </c>
      <c r="AS57" t="inlineStr">
        <is>
          <t>Aucun champ critique manquant</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57" t="inlineStr">
        <is>
          <t>Verifier url_avis et DCE si disponible</t>
        </is>
      </c>
      <c r="AV57" t="inlineStr"/>
      <c r="AW57" t="inlineStr"/>
      <c r="AX57" t="inlineStr"/>
      <c r="AY57" t="inlineStr"/>
      <c r="AZ57" t="inlineStr"/>
      <c r="BA57" t="inlineStr"/>
      <c r="BB57" t="inlineStr">
        <is>
          <t>0 pertinence metier faible | +20 budget annualise &lt;= 100 000 EUR | +10 delai confortable 38j</t>
        </is>
      </c>
      <c r="BC57"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57"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57"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57" t="inlineStr"/>
      <c r="BG57" t="inlineStr"/>
      <c r="BH57" t="inlineStr"/>
      <c r="BI57" t="inlineStr"/>
      <c r="BJ57" t="inlineStr"/>
      <c r="BK57" t="inlineStr"/>
      <c r="BL57" t="inlineStr"/>
      <c r="BM57" t="inlineStr">
        <is>
          <t>2026-W30</t>
        </is>
      </c>
    </row>
    <row r="58">
      <c r="A58" t="inlineStr">
        <is>
          <t>BOAMP</t>
        </is>
      </c>
      <c r="B58" t="inlineStr">
        <is>
          <t>26-78332</t>
        </is>
      </c>
      <c r="C58" t="inlineStr">
        <is>
          <t>ENTRETIEN DES ESPACES VERTS</t>
        </is>
      </c>
      <c r="D58" t="inlineStr">
        <is>
          <t>COMMUNE DE FONTENAY-SOUS-BOIS</t>
        </is>
      </c>
      <c r="E58" t="inlineStr">
        <is>
          <t>21940033000011</t>
        </is>
      </c>
      <c r="F58" t="inlineStr">
        <is>
          <t>219400330</t>
        </is>
      </c>
      <c r="G58" t="inlineStr"/>
      <c r="H58" t="inlineStr"/>
      <c r="I58" t="inlineStr">
        <is>
          <t>achats@fontenay-sous-bois.fr</t>
        </is>
      </c>
      <c r="J58" t="inlineStr">
        <is>
          <t>+33 149747474</t>
        </is>
      </c>
      <c r="K58" t="inlineStr"/>
      <c r="L58" t="inlineStr"/>
      <c r="M58" t="inlineStr"/>
      <c r="N58" t="inlineStr">
        <is>
          <t>94</t>
        </is>
      </c>
      <c r="O58" t="inlineStr"/>
      <c r="P58" t="inlineStr">
        <is>
          <t>Ile-de-France</t>
        </is>
      </c>
      <c r="Q58" s="15" t="n">
        <v>46241</v>
      </c>
      <c r="R58" s="15" t="n">
        <v>46283</v>
      </c>
      <c r="S58" t="inlineStr"/>
      <c r="T58" t="inlineStr">
        <is>
          <t>A_VERIFIER_BUDGET</t>
        </is>
      </c>
      <c r="U58" t="inlineStr"/>
      <c r="V58" t="inlineStr">
        <is>
          <t>non</t>
        </is>
      </c>
      <c r="W58" t="inlineStr">
        <is>
          <t>Personnel</t>
        </is>
      </c>
      <c r="X58" t="inlineStr">
        <is>
          <t>Mairie</t>
        </is>
      </c>
      <c r="Y58" t="inlineStr">
        <is>
          <t>SERVICES</t>
        </is>
      </c>
      <c r="Z58" t="inlineStr">
        <is>
          <t>Procédure Ouverte</t>
        </is>
      </c>
      <c r="AA58" t="inlineStr">
        <is>
          <t>Avis de marché</t>
        </is>
      </c>
      <c r="AB58" t="inlineStr">
        <is>
          <t>Espaces verts</t>
        </is>
      </c>
      <c r="AC58" t="inlineStr"/>
      <c r="AD58" s="11" t="inlineStr">
        <is>
          <t>https://www.boamp.fr/pages/avis/?q=idweb:26-78332</t>
        </is>
      </c>
      <c r="AE58" t="inlineStr">
        <is>
          <t>https://www.fontenay.fr/index.html</t>
        </is>
      </c>
      <c r="AF58" t="inlineStr"/>
      <c r="AG58" t="inlineStr"/>
      <c r="AH58" t="inlineStr">
        <is>
          <t>3</t>
        </is>
      </c>
      <c r="AI58" t="inlineStr">
        <is>
          <t>60</t>
        </is>
      </c>
      <c r="AJ58" t="inlineStr">
        <is>
          <t>INFO_PARTIELLE</t>
        </is>
      </c>
      <c r="AK58" t="inlineStr">
        <is>
          <t>28.5</t>
        </is>
      </c>
      <c r="AL58" s="16" t="inlineStr">
        <is>
          <t>FROID</t>
        </is>
      </c>
      <c r="AM58" t="inlineStr"/>
      <c r="AN58" t="inlineStr"/>
      <c r="AO58" t="inlineStr"/>
      <c r="AP58" t="inlineStr"/>
      <c r="AQ58" t="inlineStr">
        <is>
          <t>IA_BUDGET_A_VERIFIER</t>
        </is>
      </c>
      <c r="AR58" t="inlineStr">
        <is>
          <t>Verifier le budget dans l'avis source ou le DCE avant decision commerciale.</t>
        </is>
      </c>
      <c r="AS58" t="inlineStr">
        <is>
          <t>adresse, ville, budget</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26-78332. Objet: ENTRETIEN DES ESPACES VERTS. Acheteur: COMMUNE DE FONTENAY-SOUS-BOIS. Lien: https://www.boamp.fr/pages/avis/?q=idweb:26-78332.</t>
        </is>
      </c>
      <c r="AU58" t="inlineStr">
        <is>
          <t>Verifier url_avis et DCE si disponible</t>
        </is>
      </c>
      <c r="AV58" t="inlineStr">
        <is>
          <t>LIEN_SEUL</t>
        </is>
      </c>
      <c r="AW58" t="inlineStr"/>
      <c r="AX58" t="inlineStr"/>
      <c r="AY58" t="inlineStr"/>
      <c r="AZ58" t="inlineStr"/>
      <c r="BA58" t="inlineStr"/>
      <c r="BB58" t="inlineStr">
        <is>
          <t>0 pertinence metier faible | +10 budget non affiche (a verifier) | +10 secteur cible Mairie | +7.0 delai 18 j | +1.5 dossier renseigne (3/4)</t>
        </is>
      </c>
      <c r="BC58" t="inlineStr">
        <is>
          <t>COMMUNE DE FONTENAY-SOUS-BOIS publie un AO potentiellement pertinent pour CHRUTH : ENTRETIEN DES ESPACES VERTS. Zone : 94. Budget a verifier. Verifier le lien source avant contact.</t>
        </is>
      </c>
      <c r="BD58"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58"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2026-W32</t>
        </is>
      </c>
    </row>
    <row r="59">
      <c r="A59" t="inlineStr">
        <is>
          <t>BOAMP</t>
        </is>
      </c>
      <c r="B59" t="inlineStr">
        <is>
          <t>26-81749</t>
        </is>
      </c>
      <c r="C59" t="inlineStr">
        <is>
          <t>Blanchissage et nettoyage d'effets de travail et de couchage au profit des organismes soutenus par le GSC IdF - BRD PEM</t>
        </is>
      </c>
      <c r="D59" t="inlineStr">
        <is>
          <t>PFC Paris</t>
        </is>
      </c>
      <c r="E59" t="inlineStr">
        <is>
          <t>13001534000016</t>
        </is>
      </c>
      <c r="F59" t="inlineStr">
        <is>
          <t>130015340</t>
        </is>
      </c>
      <c r="G59" t="inlineStr"/>
      <c r="H59" t="inlineStr"/>
      <c r="I59" t="inlineStr">
        <is>
          <t>pfc-paris-bap.ach.fct@intradef.gouv.fr</t>
        </is>
      </c>
      <c r="J59" t="inlineStr">
        <is>
          <t>0153400001</t>
        </is>
      </c>
      <c r="K59" t="inlineStr"/>
      <c r="L59" t="inlineStr"/>
      <c r="M59" t="inlineStr"/>
      <c r="N59" t="inlineStr">
        <is>
          <t>78,75,94</t>
        </is>
      </c>
      <c r="O59" t="inlineStr"/>
      <c r="P59" t="inlineStr">
        <is>
          <t>Ile-de-France</t>
        </is>
      </c>
      <c r="Q59" s="15" t="n">
        <v>46255</v>
      </c>
      <c r="R59" s="15" t="n">
        <v>46287</v>
      </c>
      <c r="S59" s="14" t="n">
        <v>600000</v>
      </c>
      <c r="T59" t="inlineStr">
        <is>
          <t>BUDGET_EXPLICITE_OK</t>
        </is>
      </c>
      <c r="U59" t="inlineStr">
        <is>
          <t>600000.0</t>
        </is>
      </c>
      <c r="V59" t="inlineStr">
        <is>
          <t>non</t>
        </is>
      </c>
      <c r="W59" t="inlineStr">
        <is>
          <t>Bureaux</t>
        </is>
      </c>
      <c r="X59" t="inlineStr">
        <is>
          <t>Autre</t>
        </is>
      </c>
      <c r="Y59" t="inlineStr">
        <is>
          <t>SERVICES</t>
        </is>
      </c>
      <c r="Z59" t="inlineStr">
        <is>
          <t>Procédure Ouverte</t>
        </is>
      </c>
      <c r="AA59" t="inlineStr">
        <is>
          <t>Avis de marché</t>
        </is>
      </c>
      <c r="AB59" t="inlineStr">
        <is>
          <t>Blanchissage</t>
        </is>
      </c>
      <c r="AC59" t="inlineStr">
        <is>
          <t>['sociaux', 'environnementaux']</t>
        </is>
      </c>
      <c r="AD59" s="11" t="inlineStr">
        <is>
          <t>https://www.boamp.fr/pages/avis/?q=idweb:26-81749</t>
        </is>
      </c>
      <c r="AE59" t="inlineStr">
        <is>
          <t>https://marches-publics.gouv.fr</t>
        </is>
      </c>
      <c r="AF59" t="inlineStr">
        <is>
          <t>https://marches-publics.gouv.fr</t>
        </is>
      </c>
      <c r="AG59" t="inlineStr">
        <is>
          <t>nettoyage</t>
        </is>
      </c>
      <c r="AH59" t="inlineStr">
        <is>
          <t>3</t>
        </is>
      </c>
      <c r="AI59" t="inlineStr">
        <is>
          <t>68</t>
        </is>
      </c>
      <c r="AJ59" t="inlineStr">
        <is>
          <t>INFO_PARTIELLE</t>
        </is>
      </c>
      <c r="AK59" t="inlineStr">
        <is>
          <t>26.8</t>
        </is>
      </c>
      <c r="AL59" s="16" t="inlineStr">
        <is>
          <t>FROID</t>
        </is>
      </c>
      <c r="AM59" t="inlineStr"/>
      <c r="AN59" t="inlineStr"/>
      <c r="AO59" t="inlineStr"/>
      <c r="AP59" t="inlineStr"/>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26-81749. Objet: Blanchissage et nettoyage d'effets de travail et de couchage au profit des organismes soutenus par le GSC IdF - BRD PEM. Acheteur: PFC Paris. Lien: https://www.boamp.fr/pages/avis/?q=idweb:26-81749.</t>
        </is>
      </c>
      <c r="AU59" t="inlineStr">
        <is>
          <t>Verifier url_avis et DCE si disponible</t>
        </is>
      </c>
      <c r="AV59" t="inlineStr"/>
      <c r="AW59" t="inlineStr"/>
      <c r="AX59" t="inlineStr"/>
      <c r="AY59" t="inlineStr"/>
      <c r="AZ59" t="inlineStr"/>
      <c r="BA59" t="inlineStr"/>
      <c r="BB59" t="inlineStr">
        <is>
          <t>+33.5 nettoyage + categorie claire (1 termes) | -16.2 budget annualise 600 000 EUR | +8.0 delai 22 j | +1.5 dossier renseigne (3/4)</t>
        </is>
      </c>
      <c r="BC59" t="inlineStr">
        <is>
          <t>PFC Paris publie un AO potentiellement pertinent pour CHRUTH : Blanchissage et nettoyage d'effets de travail et de couchage au profit des organismes soutenus par le GSC IdF - BRD PEM. Zone : 78,75,94. Budget detecte environ 600 000 EUR. Verifier le lien source avant contact.</t>
        </is>
      </c>
      <c r="BD59" t="inlineStr">
        <is>
          <t>Bonjour,
Je me permets de vous contacter au sujet de votre appel d'offres : Blanchissage et nettoyage d'effets de travail et de couchage au profit des organismes soutenus par le GSC IdF - BRD PEM.
CHRUTH accompagne les structures publiques et privées sur les besoins de nettoyage, d'entretien des locaux et d'organisation de prestations de service.
Serait-il possible d'échanger rapidement afin de vérifier les modalités de réponse et les attentes de PFC Paris ?
Cordialement,</t>
        </is>
      </c>
      <c r="BE59" t="inlineStr">
        <is>
          <t>Bonjour, je vous appelle concernant un appel d'offres publié par PFC Paris. Je souhaite vérifier les informations pratiques : périmètre des prestations, date limite, modalités de visite, contact technique et pièces attendues. Pouvez-vous m'indiquer la bonne personne à contacter ?</t>
        </is>
      </c>
      <c r="BF59" t="inlineStr"/>
      <c r="BG59" t="inlineStr"/>
      <c r="BH59" t="inlineStr"/>
      <c r="BI59" t="inlineStr"/>
      <c r="BJ59" t="inlineStr"/>
      <c r="BK59" t="inlineStr"/>
      <c r="BL59" t="inlineStr"/>
      <c r="BM59" t="inlineStr">
        <is>
          <t>2026-W34</t>
        </is>
      </c>
    </row>
    <row r="60">
      <c r="A60" t="inlineStr">
        <is>
          <t>BOAMP</t>
        </is>
      </c>
      <c r="B60" t="inlineStr">
        <is>
          <t>26-76493</t>
        </is>
      </c>
      <c r="C60" t="inlineStr">
        <is>
          <t>Nettoyage des parties communes, remplacement du personnel d’entretien et prestations de proximité, de continuité d’exploitation et de contrôle qualité du patrimoine de la SEM SOHP</t>
        </is>
      </c>
      <c r="D60" t="inlineStr">
        <is>
          <t>SEM SEINE OUEST HABITAT ET PATRIMOINE</t>
        </is>
      </c>
      <c r="E60" t="inlineStr">
        <is>
          <t>99864030400015</t>
        </is>
      </c>
      <c r="F60" t="inlineStr">
        <is>
          <t>998640304</t>
        </is>
      </c>
      <c r="G60" t="inlineStr"/>
      <c r="H60" t="inlineStr"/>
      <c r="I60" t="inlineStr">
        <is>
          <t>Infos@sohp.fr</t>
        </is>
      </c>
      <c r="J60" t="inlineStr">
        <is>
          <t>0146444190</t>
        </is>
      </c>
      <c r="K60" t="inlineStr"/>
      <c r="L60" t="inlineStr"/>
      <c r="M60" t="inlineStr"/>
      <c r="N60" t="inlineStr">
        <is>
          <t>92</t>
        </is>
      </c>
      <c r="O60" t="inlineStr"/>
      <c r="P60" t="inlineStr">
        <is>
          <t>Ile-de-France</t>
        </is>
      </c>
      <c r="Q60" s="15" t="n">
        <v>46235</v>
      </c>
      <c r="R60" s="15" t="n">
        <v>46297</v>
      </c>
      <c r="S60" s="14" t="n">
        <v>14000000</v>
      </c>
      <c r="T60" t="inlineStr">
        <is>
          <t>BUDGET_EXPLICITE_OK</t>
        </is>
      </c>
      <c r="U60" t="inlineStr">
        <is>
          <t>3500000</t>
        </is>
      </c>
      <c r="V60" t="inlineStr">
        <is>
          <t>oui</t>
        </is>
      </c>
      <c r="W60" t="inlineStr">
        <is>
          <t>Batiments</t>
        </is>
      </c>
      <c r="X60" t="inlineStr">
        <is>
          <t>Autre</t>
        </is>
      </c>
      <c r="Y60" t="inlineStr">
        <is>
          <t>SERVICES</t>
        </is>
      </c>
      <c r="Z60" t="inlineStr">
        <is>
          <t>Procédure Ouverte</t>
        </is>
      </c>
      <c r="AA60" t="inlineStr">
        <is>
          <t>Avis de marché</t>
        </is>
      </c>
      <c r="AB60" t="inlineStr">
        <is>
          <t>Nettoyage de locaux, Prestations de services</t>
        </is>
      </c>
      <c r="AC60" t="inlineStr">
        <is>
          <t>['sociaux', 'environnementaux']</t>
        </is>
      </c>
      <c r="AD60" s="11" t="inlineStr">
        <is>
          <t>https://www.boamp.fr/pages/avis/?q=idweb:26-76493</t>
        </is>
      </c>
      <c r="AE60" t="inlineStr">
        <is>
          <t>http://www.achatpublic.com/sdm/ent/gen/index.jsp</t>
        </is>
      </c>
      <c r="AF60" t="inlineStr">
        <is>
          <t>http://www.achatpublic.com/sdm/ent/gen/index.jsp</t>
        </is>
      </c>
      <c r="AG60" t="inlineStr">
        <is>
          <t>nettoyage</t>
        </is>
      </c>
      <c r="AH60" t="inlineStr">
        <is>
          <t>3</t>
        </is>
      </c>
      <c r="AI60" t="inlineStr">
        <is>
          <t>68</t>
        </is>
      </c>
      <c r="AJ60" t="inlineStr">
        <is>
          <t>INFO_PARTIELLE</t>
        </is>
      </c>
      <c r="AK60" t="inlineStr">
        <is>
          <t>25.0</t>
        </is>
      </c>
      <c r="AL60" s="16" t="inlineStr">
        <is>
          <t>FROID</t>
        </is>
      </c>
      <c r="AM60" t="inlineStr"/>
      <c r="AN60" t="inlineStr"/>
      <c r="AO60" t="inlineStr"/>
      <c r="AP60" t="inlineStr"/>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26-76493. Objet: Nettoyage des parties communes, remplacement du personnel d’entretien et prestations de proximité, de continuité d’exploitation et de contrôle qualité du patrimoine de la SEM SOHP. Acheteur: SEM SEINE OUEST HABITAT ET PATRIMOINE. Lien: https://www.boamp.fr/pages/avis/?q=idweb:26-76493.</t>
        </is>
      </c>
      <c r="AU60" t="inlineStr">
        <is>
          <t>Verifier url_avis et DCE si disponible</t>
        </is>
      </c>
      <c r="AV60" t="inlineStr"/>
      <c r="AW60" t="inlineStr"/>
      <c r="AX60" t="inlineStr"/>
      <c r="AY60" t="inlineStr"/>
      <c r="AZ60" t="inlineStr"/>
      <c r="BA60" t="inlineStr"/>
      <c r="BB60" t="inlineStr">
        <is>
          <t>+33.5 nettoyage + categorie claire (1 termes) | -20.0 budget annualise 3 500 000 EUR | +10.0 delai 32 j | +1.5 dossier renseigne (3/4)</t>
        </is>
      </c>
      <c r="BC60" t="inlineStr">
        <is>
          <t>SEM SEINE OUEST HABITAT ET PATRIMOINE publie un AO potentiellement pertinent pour CHRUTH : Nettoyage des parties communes, remplacement du personnel d’entretien et prestations de proximité, de continuité d’exploitation et de contrôle qualité du patrimoine de la SEM SOHP. Zone : 92. Budget detecte environ 14 000 000 EUR. Verifier le lien source avant contact.</t>
        </is>
      </c>
      <c r="BD60" t="inlineStr">
        <is>
          <t>Bonjour,
Je me permets de vous contacter au sujet de votre appel d'offres : Nettoyage des parties communes, remplacement du personnel d’entretien et prestations de proximité, de continuité d’exploitation et de contrôle qualité du patrimoine de la SEM SOHP.
CHRUTH accompagne les structures publiques et privées sur les besoins de nettoyage, d'entretien des locaux et d'organisation de prestations de service.
Serait-il possible d'échanger rapidement afin de vérifier les modalités de réponse et les attentes de SEM SEINE OUEST HABITAT ET PATRIMOINE ?
Cordialement,</t>
        </is>
      </c>
      <c r="BE60" t="inlineStr">
        <is>
          <t>Bonjour, je vous appelle concernant un appel d'offres publié par SEM SEINE OUEST HABITAT ET PATRIMOINE.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2026-W31</t>
        </is>
      </c>
    </row>
    <row r="61">
      <c r="A61" t="inlineStr">
        <is>
          <t>BOAMP</t>
        </is>
      </c>
      <c r="B61" t="inlineStr">
        <is>
          <t>26-74239</t>
        </is>
      </c>
      <c r="C61" t="inlineStr">
        <is>
          <t>Prestations de nettoyage des loacux et de la vitrerie de la grande chancellerie de la Légion d'honneur et de la maison d'éducation de Saint-Denis</t>
        </is>
      </c>
      <c r="D61" t="inlineStr">
        <is>
          <t>GCLH.</t>
        </is>
      </c>
      <c r="E61" t="inlineStr">
        <is>
          <t>18000001000017</t>
        </is>
      </c>
      <c r="F61" t="inlineStr">
        <is>
          <t>180000010</t>
        </is>
      </c>
      <c r="G61" t="inlineStr"/>
      <c r="H61" t="inlineStr"/>
      <c r="I61" t="inlineStr">
        <is>
          <t>marches@legiondhonneur.fr</t>
        </is>
      </c>
      <c r="J61" t="inlineStr">
        <is>
          <t>0140628348</t>
        </is>
      </c>
      <c r="K61" t="inlineStr"/>
      <c r="L61" t="inlineStr"/>
      <c r="M61" t="inlineStr"/>
      <c r="N61" t="inlineStr">
        <is>
          <t>75,93,78</t>
        </is>
      </c>
      <c r="O61" t="inlineStr"/>
      <c r="P61" t="inlineStr">
        <is>
          <t>Ile-de-France</t>
        </is>
      </c>
      <c r="Q61" s="15" t="n">
        <v>46229</v>
      </c>
      <c r="R61" s="15" t="n">
        <v>46280</v>
      </c>
      <c r="S61" s="14" t="n">
        <v>17750005500013</v>
      </c>
      <c r="T61" t="inlineStr">
        <is>
          <t>BUDGET_EXPLICITE_OK</t>
        </is>
      </c>
      <c r="U61" t="inlineStr">
        <is>
          <t>17750005500013.0</t>
        </is>
      </c>
      <c r="V61" t="inlineStr">
        <is>
          <t>non</t>
        </is>
      </c>
      <c r="W61" t="inlineStr">
        <is>
          <t>Vitres</t>
        </is>
      </c>
      <c r="X61" t="inlineStr">
        <is>
          <t>Autre</t>
        </is>
      </c>
      <c r="Y61" t="inlineStr">
        <is>
          <t>SERVICES</t>
        </is>
      </c>
      <c r="Z61" t="inlineStr">
        <is>
          <t>Procédure Ouverte</t>
        </is>
      </c>
      <c r="AA61" t="inlineStr">
        <is>
          <t>Avis de marché</t>
        </is>
      </c>
      <c r="AB61" t="inlineStr">
        <is>
          <t>Nettoyage de locaux, Vitrerie</t>
        </is>
      </c>
      <c r="AC61" t="inlineStr"/>
      <c r="AD61" s="11" t="inlineStr">
        <is>
          <t>https://www.boamp.fr/pages/avis/?q=idweb:26-74239</t>
        </is>
      </c>
      <c r="AE61" t="inlineStr">
        <is>
          <t>https://www.marches-publics.gouv.fr/entreprise</t>
        </is>
      </c>
      <c r="AF61" t="inlineStr">
        <is>
          <t>https://www.marches-publics.gouv.fr/entreprise</t>
        </is>
      </c>
      <c r="AG61" t="inlineStr">
        <is>
          <t>nettoyage, entretien des locaux</t>
        </is>
      </c>
      <c r="AH61" t="inlineStr">
        <is>
          <t>3</t>
        </is>
      </c>
      <c r="AI61" t="inlineStr">
        <is>
          <t>76</t>
        </is>
      </c>
      <c r="AJ61" t="inlineStr">
        <is>
          <t>INFO_PARTIELLE</t>
        </is>
      </c>
      <c r="AK61" t="inlineStr">
        <is>
          <t>25</t>
        </is>
      </c>
      <c r="AL61" s="16" t="inlineStr">
        <is>
          <t>FROID</t>
        </is>
      </c>
      <c r="AM61" t="inlineStr"/>
      <c r="AN61" t="inlineStr"/>
      <c r="AO61" t="inlineStr"/>
      <c r="AP61" t="inlineStr"/>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61" t="inlineStr">
        <is>
          <t>Verifier url_avis et DCE si disponible</t>
        </is>
      </c>
      <c r="AV61" t="inlineStr"/>
      <c r="AW61" t="inlineStr"/>
      <c r="AX61" t="inlineStr"/>
      <c r="AY61" t="inlineStr"/>
      <c r="AZ61" t="inlineStr"/>
      <c r="BA61" t="inlineStr"/>
      <c r="BB61" t="inlineStr">
        <is>
          <t>+35 nettoyage + categorie claire | -20 gros budget (&gt; 500 000 EUR) | +10 delai confortable 49j</t>
        </is>
      </c>
      <c r="BC61"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61"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61"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61" t="inlineStr"/>
      <c r="BG61" t="inlineStr"/>
      <c r="BH61" t="inlineStr"/>
      <c r="BI61" t="inlineStr"/>
      <c r="BJ61" t="inlineStr"/>
      <c r="BK61" t="inlineStr"/>
      <c r="BL61" t="inlineStr"/>
      <c r="BM61" t="inlineStr">
        <is>
          <t>2026-W30</t>
        </is>
      </c>
    </row>
    <row r="62">
      <c r="A62" t="inlineStr">
        <is>
          <t>BOAMP</t>
        </is>
      </c>
      <c r="B62" t="inlineStr">
        <is>
          <t>26-73266</t>
        </is>
      </c>
      <c r="C62" t="inlineStr">
        <is>
          <t>PRESTATIONS DE NETTOYAGE DES SITES DE L'ENFANCE</t>
        </is>
      </c>
      <c r="D62" t="inlineStr">
        <is>
          <t>Département du Val-de-Marne</t>
        </is>
      </c>
      <c r="E62" t="inlineStr">
        <is>
          <t>22940028800010</t>
        </is>
      </c>
      <c r="F62" t="inlineStr">
        <is>
          <t>229400288</t>
        </is>
      </c>
      <c r="G62" t="inlineStr"/>
      <c r="H62" t="inlineStr"/>
      <c r="I62" t="inlineStr">
        <is>
          <t>dl@valdemarne.fr</t>
        </is>
      </c>
      <c r="J62" t="inlineStr">
        <is>
          <t>0704900017</t>
        </is>
      </c>
      <c r="K62" t="inlineStr"/>
      <c r="L62" t="inlineStr"/>
      <c r="M62" t="inlineStr"/>
      <c r="N62" t="inlineStr">
        <is>
          <t>94</t>
        </is>
      </c>
      <c r="O62" t="inlineStr"/>
      <c r="P62" t="inlineStr">
        <is>
          <t>Ile-de-France</t>
        </is>
      </c>
      <c r="Q62" s="15" t="n">
        <v>46227</v>
      </c>
      <c r="R62" s="15" t="n">
        <v>46289</v>
      </c>
      <c r="S62" s="14" t="n">
        <v>15520000</v>
      </c>
      <c r="T62" t="inlineStr">
        <is>
          <t>BUDGET_EXPLICITE_OK</t>
        </is>
      </c>
      <c r="U62" t="inlineStr">
        <is>
          <t>93120000</t>
        </is>
      </c>
      <c r="V62" t="inlineStr">
        <is>
          <t>oui</t>
        </is>
      </c>
      <c r="W62" t="inlineStr">
        <is>
          <t>Batiments</t>
        </is>
      </c>
      <c r="X62" t="inlineStr">
        <is>
          <t>Autre</t>
        </is>
      </c>
      <c r="Y62" t="inlineStr">
        <is>
          <t>SERVICES</t>
        </is>
      </c>
      <c r="Z62" t="inlineStr">
        <is>
          <t>Procédure Ouverte</t>
        </is>
      </c>
      <c r="AA62" t="inlineStr">
        <is>
          <t>Avis de marché</t>
        </is>
      </c>
      <c r="AB62" t="inlineStr">
        <is>
          <t>Nettoyage de locaux</t>
        </is>
      </c>
      <c r="AC62" t="inlineStr">
        <is>
          <t>['sociaux', 'environnementaux']</t>
        </is>
      </c>
      <c r="AD62" s="11" t="inlineStr">
        <is>
          <t>https://www.boamp.fr/pages/avis/?q=idweb:26-73266</t>
        </is>
      </c>
      <c r="AE62" t="inlineStr">
        <is>
          <t>http://www.maximilien.fr</t>
        </is>
      </c>
      <c r="AF62" t="inlineStr">
        <is>
          <t>http://www.maximilien.fr</t>
        </is>
      </c>
      <c r="AG62" t="inlineStr">
        <is>
          <t>nettoyage, proprete, proprete des locaux</t>
        </is>
      </c>
      <c r="AH62" t="inlineStr">
        <is>
          <t>3</t>
        </is>
      </c>
      <c r="AI62" t="inlineStr">
        <is>
          <t>80</t>
        </is>
      </c>
      <c r="AJ62" t="inlineStr">
        <is>
          <t>INFO_PARTIELLE</t>
        </is>
      </c>
      <c r="AK62" t="inlineStr">
        <is>
          <t>25</t>
        </is>
      </c>
      <c r="AL62" s="16" t="inlineStr">
        <is>
          <t>FROID</t>
        </is>
      </c>
      <c r="AM62" t="inlineStr"/>
      <c r="AN62" t="inlineStr"/>
      <c r="AO62" t="inlineStr"/>
      <c r="AP62" t="inlineStr"/>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62" t="inlineStr">
        <is>
          <t>Verifier url_avis et DCE si disponible</t>
        </is>
      </c>
      <c r="AV62" t="inlineStr"/>
      <c r="AW62" t="inlineStr"/>
      <c r="AX62" t="inlineStr"/>
      <c r="AY62" t="inlineStr"/>
      <c r="AZ62" t="inlineStr"/>
      <c r="BA62" t="inlineStr"/>
      <c r="BB62" t="inlineStr">
        <is>
          <t>+35 nettoyage + categorie claire | -20 gros budget (&gt; 500 000 EUR) | +10 delai confortable 58j</t>
        </is>
      </c>
      <c r="BC62" t="inlineStr">
        <is>
          <t>Département du Val-de-Marne publie un AO potentiellement pertinent pour CHRUTH : PRESTATIONS DE NETTOYAGE DES SITES DE L'ENFANCE. Zone : 94. Budget detecte environ 15 520 000 EUR. Verifier le lien source avant contact.</t>
        </is>
      </c>
      <c r="BD62"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62"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62" t="inlineStr"/>
      <c r="BG62" t="inlineStr"/>
      <c r="BH62" t="inlineStr"/>
      <c r="BI62" t="inlineStr"/>
      <c r="BJ62" t="inlineStr"/>
      <c r="BK62" t="inlineStr"/>
      <c r="BL62" t="inlineStr"/>
      <c r="BM62" t="inlineStr">
        <is>
          <t>2026-W30</t>
        </is>
      </c>
    </row>
    <row r="63">
      <c r="A63" t="inlineStr">
        <is>
          <t>BOAMP</t>
        </is>
      </c>
      <c r="B63" t="inlineStr">
        <is>
          <t>26-70752</t>
        </is>
      </c>
      <c r="C63" t="inlineStr">
        <is>
          <t>Nettoyage des locaux et de la vitrerie des bâtiments intercommunaux de l'agglomération Roissy Pays de France</t>
        </is>
      </c>
      <c r="D63" t="inlineStr">
        <is>
          <t>Agglomération Roissy Pays de France</t>
        </is>
      </c>
      <c r="E63" t="inlineStr"/>
      <c r="F63" t="inlineStr"/>
      <c r="G63" t="inlineStr"/>
      <c r="H63" t="inlineStr"/>
      <c r="I63" t="inlineStr">
        <is>
          <t>publications-joue@aws-france.com</t>
        </is>
      </c>
      <c r="J63" t="inlineStr">
        <is>
          <t>+33480041260</t>
        </is>
      </c>
      <c r="K63" t="inlineStr"/>
      <c r="L63" t="inlineStr"/>
      <c r="M63" t="inlineStr"/>
      <c r="N63" t="inlineStr">
        <is>
          <t>95</t>
        </is>
      </c>
      <c r="O63" t="inlineStr"/>
      <c r="P63" t="inlineStr">
        <is>
          <t>Ile-de-France</t>
        </is>
      </c>
      <c r="Q63" s="15" t="n">
        <v>46220</v>
      </c>
      <c r="R63" s="15" t="n">
        <v>46280</v>
      </c>
      <c r="S63" s="14" t="n">
        <v>4000000</v>
      </c>
      <c r="T63" t="inlineStr">
        <is>
          <t>BUDGET_EXPLICITE_OK</t>
        </is>
      </c>
      <c r="U63" t="inlineStr">
        <is>
          <t>1333333</t>
        </is>
      </c>
      <c r="V63" t="inlineStr">
        <is>
          <t>oui</t>
        </is>
      </c>
      <c r="W63" t="inlineStr">
        <is>
          <t>Vitres</t>
        </is>
      </c>
      <c r="X63" t="inlineStr">
        <is>
          <t>Autre</t>
        </is>
      </c>
      <c r="Y63" t="inlineStr">
        <is>
          <t>SERVICES</t>
        </is>
      </c>
      <c r="Z63" t="inlineStr">
        <is>
          <t>Procédure Ouverte</t>
        </is>
      </c>
      <c r="AA63" t="inlineStr">
        <is>
          <t>Avis de marché</t>
        </is>
      </c>
      <c r="AB63" t="inlineStr">
        <is>
          <t>Nettoyage de locaux, Vitrerie</t>
        </is>
      </c>
      <c r="AC63" t="inlineStr">
        <is>
          <t>['sociaux', 'environnementaux']</t>
        </is>
      </c>
      <c r="AD63" s="11" t="inlineStr">
        <is>
          <t>https://www.boamp.fr/pages/avis/?q=idweb:26-70752</t>
        </is>
      </c>
      <c r="AE63" t="inlineStr">
        <is>
          <t>https://www.marches-publics.info/mpiaws/index.cfm?fuseaction=dematEnt.login&amp;amp;type=DCE&amp;amp;IDM=1850945</t>
        </is>
      </c>
      <c r="AF63" t="inlineStr">
        <is>
          <t>https://www.marches-publics.info/mpiaws/index.cfm?fuseaction=dematEnt.login&amp;amp;type=DCE&amp;amp;IDM=1850945</t>
        </is>
      </c>
      <c r="AG63" t="inlineStr">
        <is>
          <t>nettoyage</t>
        </is>
      </c>
      <c r="AH63" t="inlineStr">
        <is>
          <t>2</t>
        </is>
      </c>
      <c r="AI63" t="inlineStr">
        <is>
          <t>58</t>
        </is>
      </c>
      <c r="AJ63" t="inlineStr">
        <is>
          <t>INFO_PARTIELLE</t>
        </is>
      </c>
      <c r="AK63" t="inlineStr">
        <is>
          <t>25</t>
        </is>
      </c>
      <c r="AL63" s="16" t="inlineStr">
        <is>
          <t>FROID</t>
        </is>
      </c>
      <c r="AM63" t="inlineStr"/>
      <c r="AN63" t="inlineStr"/>
      <c r="AO63" t="inlineStr"/>
      <c r="AP63" t="inlineStr"/>
      <c r="AQ63" t="inlineStr">
        <is>
          <t>IA_CONTACT_A_COMPLETER</t>
        </is>
      </c>
      <c r="AR63" t="inlineStr">
        <is>
          <t>Completer les champs manquants depuis l'avis source, le site acheteur ou le DCE.</t>
        </is>
      </c>
      <c r="AS63" t="inlineStr">
        <is>
          <t>SIRET, adresse, ville</t>
        </is>
      </c>
      <c r="AT6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63" t="inlineStr">
        <is>
          <t>Verifier url_avis et DCE si disponible</t>
        </is>
      </c>
      <c r="AV63" t="inlineStr"/>
      <c r="AW63" t="inlineStr"/>
      <c r="AX63" t="inlineStr"/>
      <c r="AY63" t="inlineStr"/>
      <c r="AZ63" t="inlineStr"/>
      <c r="BA63" t="inlineStr"/>
      <c r="BB63" t="inlineStr">
        <is>
          <t>+35 nettoyage + categorie claire | -20 gros budget (&gt; 500 000 EUR) | +10 delai confortable 49j</t>
        </is>
      </c>
      <c r="BC63"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63"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63"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63" t="inlineStr"/>
      <c r="BG63" t="inlineStr"/>
      <c r="BH63" t="inlineStr"/>
      <c r="BI63" t="inlineStr"/>
      <c r="BJ63" t="inlineStr"/>
      <c r="BK63" t="inlineStr"/>
      <c r="BL63" t="inlineStr"/>
      <c r="BM63" t="inlineStr">
        <is>
          <t>2026-W29</t>
        </is>
      </c>
    </row>
    <row r="64">
      <c r="A64" t="inlineStr">
        <is>
          <t>BOAMP</t>
        </is>
      </c>
      <c r="B64" t="inlineStr">
        <is>
          <t>26-80530</t>
        </is>
      </c>
      <c r="C64" t="inlineStr">
        <is>
          <t>Acquisition et maintenance de soudeuses de tubulures, mobiles, mono-têtes et multi-têtes compatibles PVC et/ou EVA</t>
        </is>
      </c>
      <c r="D64" t="inlineStr">
        <is>
          <t>Etablissement français du sang</t>
        </is>
      </c>
      <c r="E64" t="inlineStr">
        <is>
          <t>42882285202140</t>
        </is>
      </c>
      <c r="F64" t="inlineStr">
        <is>
          <t>428822852</t>
        </is>
      </c>
      <c r="G64" t="inlineStr"/>
      <c r="H64" t="inlineStr"/>
      <c r="I64" t="inlineStr">
        <is>
          <t>Stde.marches.publics@efs.sante.fr</t>
        </is>
      </c>
      <c r="J64" t="inlineStr">
        <is>
          <t>0155939500</t>
        </is>
      </c>
      <c r="K64" t="inlineStr"/>
      <c r="L64" t="inlineStr"/>
      <c r="M64" t="inlineStr"/>
      <c r="N64" t="inlineStr">
        <is>
          <t>93</t>
        </is>
      </c>
      <c r="O64" t="inlineStr"/>
      <c r="P64" t="inlineStr">
        <is>
          <t>Ile-de-France</t>
        </is>
      </c>
      <c r="Q64" s="15" t="n">
        <v>46250</v>
      </c>
      <c r="R64" s="15" t="n">
        <v>46288</v>
      </c>
      <c r="S64" s="14" t="n">
        <v>1500000</v>
      </c>
      <c r="T64" t="inlineStr">
        <is>
          <t>BUDGET_EXPLICITE_OK</t>
        </is>
      </c>
      <c r="U64" t="inlineStr">
        <is>
          <t>3000000</t>
        </is>
      </c>
      <c r="V64" t="inlineStr">
        <is>
          <t>oui</t>
        </is>
      </c>
      <c r="W64" t="inlineStr">
        <is>
          <t>Batiments</t>
        </is>
      </c>
      <c r="X64" t="inlineStr">
        <is>
          <t>Autre</t>
        </is>
      </c>
      <c r="Y64" t="inlineStr">
        <is>
          <t>FOURNITURES</t>
        </is>
      </c>
      <c r="Z64" t="inlineStr">
        <is>
          <t>Procédure Ouverte</t>
        </is>
      </c>
      <c r="AA64" t="inlineStr">
        <is>
          <t>Avis de marché</t>
        </is>
      </c>
      <c r="AB64" t="inlineStr">
        <is>
          <t>Matériel médical</t>
        </is>
      </c>
      <c r="AC64" t="inlineStr">
        <is>
          <t>['environnementaux']</t>
        </is>
      </c>
      <c r="AD64" s="11" t="inlineStr">
        <is>
          <t>https://www.boamp.fr/pages/avis/?q=idweb:26-80530</t>
        </is>
      </c>
      <c r="AE64" t="inlineStr">
        <is>
          <t>https://www.marches-publics.gouv.fr/</t>
        </is>
      </c>
      <c r="AF64" t="inlineStr">
        <is>
          <t>https://www.marches-publics.gouv.fr/</t>
        </is>
      </c>
      <c r="AG64" t="inlineStr">
        <is>
          <t>nettoyage</t>
        </is>
      </c>
      <c r="AH64" t="inlineStr">
        <is>
          <t>3</t>
        </is>
      </c>
      <c r="AI64" t="inlineStr">
        <is>
          <t>68</t>
        </is>
      </c>
      <c r="AJ64" t="inlineStr">
        <is>
          <t>INFO_PARTIELLE</t>
        </is>
      </c>
      <c r="AK64" t="inlineStr">
        <is>
          <t>23.2</t>
        </is>
      </c>
      <c r="AL64" s="16" t="inlineStr">
        <is>
          <t>FROID</t>
        </is>
      </c>
      <c r="AM64" t="inlineStr"/>
      <c r="AN64" t="inlineStr"/>
      <c r="AO64" t="inlineStr"/>
      <c r="AP64" t="inlineStr"/>
      <c r="AQ64" t="inlineStr">
        <is>
          <t>IA_CONTACT_A_COMPLETER</t>
        </is>
      </c>
      <c r="AR64" t="inlineStr">
        <is>
          <t>Completer les champs manquants depuis l'avis source, le site acheteur ou le DCE.</t>
        </is>
      </c>
      <c r="AS64" t="inlineStr">
        <is>
          <t>adresse, ville</t>
        </is>
      </c>
      <c r="AT6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26-80530. Objet: Acquisition et maintenance de soudeuses de tubulures, mobiles, mono-têtes et multi-têtes compatibles PVC et/ou EVA. Acheteur: Etablissement français du sang. Lien: https://www.boamp.fr/pages/avis/?q=idweb:26-80530.</t>
        </is>
      </c>
      <c r="AU64" t="inlineStr">
        <is>
          <t>Verifier url_avis et DCE si disponible</t>
        </is>
      </c>
      <c r="AV64" t="inlineStr"/>
      <c r="AW64" t="inlineStr"/>
      <c r="AX64" t="inlineStr"/>
      <c r="AY64" t="inlineStr"/>
      <c r="AZ64" t="inlineStr"/>
      <c r="BA64" t="inlineStr"/>
      <c r="BB64" t="inlineStr">
        <is>
          <t>+33.5 nettoyage + categorie claire (1 termes) | -20.0 budget annualise 3 000 000 EUR | +8.2 delai 23 j | +1.5 dossier renseigne (3/4)</t>
        </is>
      </c>
      <c r="BC64" t="inlineStr">
        <is>
          <t>Etablissement français du sang publie un AO potentiellement pertinent pour CHRUTH : Acquisition et maintenance de soudeuses de tubulures, mobiles, mono-têtes et multi-têtes compatibles PVC et/ou EVA. Zone : 93. Budget detecte environ 1 500 000 EUR. Verifier le lien source avant contact.</t>
        </is>
      </c>
      <c r="BD64" t="inlineStr">
        <is>
          <t>Bonjour,
Je me permets de vous contacter au sujet de votre appel d'offres : Acquisition et maintenance de soudeuses de tubulures, mobiles, mono-têtes et multi-têtes compatibles PVC et/ou EVA.
CHRUTH accompagne les structures publiques et privées sur les besoins de nettoyage, d'entretien des locaux et d'organisation de prestations de service.
Serait-il possible d'échanger rapidement afin de vérifier les modalités de réponse et les attentes de Etablissement français du sang ?
Cordialement,</t>
        </is>
      </c>
      <c r="BE64" t="inlineStr">
        <is>
          <t>Bonjour, je vous appelle concernant un appel d'offres publié par Etablissement français du sang. Je souhaite vérifier les informations pratiques : périmètre des prestations, date limite, modalités de visite, contact technique et pièces attendues. Pouvez-vous m'indiquer la bonne personne à contacter ?</t>
        </is>
      </c>
      <c r="BF64" t="inlineStr"/>
      <c r="BG64" t="inlineStr"/>
      <c r="BH64" t="inlineStr"/>
      <c r="BI64" t="inlineStr"/>
      <c r="BJ64" t="inlineStr"/>
      <c r="BK64" t="inlineStr"/>
      <c r="BL64" t="inlineStr"/>
      <c r="BM64" t="inlineStr">
        <is>
          <t>2026-W33</t>
        </is>
      </c>
    </row>
    <row r="65">
      <c r="A65" t="inlineStr">
        <is>
          <t>BOAMP</t>
        </is>
      </c>
      <c r="B65" t="inlineStr">
        <is>
          <t>26-79741</t>
        </is>
      </c>
      <c r="C65" t="inlineStr">
        <is>
          <t>Le présent marché a pour objet la réalisation des prestations de bionettoyage, de nettoyage, ainsi que de la collecte interne des déchets et de la collecte interne du linge.</t>
        </is>
      </c>
      <c r="D65" t="inlineStr">
        <is>
          <t>GHU APHP Université Paris Saclay.</t>
        </is>
      </c>
      <c r="E65" t="inlineStr">
        <is>
          <t>26750045201928</t>
        </is>
      </c>
      <c r="F65" t="inlineStr">
        <is>
          <t>267500452</t>
        </is>
      </c>
      <c r="G65" t="inlineStr"/>
      <c r="H65" t="inlineStr"/>
      <c r="I65" t="inlineStr">
        <is>
          <t>chrisanderson.bakoumassensikou@aphp.fr</t>
        </is>
      </c>
      <c r="J65" t="inlineStr">
        <is>
          <t>0145212163</t>
        </is>
      </c>
      <c r="K65" t="inlineStr"/>
      <c r="L65" t="inlineStr"/>
      <c r="M65" t="inlineStr"/>
      <c r="N65" t="inlineStr">
        <is>
          <t>75,77,78,89,91,92,93,94,95</t>
        </is>
      </c>
      <c r="O65" t="inlineStr"/>
      <c r="P65" t="inlineStr">
        <is>
          <t>Ile-de-France</t>
        </is>
      </c>
      <c r="Q65" s="15" t="n">
        <v>46246</v>
      </c>
      <c r="R65" s="15" t="n">
        <v>46286</v>
      </c>
      <c r="S65" s="14" t="n">
        <v>12000000</v>
      </c>
      <c r="T65" t="inlineStr">
        <is>
          <t>BUDGET_EXPLICITE_OK</t>
        </is>
      </c>
      <c r="U65" t="inlineStr">
        <is>
          <t>12000000.0</t>
        </is>
      </c>
      <c r="V65" t="inlineStr">
        <is>
          <t>non</t>
        </is>
      </c>
      <c r="W65" t="inlineStr">
        <is>
          <t>Batiments</t>
        </is>
      </c>
      <c r="X65" t="inlineStr">
        <is>
          <t>Autre</t>
        </is>
      </c>
      <c r="Y65" t="inlineStr">
        <is>
          <t>SERVICES</t>
        </is>
      </c>
      <c r="Z65" t="inlineStr">
        <is>
          <t>Procédure Ouverte</t>
        </is>
      </c>
      <c r="AA65" t="inlineStr">
        <is>
          <t>Avis de marché</t>
        </is>
      </c>
      <c r="AB65" t="inlineStr">
        <is>
          <t>Déchets non ménagers (prestations), Nettoyage de locaux</t>
        </is>
      </c>
      <c r="AC65" t="inlineStr">
        <is>
          <t>['environnementaux']</t>
        </is>
      </c>
      <c r="AD65" s="11" t="inlineStr">
        <is>
          <t>https://www.boamp.fr/pages/avis/?q=idweb:26-79741</t>
        </is>
      </c>
      <c r="AE65" t="inlineStr">
        <is>
          <t>https://www.marches-publics.gouv.fr/?page=Entreprise.EntrepriseAdvancedSearch&amp;AllCons&amp;id=3053094&amp;orgAcronyme=x7c</t>
        </is>
      </c>
      <c r="AF65" t="inlineStr">
        <is>
          <t>https://www.marches-publics.gouv.fr/?page=Entreprise.EntrepriseAdvancedSearch&amp;AllCons&amp;id=3053094&amp;orgAcronyme=x7c</t>
        </is>
      </c>
      <c r="AG65" t="inlineStr">
        <is>
          <t>nettoyage, bionettoyage</t>
        </is>
      </c>
      <c r="AH65" t="inlineStr">
        <is>
          <t>3</t>
        </is>
      </c>
      <c r="AI65" t="inlineStr">
        <is>
          <t>76</t>
        </is>
      </c>
      <c r="AJ65" t="inlineStr">
        <is>
          <t>INFO_PARTIELLE</t>
        </is>
      </c>
      <c r="AK65" t="inlineStr">
        <is>
          <t>23.2</t>
        </is>
      </c>
      <c r="AL65" s="16" t="inlineStr">
        <is>
          <t>FROID</t>
        </is>
      </c>
      <c r="AM65" t="inlineStr"/>
      <c r="AN65" t="inlineStr"/>
      <c r="AO65" t="inlineStr"/>
      <c r="AP65" t="inlineStr"/>
      <c r="AQ65" t="inlineStr">
        <is>
          <t>IA_CONTACT_A_COMPLETER</t>
        </is>
      </c>
      <c r="AR65" t="inlineStr">
        <is>
          <t>Completer les champs manquants depuis l'avis source, le site acheteur ou le DCE.</t>
        </is>
      </c>
      <c r="AS65" t="inlineStr">
        <is>
          <t>adresse, ville</t>
        </is>
      </c>
      <c r="AT6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26-79741. Objet: Le présent marché a pour objet la réalisation des prestations de bionettoyage, de nettoyage, ainsi que de la collecte interne des déchets et de la collecte interne du linge.. Acheteur: GHU APHP Université Paris Saclay.. Lien: https://www.boamp.fr/pages/avis/?q=idweb:26-79741.</t>
        </is>
      </c>
      <c r="AU65" t="inlineStr">
        <is>
          <t>Verifier url_avis et DCE si disponible</t>
        </is>
      </c>
      <c r="AV65" t="inlineStr"/>
      <c r="AW65" t="inlineStr"/>
      <c r="AX65" t="inlineStr"/>
      <c r="AY65" t="inlineStr"/>
      <c r="AZ65" t="inlineStr"/>
      <c r="BA65" t="inlineStr"/>
      <c r="BB65" t="inlineStr">
        <is>
          <t>+34.0 nettoyage + categorie claire (2 termes) | -20.0 budget annualise 12 000 000 EUR | +7.8 delai 21 j | +1.5 dossier renseigne (3/4)</t>
        </is>
      </c>
      <c r="BC65" t="inlineStr">
        <is>
          <t>GHU APHP Université Paris Saclay. publie un AO potentiellement pertinent pour CHRUTH : Le présent marché a pour objet la réalisation des prestations de bionettoyage, de nettoyage, ainsi que de la collecte interne des déchets et de la collecte interne du linge.. Zone : 75,77,78,89,91,92,93,94,95. Budget detecte environ 12 000 000 EUR. Verifier le lien source avant contact.</t>
        </is>
      </c>
      <c r="BD65" t="inlineStr">
        <is>
          <t>Bonjour,
Je me permets de vous contacter au sujet de votre appel d'offres : Le présent marché a pour objet la réalisation des prestations de bionettoyage, de nettoyage, ainsi que de la collecte interne des déchets et de la collecte interne du linge..
CHRUTH accompagne les structures publiques et privées sur les besoins de nettoyage, d'entretien des locaux et d'organisation de prestations de service.
Serait-il possible d'échanger rapidement afin de vérifier les modalités de réponse et les attentes de GHU APHP Université Paris Saclay. ?
Cordialement,</t>
        </is>
      </c>
      <c r="BE65" t="inlineStr">
        <is>
          <t>Bonjour, je vous appelle concernant un appel d'offres publié par GHU APHP Université Paris Saclay.. Je souhaite vérifier les informations pratiques : périmètre des prestations, date limite, modalités de visite, contact technique et pièces attendues. Pouvez-vous m'indiquer la bonne personne à contacter ?</t>
        </is>
      </c>
      <c r="BF65" t="inlineStr"/>
      <c r="BG65" t="inlineStr"/>
      <c r="BH65" t="inlineStr"/>
      <c r="BI65" t="inlineStr"/>
      <c r="BJ65" t="inlineStr"/>
      <c r="BK65" t="inlineStr"/>
      <c r="BL65" t="inlineStr"/>
      <c r="BM65" t="inlineStr">
        <is>
          <t>2026-W33</t>
        </is>
      </c>
    </row>
    <row r="66">
      <c r="A66" t="inlineStr">
        <is>
          <t>BOAMP</t>
        </is>
      </c>
      <c r="B66" t="inlineStr">
        <is>
          <t>26-79241</t>
        </is>
      </c>
      <c r="C66" t="inlineStr">
        <is>
          <t>Prestations de suppléance dans les collèges publics du département de Seine-et-Marne via l’insertion par l’activité économique</t>
        </is>
      </c>
      <c r="D66" t="inlineStr">
        <is>
          <t>Département de Seine-et-Marne</t>
        </is>
      </c>
      <c r="E66" t="inlineStr">
        <is>
          <t>22770001000019</t>
        </is>
      </c>
      <c r="F66" t="inlineStr">
        <is>
          <t>227700010</t>
        </is>
      </c>
      <c r="G66" t="inlineStr"/>
      <c r="H66" t="inlineStr"/>
      <c r="I66" t="inlineStr">
        <is>
          <t>youblehoue.zionto@departement77.fr</t>
        </is>
      </c>
      <c r="J66" t="inlineStr">
        <is>
          <t>+33 164147467</t>
        </is>
      </c>
      <c r="K66" t="inlineStr"/>
      <c r="L66" t="inlineStr"/>
      <c r="M66" t="inlineStr"/>
      <c r="N66" t="inlineStr">
        <is>
          <t>77</t>
        </is>
      </c>
      <c r="O66" t="inlineStr"/>
      <c r="P66" t="inlineStr">
        <is>
          <t>Ile-de-France</t>
        </is>
      </c>
      <c r="Q66" s="15" t="n">
        <v>46243</v>
      </c>
      <c r="R66" s="15" t="n">
        <v>46290</v>
      </c>
      <c r="S66" t="inlineStr"/>
      <c r="T66" t="inlineStr">
        <is>
          <t>A_VERIFIER_BUDGET</t>
        </is>
      </c>
      <c r="U66" t="inlineStr"/>
      <c r="V66" t="inlineStr">
        <is>
          <t>non</t>
        </is>
      </c>
      <c r="W66" t="inlineStr">
        <is>
          <t>Personnel</t>
        </is>
      </c>
      <c r="X66" t="inlineStr">
        <is>
          <t>Autre</t>
        </is>
      </c>
      <c r="Y66" t="inlineStr">
        <is>
          <t>SERVICES</t>
        </is>
      </c>
      <c r="Z66" t="inlineStr">
        <is>
          <t>Procédure Ouverte</t>
        </is>
      </c>
      <c r="AA66" t="inlineStr">
        <is>
          <t>Avis de marché</t>
        </is>
      </c>
      <c r="AB66" t="inlineStr">
        <is>
          <t>Mise à disposition de personnel</t>
        </is>
      </c>
      <c r="AC66" t="inlineStr"/>
      <c r="AD66" s="11" t="inlineStr">
        <is>
          <t>https://www.boamp.fr/pages/avis/?q=idweb:26-79241</t>
        </is>
      </c>
      <c r="AE66" t="inlineStr">
        <is>
          <t>https://marches.maximilien.fr/entreprise/consultation/944928?orgAcronyme=g3h</t>
        </is>
      </c>
      <c r="AF66" t="inlineStr">
        <is>
          <t>https://marches.maximilien.fr/entreprise/consultation/944928?orgAcronyme=g3h</t>
        </is>
      </c>
      <c r="AG66" t="inlineStr"/>
      <c r="AH66" t="inlineStr">
        <is>
          <t>3</t>
        </is>
      </c>
      <c r="AI66" t="inlineStr">
        <is>
          <t>60</t>
        </is>
      </c>
      <c r="AJ66" t="inlineStr">
        <is>
          <t>INFO_PARTIELLE</t>
        </is>
      </c>
      <c r="AK66" t="inlineStr">
        <is>
          <t>20.2</t>
        </is>
      </c>
      <c r="AL66" s="16" t="inlineStr">
        <is>
          <t>FROID</t>
        </is>
      </c>
      <c r="AM66" t="inlineStr"/>
      <c r="AN66" t="inlineStr"/>
      <c r="AO66" t="inlineStr"/>
      <c r="AP66" t="inlineStr"/>
      <c r="AQ66" t="inlineStr">
        <is>
          <t>IA_BUDGET_A_VERIFIER</t>
        </is>
      </c>
      <c r="AR66" t="inlineStr">
        <is>
          <t>Verifier le budget dans l'avis source ou le DCE avant decision commerciale.</t>
        </is>
      </c>
      <c r="AS66" t="inlineStr">
        <is>
          <t>adresse, ville, budget</t>
        </is>
      </c>
      <c r="AT6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26-79241. Objet: Prestations de suppléance dans les collèges publics du département de Seine-et-Marne via l’insertion par l’activité économique. Acheteur: Département de Seine-et-Marne. Lien: https://www.boamp.fr/pages/avis/?q=idweb:26-79241.</t>
        </is>
      </c>
      <c r="AU66" t="inlineStr">
        <is>
          <t>Verifier url_avis et DCE si disponible</t>
        </is>
      </c>
      <c r="AV66" t="inlineStr">
        <is>
          <t>LIEN_SEUL</t>
        </is>
      </c>
      <c r="AW66" t="inlineStr"/>
      <c r="AX66" t="inlineStr"/>
      <c r="AY66" t="inlineStr"/>
      <c r="AZ66" t="inlineStr"/>
      <c r="BA66" t="inlineStr"/>
      <c r="BB66" t="inlineStr">
        <is>
          <t>0 pertinence metier faible | +10 budget non affiche (a verifier) | +8.8 delai 25 j | +1.5 dossier renseigne (3/4)</t>
        </is>
      </c>
      <c r="BC66" t="inlineStr">
        <is>
          <t>Département de Seine-et-Marne publie un AO potentiellement pertinent pour CHRUTH : Prestations de suppléance dans les collèges publics du département de Seine-et-Marne via l’insertion par l’activité économique. Zone : 77. Budget a verifier. Verifier le lien source avant contact.</t>
        </is>
      </c>
      <c r="BD66" t="inlineStr">
        <is>
          <t>Bonjour,
Je me permets de vous contacter au sujet de votre appel d'offres : Prestations de suppléance dans les collèges publics du département de Seine-et-Marne via l’insertion par l’activité économique.
CHRUTH accompagne les structures publiques et privées sur les besoins de nettoyage, d'entretien des locaux et d'organisation de prestations de service.
Serait-il possible d'échanger rapidement afin de vérifier les modalités de réponse et les attentes de Département de Seine-et-Marne ?
Cordialement,</t>
        </is>
      </c>
      <c r="BE66" t="inlineStr">
        <is>
          <t>Bonjour, je vous appelle concernant un appel d'offres publié par Département de Seine-et-Marne. Je souhaite vérifier les informations pratiques : périmètre des prestations, date limite, modalités de visite, contact technique et pièces attendues. Pouvez-vous m'indiquer la bonne personne à contacter ?</t>
        </is>
      </c>
      <c r="BF66" t="inlineStr"/>
      <c r="BG66" t="inlineStr"/>
      <c r="BH66" t="inlineStr"/>
      <c r="BI66" t="inlineStr"/>
      <c r="BJ66" t="inlineStr"/>
      <c r="BK66" t="inlineStr"/>
      <c r="BL66" t="inlineStr"/>
      <c r="BM66" t="inlineStr">
        <is>
          <t>2026-W32</t>
        </is>
      </c>
    </row>
    <row r="67">
      <c r="A67" t="inlineStr">
        <is>
          <t>BOAMP</t>
        </is>
      </c>
      <c r="B67" t="inlineStr">
        <is>
          <t>26-70841</t>
        </is>
      </c>
      <c r="C67" t="inlineStr">
        <is>
          <t>Prestations d'hébergement de l'Espace d'exposition faisant partie du pavillon Occitanie pour le 56e Salon International de l'Aéronautique et de l'Espace Paris - Relance consultation 26OCC09L</t>
        </is>
      </c>
      <c r="D67" t="inlineStr">
        <is>
          <t>CCI OCCITANIE PYRENEES-MEDITERRANEE</t>
        </is>
      </c>
      <c r="E67" t="inlineStr"/>
      <c r="F67" t="inlineStr"/>
      <c r="G67" t="inlineStr"/>
      <c r="H67" t="inlineStr"/>
      <c r="I67" t="inlineStr">
        <is>
          <t>publications-joue@aws-france.com</t>
        </is>
      </c>
      <c r="J67" t="inlineStr">
        <is>
          <t>+33480041260</t>
        </is>
      </c>
      <c r="K67" t="inlineStr"/>
      <c r="L67" t="inlineStr"/>
      <c r="M67" t="inlineStr"/>
      <c r="N67" t="inlineStr">
        <is>
          <t>75</t>
        </is>
      </c>
      <c r="O67" t="inlineStr"/>
      <c r="P67" t="inlineStr">
        <is>
          <t>Ile-de-France</t>
        </is>
      </c>
      <c r="Q67" s="15" t="n">
        <v>46220</v>
      </c>
      <c r="R67" s="15" t="n">
        <v>46251</v>
      </c>
      <c r="S67" t="inlineStr"/>
      <c r="T67" t="inlineStr">
        <is>
          <t>A_VERIFIER_BUDGET</t>
        </is>
      </c>
      <c r="U67" t="inlineStr"/>
      <c r="V67" t="inlineStr">
        <is>
          <t>non</t>
        </is>
      </c>
      <c r="W67" t="inlineStr">
        <is>
          <t>Personnel</t>
        </is>
      </c>
      <c r="X67" t="inlineStr">
        <is>
          <t>Autre</t>
        </is>
      </c>
      <c r="Y67" t="inlineStr">
        <is>
          <t>SERVICES</t>
        </is>
      </c>
      <c r="Z67" t="inlineStr">
        <is>
          <t>Procédure Ouverte</t>
        </is>
      </c>
      <c r="AA67" t="inlineStr">
        <is>
          <t>Avis de marché</t>
        </is>
      </c>
      <c r="AB67" t="inlineStr">
        <is>
          <t>Evénementiel</t>
        </is>
      </c>
      <c r="AC67" t="inlineStr"/>
      <c r="AD67" s="11" t="inlineStr">
        <is>
          <t>https://www.boamp.fr/pages/avis/?q=idweb:26-70841</t>
        </is>
      </c>
      <c r="AE67" t="inlineStr">
        <is>
          <t>https://www.marches-publics.gouv.fr/entreprise</t>
        </is>
      </c>
      <c r="AF67" t="inlineStr">
        <is>
          <t>https://www.marches-publics.gouv.fr/entreprise</t>
        </is>
      </c>
      <c r="AG67" t="inlineStr"/>
      <c r="AH67" t="inlineStr">
        <is>
          <t>2</t>
        </is>
      </c>
      <c r="AI67" t="inlineStr">
        <is>
          <t>50</t>
        </is>
      </c>
      <c r="AJ67" t="inlineStr">
        <is>
          <t>INFO_PARTIELLE</t>
        </is>
      </c>
      <c r="AK67" t="inlineStr">
        <is>
          <t>20</t>
        </is>
      </c>
      <c r="AL67" s="16" t="inlineStr">
        <is>
          <t>FROID</t>
        </is>
      </c>
      <c r="AM67" t="inlineStr"/>
      <c r="AN67" t="inlineStr"/>
      <c r="AO67" t="inlineStr"/>
      <c r="AP67" t="inlineStr"/>
      <c r="AQ67" t="inlineStr">
        <is>
          <t>IA_BUDGET_A_VERIFIER</t>
        </is>
      </c>
      <c r="AR67" t="inlineStr">
        <is>
          <t>Verifier le budget dans l'avis source ou le DCE avant decision commerciale.</t>
        </is>
      </c>
      <c r="AS67" t="inlineStr">
        <is>
          <t>SIRET, adresse, ville, budget</t>
        </is>
      </c>
      <c r="AT6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67" t="inlineStr">
        <is>
          <t>Verifier url_avis et DCE si disponible</t>
        </is>
      </c>
      <c r="AV67" t="inlineStr">
        <is>
          <t>LIEN_SEUL</t>
        </is>
      </c>
      <c r="AW67" t="inlineStr"/>
      <c r="AX67" t="inlineStr"/>
      <c r="AY67" t="inlineStr"/>
      <c r="AZ67" t="inlineStr"/>
      <c r="BA67" t="inlineStr"/>
      <c r="BB67" t="inlineStr">
        <is>
          <t>0 pertinence metier faible | +10 budget non affiche (a verifier) | +10 delai confortable 20j</t>
        </is>
      </c>
      <c r="BC67"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67"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67"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67" t="inlineStr"/>
      <c r="BG67" t="inlineStr"/>
      <c r="BH67" t="inlineStr"/>
      <c r="BI67" t="inlineStr"/>
      <c r="BJ67" t="inlineStr"/>
      <c r="BK67" t="inlineStr"/>
      <c r="BL67" t="inlineStr"/>
      <c r="BM67" t="inlineStr">
        <is>
          <t>2026-W29</t>
        </is>
      </c>
    </row>
    <row r="68">
      <c r="A68" t="inlineStr">
        <is>
          <t>BOAMP</t>
        </is>
      </c>
      <c r="B68" t="inlineStr">
        <is>
          <t>26-70040</t>
        </is>
      </c>
      <c r="C68" t="inlineStr">
        <is>
          <t>Prestations de gardiennage et sécurité incendie pour le campus HEC Paris</t>
        </is>
      </c>
      <c r="D68" t="inlineStr">
        <is>
          <t>HEC Paris</t>
        </is>
      </c>
      <c r="E68" t="inlineStr"/>
      <c r="F68" t="inlineStr"/>
      <c r="G68" t="inlineStr"/>
      <c r="H68" t="inlineStr"/>
      <c r="I68" t="inlineStr">
        <is>
          <t>publications-joue@aws-france.com</t>
        </is>
      </c>
      <c r="J68" t="inlineStr">
        <is>
          <t>+33480041260</t>
        </is>
      </c>
      <c r="K68" t="inlineStr"/>
      <c r="L68" t="inlineStr"/>
      <c r="M68" t="inlineStr"/>
      <c r="N68" t="inlineStr">
        <is>
          <t>78</t>
        </is>
      </c>
      <c r="O68" t="inlineStr"/>
      <c r="P68" t="inlineStr">
        <is>
          <t>Ile-de-France</t>
        </is>
      </c>
      <c r="Q68" s="15" t="n">
        <v>46218</v>
      </c>
      <c r="R68" s="15" t="n">
        <v>46282</v>
      </c>
      <c r="S68" t="inlineStr"/>
      <c r="T68" t="inlineStr">
        <is>
          <t>A_VERIFIER_BUDGET</t>
        </is>
      </c>
      <c r="U68" t="inlineStr"/>
      <c r="V68" t="inlineStr">
        <is>
          <t>non</t>
        </is>
      </c>
      <c r="W68" t="inlineStr">
        <is>
          <t>Personnel</t>
        </is>
      </c>
      <c r="X68" t="inlineStr">
        <is>
          <t>Autre</t>
        </is>
      </c>
      <c r="Y68" t="inlineStr">
        <is>
          <t>SERVICES</t>
        </is>
      </c>
      <c r="Z68" t="inlineStr">
        <is>
          <t>Procédure Ouverte</t>
        </is>
      </c>
      <c r="AA68" t="inlineStr">
        <is>
          <t>Avis de marché</t>
        </is>
      </c>
      <c r="AB68" t="inlineStr">
        <is>
          <t>Sécurité incendie, Gardiennage</t>
        </is>
      </c>
      <c r="AC68" t="inlineStr">
        <is>
          <t>['sociaux', 'environnementaux']</t>
        </is>
      </c>
      <c r="AD68" s="11" t="inlineStr">
        <is>
          <t>https://www.boamp.fr/pages/avis/?q=idweb:26-70040</t>
        </is>
      </c>
      <c r="AE68" t="inlineStr">
        <is>
          <t>https://www.marches-publics.info/mpiaws/index.cfm?fuseaction=dematEnt.login&amp;amp;type=DCE&amp;amp;IDM=1850314</t>
        </is>
      </c>
      <c r="AF68" t="inlineStr">
        <is>
          <t>https://www.marches-publics.info/mpiaws/index.cfm?fuseaction=dematEnt.login&amp;amp;type=DCE&amp;amp;IDM=1850314</t>
        </is>
      </c>
      <c r="AG68" t="inlineStr"/>
      <c r="AH68" t="inlineStr">
        <is>
          <t>2</t>
        </is>
      </c>
      <c r="AI68" t="inlineStr">
        <is>
          <t>50</t>
        </is>
      </c>
      <c r="AJ68" t="inlineStr">
        <is>
          <t>INFO_PARTIELLE</t>
        </is>
      </c>
      <c r="AK68" t="inlineStr">
        <is>
          <t>20</t>
        </is>
      </c>
      <c r="AL68" s="16" t="inlineStr">
        <is>
          <t>FROID</t>
        </is>
      </c>
      <c r="AM68" t="inlineStr"/>
      <c r="AN68" t="inlineStr"/>
      <c r="AO68" t="inlineStr"/>
      <c r="AP68" t="inlineStr"/>
      <c r="AQ68" t="inlineStr">
        <is>
          <t>IA_BUDGET_A_VERIFIER</t>
        </is>
      </c>
      <c r="AR68" t="inlineStr">
        <is>
          <t>Verifier le budget dans l'avis source ou le DCE avant decision commerciale.</t>
        </is>
      </c>
      <c r="AS68" t="inlineStr">
        <is>
          <t>SIRET, adresse, ville, budget</t>
        </is>
      </c>
      <c r="AT6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68" t="inlineStr">
        <is>
          <t>Verifier url_avis et DCE si disponible</t>
        </is>
      </c>
      <c r="AV68" t="inlineStr">
        <is>
          <t>LIEN_SEUL</t>
        </is>
      </c>
      <c r="AW68" t="inlineStr"/>
      <c r="AX68" t="inlineStr"/>
      <c r="AY68" t="inlineStr"/>
      <c r="AZ68" t="inlineStr"/>
      <c r="BA68" t="inlineStr"/>
      <c r="BB68" t="inlineStr">
        <is>
          <t>0 pertinence metier faible | +10 budget non affiche (a verifier) | +10 delai confortable 51j</t>
        </is>
      </c>
      <c r="BC68" t="inlineStr">
        <is>
          <t>HEC Paris publie un AO potentiellement pertinent pour CHRUTH : Prestations de gardiennage et sécurité incendie pour le campus HEC Paris. Zone : 78. Budget a verifier. Verifier le lien source avant contact.</t>
        </is>
      </c>
      <c r="BD68"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68"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68" t="inlineStr"/>
      <c r="BG68" t="inlineStr"/>
      <c r="BH68" t="inlineStr"/>
      <c r="BI68" t="inlineStr"/>
      <c r="BJ68" t="inlineStr"/>
      <c r="BK68" t="inlineStr"/>
      <c r="BL68" t="inlineStr"/>
      <c r="BM68" t="inlineStr">
        <is>
          <t>2026-W29</t>
        </is>
      </c>
    </row>
    <row r="69">
      <c r="A69" t="inlineStr">
        <is>
          <t>BOAMP</t>
        </is>
      </c>
      <c r="B69" t="inlineStr">
        <is>
          <t>26-74389</t>
        </is>
      </c>
      <c r="C69" t="inlineStr">
        <is>
          <t>Prestations de conseil et assistance en UX/UI, en développement, intégration et maintenance des projets numériques en 2 lots</t>
        </is>
      </c>
      <c r="D69" t="inlineStr">
        <is>
          <t>VILLE de PARIS - DFA - SDA</t>
        </is>
      </c>
      <c r="E69" t="inlineStr">
        <is>
          <t>21750001600019</t>
        </is>
      </c>
      <c r="F69" t="inlineStr">
        <is>
          <t>217500016</t>
        </is>
      </c>
      <c r="G69" t="inlineStr"/>
      <c r="H69" t="inlineStr"/>
      <c r="I69" t="inlineStr">
        <is>
          <t>dfa-bm1@paris.fr</t>
        </is>
      </c>
      <c r="J69" t="inlineStr">
        <is>
          <t>+33 171270264</t>
        </is>
      </c>
      <c r="K69" t="inlineStr"/>
      <c r="L69" t="inlineStr"/>
      <c r="M69" t="inlineStr"/>
      <c r="N69" t="inlineStr">
        <is>
          <t>75</t>
        </is>
      </c>
      <c r="O69" t="inlineStr"/>
      <c r="P69" t="inlineStr">
        <is>
          <t>Ile-de-France</t>
        </is>
      </c>
      <c r="Q69" s="15" t="n">
        <v>46229</v>
      </c>
      <c r="R69" s="15" t="n">
        <v>46287</v>
      </c>
      <c r="S69" s="14" t="n">
        <v>600000</v>
      </c>
      <c r="T69" t="inlineStr">
        <is>
          <t>BUDGET_EXPLICITE_OK</t>
        </is>
      </c>
      <c r="U69" t="inlineStr">
        <is>
          <t>1028571</t>
        </is>
      </c>
      <c r="V69" t="inlineStr">
        <is>
          <t>oui</t>
        </is>
      </c>
      <c r="W69" t="inlineStr">
        <is>
          <t>Personnel</t>
        </is>
      </c>
      <c r="X69" t="inlineStr">
        <is>
          <t>Mairie</t>
        </is>
      </c>
      <c r="Y69" t="inlineStr">
        <is>
          <t>SERVICES</t>
        </is>
      </c>
      <c r="Z69" t="inlineStr">
        <is>
          <t>Procédure Ouverte</t>
        </is>
      </c>
      <c r="AA69" t="inlineStr">
        <is>
          <t>Avis de marché</t>
        </is>
      </c>
      <c r="AB69" t="inlineStr">
        <is>
          <t>Gardiennage</t>
        </is>
      </c>
      <c r="AC69" t="inlineStr"/>
      <c r="AD69" s="11" t="inlineStr">
        <is>
          <t>https://www.boamp.fr/pages/avis/?q=idweb:26-74389</t>
        </is>
      </c>
      <c r="AE69" t="inlineStr">
        <is>
          <t>https://marches.maximilien.fr/entreprise/consultation/943956?orgAcronyme=r8t</t>
        </is>
      </c>
      <c r="AF69" t="inlineStr">
        <is>
          <t>https://marches.maximilien.fr/entreprise/consultation/943956?orgAcronyme=r8t</t>
        </is>
      </c>
      <c r="AG69" t="inlineStr"/>
      <c r="AH69" t="inlineStr">
        <is>
          <t>3</t>
        </is>
      </c>
      <c r="AI69" t="inlineStr">
        <is>
          <t>60</t>
        </is>
      </c>
      <c r="AJ69" t="inlineStr">
        <is>
          <t>INFO_PARTIELLE</t>
        </is>
      </c>
      <c r="AK69" t="inlineStr">
        <is>
          <t>15</t>
        </is>
      </c>
      <c r="AL69" s="16" t="inlineStr">
        <is>
          <t>FROID</t>
        </is>
      </c>
      <c r="AM69" t="inlineStr"/>
      <c r="AN69" t="inlineStr"/>
      <c r="AO69" t="inlineStr"/>
      <c r="AP69" t="inlineStr"/>
      <c r="AQ69" t="inlineStr">
        <is>
          <t>IA_CONTACT_A_COMPLETER</t>
        </is>
      </c>
      <c r="AR69" t="inlineStr">
        <is>
          <t>Completer les champs manquants depuis l'avis source, le site acheteur ou le DCE.</t>
        </is>
      </c>
      <c r="AS69" t="inlineStr">
        <is>
          <t>adresse, ville</t>
        </is>
      </c>
      <c r="AT6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69" t="inlineStr">
        <is>
          <t>Verifier url_avis et DCE si disponible</t>
        </is>
      </c>
      <c r="AV69" t="inlineStr"/>
      <c r="AW69" t="inlineStr"/>
      <c r="AX69" t="inlineStr"/>
      <c r="AY69" t="inlineStr"/>
      <c r="AZ69" t="inlineStr"/>
      <c r="BA69" t="inlineStr"/>
      <c r="BB69" t="inlineStr">
        <is>
          <t>0 pertinence metier faible | -20 gros budget (&gt; 500 000 EUR) | +15 procedure adaptee / MAPA / allotissement | +10 secteur cible Mairie | +10 delai confortable 56j</t>
        </is>
      </c>
      <c r="BC69"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69"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69"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69" t="inlineStr"/>
      <c r="BG69" t="inlineStr"/>
      <c r="BH69" t="inlineStr"/>
      <c r="BI69" t="inlineStr"/>
      <c r="BJ69" t="inlineStr"/>
      <c r="BK69" t="inlineStr"/>
      <c r="BL69" t="inlineStr"/>
      <c r="BM69" t="inlineStr">
        <is>
          <t>2026-W30</t>
        </is>
      </c>
    </row>
    <row r="70">
      <c r="A70" t="inlineStr">
        <is>
          <t>BOAMP</t>
        </is>
      </c>
      <c r="B70" t="inlineStr">
        <is>
          <t>26-73883</t>
        </is>
      </c>
      <c r="C70" t="inlineStr">
        <is>
          <t>Marché n°26.AO.MG.050 - Renfort de personnel au sein du télé-accueil de l'EPT Est Ensemble</t>
        </is>
      </c>
      <c r="D70" t="inlineStr">
        <is>
          <t>Est Ensemble</t>
        </is>
      </c>
      <c r="E70" t="inlineStr">
        <is>
          <t>20005787500011</t>
        </is>
      </c>
      <c r="F70" t="inlineStr">
        <is>
          <t>200057875</t>
        </is>
      </c>
      <c r="G70" t="inlineStr"/>
      <c r="H70" t="inlineStr"/>
      <c r="I70" t="inlineStr">
        <is>
          <t>marchespublics@est-ensemble.fr</t>
        </is>
      </c>
      <c r="J70" t="inlineStr">
        <is>
          <t>0578750001</t>
        </is>
      </c>
      <c r="K70" t="inlineStr"/>
      <c r="L70" t="inlineStr"/>
      <c r="M70" t="inlineStr"/>
      <c r="N70" t="inlineStr">
        <is>
          <t>93,75</t>
        </is>
      </c>
      <c r="O70" t="inlineStr"/>
      <c r="P70" t="inlineStr">
        <is>
          <t>Ile-de-France</t>
        </is>
      </c>
      <c r="Q70" s="15" t="n">
        <v>46228</v>
      </c>
      <c r="R70" s="15" t="n">
        <v>46283</v>
      </c>
      <c r="S70" s="14" t="n">
        <v>600000</v>
      </c>
      <c r="T70" t="inlineStr">
        <is>
          <t>BUDGET_EXPLICITE_OK</t>
        </is>
      </c>
      <c r="U70" t="inlineStr">
        <is>
          <t>150000</t>
        </is>
      </c>
      <c r="V70" t="inlineStr">
        <is>
          <t>oui</t>
        </is>
      </c>
      <c r="W70" t="inlineStr">
        <is>
          <t>Personnel</t>
        </is>
      </c>
      <c r="X70" t="inlineStr">
        <is>
          <t>Autre</t>
        </is>
      </c>
      <c r="Y70" t="inlineStr">
        <is>
          <t>SERVICES</t>
        </is>
      </c>
      <c r="Z70" t="inlineStr">
        <is>
          <t>Procédure Ouverte</t>
        </is>
      </c>
      <c r="AA70" t="inlineStr">
        <is>
          <t>Avis de marché</t>
        </is>
      </c>
      <c r="AB70" t="inlineStr">
        <is>
          <t>Télécommunications, Mise à disposition de personnel</t>
        </is>
      </c>
      <c r="AC70" t="inlineStr"/>
      <c r="AD70" s="11" t="inlineStr">
        <is>
          <t>https://www.boamp.fr/pages/avis/?q=idweb:26-73883</t>
        </is>
      </c>
      <c r="AE70" t="inlineStr">
        <is>
          <t>https://marches.maximilien.fr/?page=Entreprise.EntrepriseAdvancedSearch&amp;AllCons&amp;id=944029&amp;orgAcronyme=v8x</t>
        </is>
      </c>
      <c r="AF70" t="inlineStr">
        <is>
          <t>https://marches.maximilien.fr/?page=Entreprise.EntrepriseAdvancedSearch&amp;AllCons&amp;id=944029&amp;orgAcronyme=v8x</t>
        </is>
      </c>
      <c r="AG70" t="inlineStr"/>
      <c r="AH70" t="inlineStr">
        <is>
          <t>3</t>
        </is>
      </c>
      <c r="AI70" t="inlineStr">
        <is>
          <t>60</t>
        </is>
      </c>
      <c r="AJ70" t="inlineStr">
        <is>
          <t>INFO_PARTIELLE</t>
        </is>
      </c>
      <c r="AK70" t="inlineStr">
        <is>
          <t>15</t>
        </is>
      </c>
      <c r="AL70" s="16" t="inlineStr">
        <is>
          <t>FROID</t>
        </is>
      </c>
      <c r="AM70" t="inlineStr"/>
      <c r="AN70" t="inlineStr"/>
      <c r="AO70" t="inlineStr"/>
      <c r="AP70" t="inlineStr"/>
      <c r="AQ70" t="inlineStr">
        <is>
          <t>IA_CONTACT_A_COMPLETER</t>
        </is>
      </c>
      <c r="AR70" t="inlineStr">
        <is>
          <t>Completer les champs manquants depuis l'avis source, le site acheteur ou le DCE.</t>
        </is>
      </c>
      <c r="AS70" t="inlineStr">
        <is>
          <t>adresse, ville</t>
        </is>
      </c>
      <c r="AT7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70" t="inlineStr">
        <is>
          <t>Verifier url_avis et DCE si disponible</t>
        </is>
      </c>
      <c r="AV70" t="inlineStr"/>
      <c r="AW70" t="inlineStr"/>
      <c r="AX70" t="inlineStr"/>
      <c r="AY70" t="inlineStr"/>
      <c r="AZ70" t="inlineStr"/>
      <c r="BA70" t="inlineStr"/>
      <c r="BB70" t="inlineStr">
        <is>
          <t>0 pertinence metier faible | +5 budget annualise &lt;= 200 000 EUR | +10 delai confortable 52j</t>
        </is>
      </c>
      <c r="BC70" t="inlineStr">
        <is>
          <t>Est Ensemble publie un AO potentiellement pertinent pour CHRUTH : Marché n°26.AO.MG.050 - Renfort de personnel au sein du télé-accueil de l'EPT Est Ensemble. Zone : 93,75. Budget detecte environ 600 000 EUR. Verifier le lien source avant contact.</t>
        </is>
      </c>
      <c r="BD70"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70"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70" t="inlineStr"/>
      <c r="BG70" t="inlineStr"/>
      <c r="BH70" t="inlineStr"/>
      <c r="BI70" t="inlineStr"/>
      <c r="BJ70" t="inlineStr"/>
      <c r="BK70" t="inlineStr"/>
      <c r="BL70" t="inlineStr"/>
      <c r="BM70" t="inlineStr">
        <is>
          <t>2026-W30</t>
        </is>
      </c>
    </row>
    <row r="71">
      <c r="A71" t="inlineStr">
        <is>
          <t>BOAMP</t>
        </is>
      </c>
      <c r="B71" t="inlineStr">
        <is>
          <t>26-70598</t>
        </is>
      </c>
      <c r="C71" t="inlineStr">
        <is>
          <t>Location et entretien de linge de restauration et de maison pour le compte des Ministères sociaux</t>
        </is>
      </c>
      <c r="D71" t="inlineStr">
        <is>
          <t>Ministères sociaux, DFAS/SDADD</t>
        </is>
      </c>
      <c r="E71" t="inlineStr">
        <is>
          <t>11000201100044</t>
        </is>
      </c>
      <c r="F71" t="inlineStr">
        <is>
          <t>110002011</t>
        </is>
      </c>
      <c r="G71" t="inlineStr"/>
      <c r="H71" t="inlineStr"/>
      <c r="I71" t="inlineStr">
        <is>
          <t>maxime.peyronnet@sg.social.gouv.fr</t>
        </is>
      </c>
      <c r="J71" t="inlineStr">
        <is>
          <t>0201100044</t>
        </is>
      </c>
      <c r="K71" t="inlineStr"/>
      <c r="L71" t="inlineStr"/>
      <c r="M71" t="inlineStr"/>
      <c r="N71" t="inlineStr">
        <is>
          <t>75,77,78,91,92,93,94,95</t>
        </is>
      </c>
      <c r="O71" t="inlineStr"/>
      <c r="P71" t="inlineStr">
        <is>
          <t>Ile-de-France</t>
        </is>
      </c>
      <c r="Q71" s="15" t="n">
        <v>46220</v>
      </c>
      <c r="R71" s="15" t="n">
        <v>46241</v>
      </c>
      <c r="S71" s="14" t="n">
        <v>852000</v>
      </c>
      <c r="T71" t="inlineStr">
        <is>
          <t>BUDGET_EXPLICITE_OK</t>
        </is>
      </c>
      <c r="U71" t="inlineStr">
        <is>
          <t>5112000</t>
        </is>
      </c>
      <c r="V71" t="inlineStr">
        <is>
          <t>oui</t>
        </is>
      </c>
      <c r="W71" t="inlineStr">
        <is>
          <t>Mixte/Autre</t>
        </is>
      </c>
      <c r="X71" t="inlineStr">
        <is>
          <t>Autre</t>
        </is>
      </c>
      <c r="Y71" t="inlineStr">
        <is>
          <t>SERVICES</t>
        </is>
      </c>
      <c r="Z71" t="inlineStr">
        <is>
          <t>Procédure Ouverte</t>
        </is>
      </c>
      <c r="AA71" t="inlineStr">
        <is>
          <t>Avis de marché</t>
        </is>
      </c>
      <c r="AB71" t="inlineStr">
        <is>
          <t>Location (matériels), Blanchissage</t>
        </is>
      </c>
      <c r="AC71" t="inlineStr">
        <is>
          <t>['sociaux', 'environnementaux']</t>
        </is>
      </c>
      <c r="AD71" s="11" t="inlineStr">
        <is>
          <t>https://www.boamp.fr/pages/avis/?q=idweb:26-70598</t>
        </is>
      </c>
      <c r="AE71" t="inlineStr">
        <is>
          <t>https://www.marches-publics.gouv.fr/</t>
        </is>
      </c>
      <c r="AF71" t="inlineStr">
        <is>
          <t>https://www.marches-publics.gouv.fr/</t>
        </is>
      </c>
      <c r="AG71" t="inlineStr">
        <is>
          <t>nettoyage</t>
        </is>
      </c>
      <c r="AH71" t="inlineStr">
        <is>
          <t>3</t>
        </is>
      </c>
      <c r="AI71" t="inlineStr">
        <is>
          <t>68</t>
        </is>
      </c>
      <c r="AJ71" t="inlineStr">
        <is>
          <t>INFO_PARTIELLE</t>
        </is>
      </c>
      <c r="AK71" t="inlineStr">
        <is>
          <t>15</t>
        </is>
      </c>
      <c r="AL71" s="16" t="inlineStr">
        <is>
          <t>FROID</t>
        </is>
      </c>
      <c r="AM71" t="inlineStr"/>
      <c r="AN71" t="inlineStr"/>
      <c r="AO71" t="inlineStr"/>
      <c r="AP71" t="inlineStr"/>
      <c r="AQ71" t="inlineStr">
        <is>
          <t>IA_CONTACT_A_COMPLETER</t>
        </is>
      </c>
      <c r="AR71" t="inlineStr">
        <is>
          <t>Completer les champs manquants depuis l'avis source, le site acheteur ou le DCE.</t>
        </is>
      </c>
      <c r="AS71" t="inlineStr">
        <is>
          <t>adresse, ville</t>
        </is>
      </c>
      <c r="AT7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71" t="inlineStr">
        <is>
          <t>Verifier url_avis et DCE si disponible</t>
        </is>
      </c>
      <c r="AV71" t="inlineStr"/>
      <c r="AW71" t="inlineStr"/>
      <c r="AX71" t="inlineStr"/>
      <c r="AY71" t="inlineStr"/>
      <c r="AZ71" t="inlineStr"/>
      <c r="BA71" t="inlineStr"/>
      <c r="BB71" t="inlineStr">
        <is>
          <t>+30 mots-cles nettoyage forts | -20 gros budget (&gt; 500 000 EUR) | +5 delai court 10j</t>
        </is>
      </c>
      <c r="BC71"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71"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71"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71" t="inlineStr"/>
      <c r="BG71" t="inlineStr"/>
      <c r="BH71" t="inlineStr"/>
      <c r="BI71" t="inlineStr"/>
      <c r="BJ71" t="inlineStr"/>
      <c r="BK71" t="inlineStr"/>
      <c r="BL71" t="inlineStr"/>
      <c r="BM71" t="inlineStr">
        <is>
          <t>2026-W29</t>
        </is>
      </c>
    </row>
    <row r="72">
      <c r="A72" t="inlineStr">
        <is>
          <t>BOAMP</t>
        </is>
      </c>
      <c r="B72" t="inlineStr">
        <is>
          <t>26-79560</t>
        </is>
      </c>
      <c r="C72" t="inlineStr">
        <is>
          <t>Confection et fourniture de vêtements de travail pour les agents d'accueil et agents d'entretien sanitaires de la tour Eiffel</t>
        </is>
      </c>
      <c r="D72" t="inlineStr">
        <is>
          <t>Société d'Exploitation de la Tour Eiffel</t>
        </is>
      </c>
      <c r="E72" t="inlineStr">
        <is>
          <t>48262252900048</t>
        </is>
      </c>
      <c r="F72" t="inlineStr">
        <is>
          <t>482622529</t>
        </is>
      </c>
      <c r="G72" t="inlineStr"/>
      <c r="H72" t="inlineStr"/>
      <c r="I72" t="inlineStr">
        <is>
          <t>marches@toureiffel.paris</t>
        </is>
      </c>
      <c r="J72" t="inlineStr">
        <is>
          <t>0144112346</t>
        </is>
      </c>
      <c r="K72" t="inlineStr"/>
      <c r="L72" t="inlineStr"/>
      <c r="M72" t="inlineStr"/>
      <c r="N72" t="inlineStr">
        <is>
          <t>75,77,78,60</t>
        </is>
      </c>
      <c r="O72" t="inlineStr"/>
      <c r="P72" t="inlineStr">
        <is>
          <t>Ile-de-France</t>
        </is>
      </c>
      <c r="Q72" s="15" t="n">
        <v>46246</v>
      </c>
      <c r="R72" t="inlineStr"/>
      <c r="S72" t="inlineStr"/>
      <c r="T72" t="inlineStr">
        <is>
          <t>A_VERIFIER_BUDGET</t>
        </is>
      </c>
      <c r="U72" t="inlineStr"/>
      <c r="V72" t="inlineStr">
        <is>
          <t>non</t>
        </is>
      </c>
      <c r="W72" t="inlineStr">
        <is>
          <t>Personnel</t>
        </is>
      </c>
      <c r="X72" t="inlineStr">
        <is>
          <t>Autre</t>
        </is>
      </c>
      <c r="Y72" t="inlineStr">
        <is>
          <t>FOURNITURES</t>
        </is>
      </c>
      <c r="Z72" t="inlineStr">
        <is>
          <t>Procédure Dialogue compétitif</t>
        </is>
      </c>
      <c r="AA72" t="inlineStr">
        <is>
          <t>Avis de marché</t>
        </is>
      </c>
      <c r="AB72" t="inlineStr">
        <is>
          <t>Habillement</t>
        </is>
      </c>
      <c r="AC72" t="inlineStr">
        <is>
          <t>['sociaux', 'environnementaux']</t>
        </is>
      </c>
      <c r="AD72" s="11" t="inlineStr">
        <is>
          <t>https://www.boamp.fr/pages/avis/?q=idweb:26-79560</t>
        </is>
      </c>
      <c r="AE72" t="inlineStr">
        <is>
          <t>https://www.achatpublic.com/sdm/ent/gen/ent_detail.do?PCSLID=CSL_2026_lNMqePOVGB</t>
        </is>
      </c>
      <c r="AF72" t="inlineStr">
        <is>
          <t>https://www.achatpublic.com/sdm/ent/gen/ent_detail.do?PCSLID=CSL_2026_lNMqePOVGB</t>
        </is>
      </c>
      <c r="AG72" t="inlineStr"/>
      <c r="AH72" t="inlineStr">
        <is>
          <t>3</t>
        </is>
      </c>
      <c r="AI72" t="inlineStr">
        <is>
          <t>60</t>
        </is>
      </c>
      <c r="AJ72" t="inlineStr">
        <is>
          <t>INFO_PARTIELLE</t>
        </is>
      </c>
      <c r="AK72" t="inlineStr">
        <is>
          <t>11.5</t>
        </is>
      </c>
      <c r="AL72" s="16" t="inlineStr">
        <is>
          <t>FROID</t>
        </is>
      </c>
      <c r="AM72" t="inlineStr"/>
      <c r="AN72" t="inlineStr"/>
      <c r="AO72" t="inlineStr"/>
      <c r="AP72" t="inlineStr"/>
      <c r="AQ72" t="inlineStr">
        <is>
          <t>IA_BUDGET_A_VERIFIER</t>
        </is>
      </c>
      <c r="AR72" t="inlineStr">
        <is>
          <t>Verifier le budget dans l'avis source ou le DCE avant decision commerciale.</t>
        </is>
      </c>
      <c r="AS72" t="inlineStr">
        <is>
          <t>adresse, ville, budget</t>
        </is>
      </c>
      <c r="AT7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26-79560. Objet: Confection et fourniture de vêtements de travail pour les agents d'accueil et agents d'entretien sanitaires de la tour Eiffel. Acheteur: Société d'Exploitation de la Tour Eiffel. Lien: https://www.boamp.fr/pages/avis/?q=idweb:26-79560.</t>
        </is>
      </c>
      <c r="AU72" t="inlineStr">
        <is>
          <t>Verifier url_avis et DCE si disponible</t>
        </is>
      </c>
      <c r="AV72" t="inlineStr">
        <is>
          <t>LIEN_SEUL</t>
        </is>
      </c>
      <c r="AW72" t="inlineStr"/>
      <c r="AX72" t="inlineStr"/>
      <c r="AY72" t="inlineStr"/>
      <c r="AZ72" t="inlineStr"/>
      <c r="BA72" t="inlineStr"/>
      <c r="BB72" t="inlineStr">
        <is>
          <t>0 pertinence metier faible | +10 budget non affiche (a verifier) | 0 date limite absente | +1.5 dossier renseigne (3/4)</t>
        </is>
      </c>
      <c r="BC72" t="inlineStr">
        <is>
          <t>Société d'Exploitation de la Tour Eiffel publie un AO potentiellement pertinent pour CHRUTH : Confection et fourniture de vêtements de travail pour les agents d'accueil et agents d'entretien sanitaires de la tour Eiffel. Zone : 75,77,78,60. Budget a verifier. Verifier le lien source avant contact.</t>
        </is>
      </c>
      <c r="BD72" t="inlineStr">
        <is>
          <t>Bonjour,
Je me permets de vous contacter au sujet de votre appel d'offres : Confection et fourniture de vêtements de travail pour les agents d'accueil et agents d'entretien sanitaires de la tour Eiffel.
CHRUTH accompagne les structures publiques et privées sur les besoins de nettoyage, d'entretien des locaux et d'organisation de prestations de service.
Serait-il possible d'échanger rapidement afin de vérifier les modalités de réponse et les attentes de Société d'Exploitation de la Tour Eiffel ?
Cordialement,</t>
        </is>
      </c>
      <c r="BE72" t="inlineStr">
        <is>
          <t>Bonjour, je vous appelle concernant un appel d'offres publié par Société d'Exploitation de la Tour Eiffel. Je souhaite vérifier les informations pratiques : périmètre des prestations, date limite, modalités de visite, contact technique et pièces attendues. Pouvez-vous m'indiquer la bonne personne à contacter ?</t>
        </is>
      </c>
      <c r="BF72" t="inlineStr"/>
      <c r="BG72" t="inlineStr"/>
      <c r="BH72" t="inlineStr"/>
      <c r="BI72" t="inlineStr"/>
      <c r="BJ72" t="inlineStr"/>
      <c r="BK72" t="inlineStr"/>
      <c r="BL72" t="inlineStr"/>
      <c r="BM72" t="inlineStr">
        <is>
          <t>2026-W33</t>
        </is>
      </c>
    </row>
    <row r="73">
      <c r="A73" t="inlineStr">
        <is>
          <t>BOAMP</t>
        </is>
      </c>
      <c r="B73" t="inlineStr">
        <is>
          <t>26-76712</t>
        </is>
      </c>
      <c r="C73" t="inlineStr">
        <is>
          <t>ACCORD CADRE N°26066-S-AC
DE PRESTATIONS DE SURETE, SECURITE ET MULTI-MAINTENANCE POUR LES SITES :
- JARDIN DES PLANTES
- MUSEE DE L'HOMME
- PARC ZOOLOGIQUE DE PARIS
POUR LE COMPTE DU MUSEUM MNHN</t>
        </is>
      </c>
      <c r="D73" t="inlineStr">
        <is>
          <t>Museum National d'Histoire Naturelle</t>
        </is>
      </c>
      <c r="E73" t="inlineStr">
        <is>
          <t>45072478600030</t>
        </is>
      </c>
      <c r="F73" t="inlineStr">
        <is>
          <t>450724786</t>
        </is>
      </c>
      <c r="G73" t="inlineStr"/>
      <c r="H73" t="inlineStr"/>
      <c r="I73" t="inlineStr">
        <is>
          <t>thierry.lejeune@mnhn.fr</t>
        </is>
      </c>
      <c r="J73" t="inlineStr">
        <is>
          <t>+33 140793247</t>
        </is>
      </c>
      <c r="K73" t="inlineStr"/>
      <c r="L73" t="inlineStr"/>
      <c r="M73" t="inlineStr"/>
      <c r="N73" t="inlineStr">
        <is>
          <t>75</t>
        </is>
      </c>
      <c r="O73" t="inlineStr"/>
      <c r="P73" t="inlineStr">
        <is>
          <t>Ile-de-France</t>
        </is>
      </c>
      <c r="Q73" s="15" t="n">
        <v>46236</v>
      </c>
      <c r="R73" t="inlineStr"/>
      <c r="S73" t="inlineStr"/>
      <c r="T73" t="inlineStr">
        <is>
          <t>A_VERIFIER_BUDGET</t>
        </is>
      </c>
      <c r="U73" t="inlineStr"/>
      <c r="V73" t="inlineStr">
        <is>
          <t>non</t>
        </is>
      </c>
      <c r="W73" t="inlineStr">
        <is>
          <t>Personnel</t>
        </is>
      </c>
      <c r="X73" t="inlineStr">
        <is>
          <t>Autre</t>
        </is>
      </c>
      <c r="Y73" t="inlineStr">
        <is>
          <t>SERVICES</t>
        </is>
      </c>
      <c r="Z73" t="inlineStr">
        <is>
          <t>Procédure Restreinte</t>
        </is>
      </c>
      <c r="AA73" t="inlineStr">
        <is>
          <t>Avis de marché</t>
        </is>
      </c>
      <c r="AB73" t="inlineStr">
        <is>
          <t>Gardiennage, Maintenance</t>
        </is>
      </c>
      <c r="AC73" t="inlineStr"/>
      <c r="AD73" s="11" t="inlineStr">
        <is>
          <t>https://www.boamp.fr/pages/avis/?q=idweb:26-76712</t>
        </is>
      </c>
      <c r="AE73" t="inlineStr">
        <is>
          <t>https://mnhn.e-marchespublics.com</t>
        </is>
      </c>
      <c r="AF73" t="inlineStr">
        <is>
          <t>https://mnhn.e-marchespublics.com</t>
        </is>
      </c>
      <c r="AG73" t="inlineStr"/>
      <c r="AH73" t="inlineStr">
        <is>
          <t>3</t>
        </is>
      </c>
      <c r="AI73" t="inlineStr">
        <is>
          <t>60</t>
        </is>
      </c>
      <c r="AJ73" t="inlineStr">
        <is>
          <t>INFO_PARTIELLE</t>
        </is>
      </c>
      <c r="AK73" t="inlineStr">
        <is>
          <t>11.5</t>
        </is>
      </c>
      <c r="AL73" s="16" t="inlineStr">
        <is>
          <t>FROID</t>
        </is>
      </c>
      <c r="AM73" t="inlineStr"/>
      <c r="AN73" t="inlineStr"/>
      <c r="AO73" t="inlineStr"/>
      <c r="AP73" t="inlineStr"/>
      <c r="AQ73" t="inlineStr">
        <is>
          <t>IA_BUDGET_A_VERIFIER</t>
        </is>
      </c>
      <c r="AR73" t="inlineStr">
        <is>
          <t>Verifier le budget dans l'avis source ou le DCE avant decision commerciale.</t>
        </is>
      </c>
      <c r="AS73" t="inlineStr">
        <is>
          <t>adresse, ville, budget</t>
        </is>
      </c>
      <c r="AT7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26-76712. Objet: ACCORD CADRE N°26066-S-AC
DE PRESTATIONS DE SURETE, SECURITE ET MULTI-MAINTENANCE POUR LES SITES :
- JARDIN DES PLANTES
- MUSEE DE L'HOMME
- PARC ZOOLOGIQUE DE PARIS
POUR LE COMPTE DU MUSEUM MNHN. Acheteur: Museum National d'Histoire Naturelle. Lien: https://www.boamp.fr/pages/avis/?q=idweb:26-76712.</t>
        </is>
      </c>
      <c r="AU73" t="inlineStr">
        <is>
          <t>Verifier url_avis et DCE si disponible</t>
        </is>
      </c>
      <c r="AV73" t="inlineStr">
        <is>
          <t>LIEN_SEUL</t>
        </is>
      </c>
      <c r="AW73" t="inlineStr"/>
      <c r="AX73" t="inlineStr"/>
      <c r="AY73" t="inlineStr"/>
      <c r="AZ73" t="inlineStr"/>
      <c r="BA73" t="inlineStr"/>
      <c r="BB73" t="inlineStr">
        <is>
          <t>0 pertinence metier faible | +10 budget non affiche (a verifier) | 0 date limite absente | +1.5 dossier renseigne (3/4)</t>
        </is>
      </c>
      <c r="BC73" t="inlineStr">
        <is>
          <t>Museum National d'Histoire Naturelle publie un AO potentiellement pertinent pour CHRUTH : ACCORD CADRE N°26066-S-AC
DE PRESTATIONS DE SURETE, SECURITE ET MULTI-MAINTENANCE POUR LES SITES :
- JARDIN DES PLANTES
- MUSEE DE L'HOMME
- PARC ZOOLOGIQUE DE PARIS
POUR LE COMPTE DU MUSEUM MNHN. Zone : 75. Budget a verifier. Verifier le lien source avant contact.</t>
        </is>
      </c>
      <c r="BD73" t="inlineStr">
        <is>
          <t>Bonjour,
Je me permets de vous contacter au sujet de votre appel d'offres : ACCORD CADRE N°26066-S-AC
DE PRESTATIONS DE SURETE, SECURITE ET MULTI-MAINTENANCE POUR LES SITES :
- JARDIN DES PLANTES
- MUSEE DE L'HOMME
- PARC ZOOLOGIQUE DE PARIS
POUR LE COMPTE DU MUSEUM MNHN.
CHRUTH accompagne les structures publiques et privées sur les besoins de nettoyage, d'entretien des locaux et d'organisation de prestations de service.
Serait-il possible d'échanger rapidement afin de vérifier les modalités de réponse et les attentes de Museum National d'Histoire Naturelle ?
Cordialement,</t>
        </is>
      </c>
      <c r="BE73" t="inlineStr">
        <is>
          <t>Bonjour, je vous appelle concernant un appel d'offres publié par Museum National d'Histoire Naturelle. Je souhaite vérifier les informations pratiques : périmètre des prestations, date limite, modalités de visite, contact technique et pièces attendues. Pouvez-vous m'indiquer la bonne personne à contacter ?</t>
        </is>
      </c>
      <c r="BF73" t="inlineStr"/>
      <c r="BG73" t="inlineStr"/>
      <c r="BH73" t="inlineStr"/>
      <c r="BI73" t="inlineStr"/>
      <c r="BJ73" t="inlineStr"/>
      <c r="BK73" t="inlineStr"/>
      <c r="BL73" t="inlineStr"/>
      <c r="BM73" t="inlineStr">
        <is>
          <t>2026-W31</t>
        </is>
      </c>
    </row>
    <row r="74">
      <c r="A74" t="inlineStr">
        <is>
          <t>BOAMP</t>
        </is>
      </c>
      <c r="B74" t="inlineStr">
        <is>
          <t>26-72867</t>
        </is>
      </c>
      <c r="C74" t="inlineStr">
        <is>
          <t>La présente consultation a pour objet des prestations de sécurité incendie, de gardiennage des locaux et d’assistance aux personnels et usagers de l’arrondissement judiciaire de Paris.</t>
        </is>
      </c>
      <c r="D74" t="inlineStr">
        <is>
          <t>Cour d'appel de Paris - SAR</t>
        </is>
      </c>
      <c r="E74" t="inlineStr"/>
      <c r="F74" t="inlineStr"/>
      <c r="G74" t="inlineStr"/>
      <c r="H74" t="inlineStr"/>
      <c r="I74" t="inlineStr">
        <is>
          <t>mp.sar.ca-paris@justice.fr</t>
        </is>
      </c>
      <c r="J74" t="inlineStr">
        <is>
          <t>0144325084</t>
        </is>
      </c>
      <c r="K74" t="inlineStr"/>
      <c r="L74" t="inlineStr"/>
      <c r="M74" t="inlineStr"/>
      <c r="N74" t="inlineStr">
        <is>
          <t>75,77,89,91,93,94,95</t>
        </is>
      </c>
      <c r="O74" t="inlineStr"/>
      <c r="P74" t="inlineStr">
        <is>
          <t>Ile-de-France</t>
        </is>
      </c>
      <c r="Q74" s="15" t="n">
        <v>46226</v>
      </c>
      <c r="R74" t="inlineStr"/>
      <c r="S74" t="inlineStr"/>
      <c r="T74" t="inlineStr">
        <is>
          <t>A_VERIFIER_BUDGET</t>
        </is>
      </c>
      <c r="U74" t="inlineStr"/>
      <c r="V74" t="inlineStr">
        <is>
          <t>non</t>
        </is>
      </c>
      <c r="W74" t="inlineStr">
        <is>
          <t>Personnel</t>
        </is>
      </c>
      <c r="X74" t="inlineStr">
        <is>
          <t>Autre</t>
        </is>
      </c>
      <c r="Y74" t="inlineStr">
        <is>
          <t>SERVICES</t>
        </is>
      </c>
      <c r="Z74" t="inlineStr">
        <is>
          <t>Procédure Restreinte</t>
        </is>
      </c>
      <c r="AA74" t="inlineStr">
        <is>
          <t>Avis de marché</t>
        </is>
      </c>
      <c r="AB74" t="inlineStr">
        <is>
          <t>Gardiennage, Sécurité incendie</t>
        </is>
      </c>
      <c r="AC74" t="inlineStr"/>
      <c r="AD74" s="11" t="inlineStr">
        <is>
          <t>https://www.boamp.fr/pages/avis/?q=idweb:26-72867</t>
        </is>
      </c>
      <c r="AE74" t="inlineStr">
        <is>
          <t>https://www.marches-publics.gouv.fr/entreprise</t>
        </is>
      </c>
      <c r="AF74" t="inlineStr">
        <is>
          <t>https://www.marches-publics.gouv.fr/entreprise</t>
        </is>
      </c>
      <c r="AG74" t="inlineStr"/>
      <c r="AH74" t="inlineStr">
        <is>
          <t>2</t>
        </is>
      </c>
      <c r="AI74" t="inlineStr">
        <is>
          <t>50</t>
        </is>
      </c>
      <c r="AJ74" t="inlineStr">
        <is>
          <t>INFO_PARTIELLE</t>
        </is>
      </c>
      <c r="AK74" t="inlineStr">
        <is>
          <t>10</t>
        </is>
      </c>
      <c r="AL74" s="16" t="inlineStr">
        <is>
          <t>FROID</t>
        </is>
      </c>
      <c r="AM74" t="inlineStr"/>
      <c r="AN74" t="inlineStr"/>
      <c r="AO74" t="inlineStr"/>
      <c r="AP74" t="inlineStr"/>
      <c r="AQ74" t="inlineStr">
        <is>
          <t>IA_BUDGET_A_VERIFIER</t>
        </is>
      </c>
      <c r="AR74" t="inlineStr">
        <is>
          <t>Verifier le budget dans l'avis source ou le DCE avant decision commerciale.</t>
        </is>
      </c>
      <c r="AS74" t="inlineStr">
        <is>
          <t>SIRET, adresse, ville, budget</t>
        </is>
      </c>
      <c r="AT7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74" t="inlineStr">
        <is>
          <t>Verifier url_avis et DCE si disponible</t>
        </is>
      </c>
      <c r="AV74" t="inlineStr">
        <is>
          <t>LIEN_SEUL</t>
        </is>
      </c>
      <c r="AW74" t="inlineStr"/>
      <c r="AX74" t="inlineStr"/>
      <c r="AY74" t="inlineStr"/>
      <c r="AZ74" t="inlineStr"/>
      <c r="BA74" t="inlineStr"/>
      <c r="BB74" t="inlineStr">
        <is>
          <t>0 pertinence metier faible | +10 budget non affiche (a verifier) | 0 date limite absente</t>
        </is>
      </c>
      <c r="BC7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7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7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74" t="inlineStr"/>
      <c r="BG74" t="inlineStr"/>
      <c r="BH74" t="inlineStr"/>
      <c r="BI74" t="inlineStr"/>
      <c r="BJ74" t="inlineStr"/>
      <c r="BK74" t="inlineStr"/>
      <c r="BL74" t="inlineStr"/>
      <c r="BM74" t="inlineStr">
        <is>
          <t>2026-W30</t>
        </is>
      </c>
    </row>
    <row r="75">
      <c r="A75" t="inlineStr">
        <is>
          <t>BOAMP</t>
        </is>
      </c>
      <c r="B75" t="inlineStr">
        <is>
          <t>26-77508</t>
        </is>
      </c>
      <c r="C75" t="inlineStr">
        <is>
          <t>Nettoyage des zones nécessitant des exigences techniques et habilitations spécifiques</t>
        </is>
      </c>
      <c r="D75" t="inlineStr">
        <is>
          <t>EFS ILE-DE-FRANCE</t>
        </is>
      </c>
      <c r="E75" t="inlineStr">
        <is>
          <t>42882285201811</t>
        </is>
      </c>
      <c r="F75" t="inlineStr">
        <is>
          <t>428822852</t>
        </is>
      </c>
      <c r="G75" t="inlineStr"/>
      <c r="H75" t="inlineStr"/>
      <c r="I75" t="inlineStr">
        <is>
          <t>marches-publics.idf@efs.sante.fr</t>
        </is>
      </c>
      <c r="J75" t="inlineStr">
        <is>
          <t>0143905000</t>
        </is>
      </c>
      <c r="K75" t="inlineStr"/>
      <c r="L75" t="inlineStr"/>
      <c r="M75" t="inlineStr"/>
      <c r="N75" t="inlineStr">
        <is>
          <t>94</t>
        </is>
      </c>
      <c r="O75" t="inlineStr"/>
      <c r="P75" t="inlineStr">
        <is>
          <t>Ile-de-France</t>
        </is>
      </c>
      <c r="Q75" s="15" t="n">
        <v>46239</v>
      </c>
      <c r="R75" s="15" t="n">
        <v>46268</v>
      </c>
      <c r="S75" s="14" t="n">
        <v>450000</v>
      </c>
      <c r="T75" t="inlineStr">
        <is>
          <t>BUDGET_EXPLICITE_OK</t>
        </is>
      </c>
      <c r="U75" t="inlineStr">
        <is>
          <t>450000</t>
        </is>
      </c>
      <c r="V75" t="inlineStr">
        <is>
          <t>oui</t>
        </is>
      </c>
      <c r="W75" t="inlineStr">
        <is>
          <t>Batiments</t>
        </is>
      </c>
      <c r="X75" t="inlineStr">
        <is>
          <t>Autre</t>
        </is>
      </c>
      <c r="Y75" t="inlineStr">
        <is>
          <t>SERVICES</t>
        </is>
      </c>
      <c r="Z75" t="inlineStr">
        <is>
          <t>Procédure Ouverte</t>
        </is>
      </c>
      <c r="AA75" t="inlineStr">
        <is>
          <t>Avis de marché</t>
        </is>
      </c>
      <c r="AB75" t="inlineStr">
        <is>
          <t>Nettoyage de locaux</t>
        </is>
      </c>
      <c r="AC75" t="inlineStr">
        <is>
          <t>['environnementaux']</t>
        </is>
      </c>
      <c r="AD75" s="11" t="inlineStr">
        <is>
          <t>https://www.boamp.fr/pages/avis/?q=idweb:26-77508</t>
        </is>
      </c>
      <c r="AE75" t="inlineStr">
        <is>
          <t>https://www.marches-publics.gouv.fr/?page=entreprise.EntrepriseHome</t>
        </is>
      </c>
      <c r="AF75" t="inlineStr">
        <is>
          <t>https://www.marches-publics.gouv.fr/?page=entreprise.EntrepriseHome</t>
        </is>
      </c>
      <c r="AG75" t="inlineStr">
        <is>
          <t>nettoyage</t>
        </is>
      </c>
      <c r="AH75" t="inlineStr">
        <is>
          <t>3</t>
        </is>
      </c>
      <c r="AI75" t="inlineStr">
        <is>
          <t>68</t>
        </is>
      </c>
      <c r="AJ75" t="inlineStr">
        <is>
          <t>INFO_PARTIELLE</t>
        </is>
      </c>
      <c r="AK75" t="inlineStr">
        <is>
          <t>8.8</t>
        </is>
      </c>
      <c r="AL75" s="16" t="inlineStr">
        <is>
          <t>FROID</t>
        </is>
      </c>
      <c r="AM75" t="inlineStr"/>
      <c r="AN75" t="inlineStr"/>
      <c r="AO75" t="inlineStr"/>
      <c r="AP75" t="inlineStr"/>
      <c r="AQ75" t="inlineStr">
        <is>
          <t>IA_CONTACT_A_COMPLETER</t>
        </is>
      </c>
      <c r="AR75" t="inlineStr">
        <is>
          <t>Completer les champs manquants depuis l'avis source, le site acheteur ou le DCE.</t>
        </is>
      </c>
      <c r="AS75" t="inlineStr">
        <is>
          <t>adresse, ville</t>
        </is>
      </c>
      <c r="AT7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26-77508. Objet: Nettoyage des zones nécessitant des exigences techniques et habilitations spécifiques. Acheteur: EFS ILE-DE-FRANCE. Lien: https://www.boamp.fr/pages/avis/?q=idweb:26-77508.</t>
        </is>
      </c>
      <c r="AU75" t="inlineStr">
        <is>
          <t>Verifier url_avis et DCE si disponible</t>
        </is>
      </c>
      <c r="AV75" t="inlineStr"/>
      <c r="AW75" t="inlineStr"/>
      <c r="AX75" t="inlineStr"/>
      <c r="AY75" t="inlineStr"/>
      <c r="AZ75" t="inlineStr"/>
      <c r="BA75" t="inlineStr"/>
      <c r="BB75" t="inlineStr">
        <is>
          <t>+33.5 nettoyage + categorie claire (1 termes) | -12.5 budget annualise 450 000 EUR | -13.7 delai 3 j | +1.5 dossier renseigne (3/4)</t>
        </is>
      </c>
      <c r="BC75" t="inlineStr">
        <is>
          <t>EFS ILE-DE-FRANCE publie un AO potentiellement pertinent pour CHRUTH : Nettoyage des zones nécessitant des exigences techniques et habilitations spécifiques. Zone : 94. Budget detecte environ 450 000 EUR. Verifier le lien source avant contact.</t>
        </is>
      </c>
      <c r="BD75" t="inlineStr">
        <is>
          <t>Bonjour,
Je me permets de vous contacter au sujet de votre appel d'offres : Nettoyage des zones nécessitant des exigences techniques et habilitations spécifiques.
CHRUTH accompagne les structures publiques et privées sur les besoins de nettoyage, d'entretien des locaux et d'organisation de prestations de service.
Serait-il possible d'échanger rapidement afin de vérifier les modalités de réponse et les attentes de EFS ILE-DE-FRANCE ?
Cordialement,</t>
        </is>
      </c>
      <c r="BE75" t="inlineStr">
        <is>
          <t>Bonjour, je vous appelle concernant un appel d'offres publié par EFS ILE-DE-FRANCE. Je souhaite vérifier les informations pratiques : périmètre des prestations, date limite, modalités de visite, contact technique et pièces attendues. Pouvez-vous m'indiquer la bonne personne à contacter ?</t>
        </is>
      </c>
      <c r="BF75" t="inlineStr"/>
      <c r="BG75" t="inlineStr"/>
      <c r="BH75" t="inlineStr"/>
      <c r="BI75" t="inlineStr"/>
      <c r="BJ75" t="inlineStr"/>
      <c r="BK75" t="inlineStr"/>
      <c r="BL75" t="inlineStr"/>
      <c r="BM75" t="inlineStr">
        <is>
          <t>2026-W32</t>
        </is>
      </c>
    </row>
    <row r="76">
      <c r="A76" t="inlineStr">
        <is>
          <t>BOAMP</t>
        </is>
      </c>
      <c r="B76" t="inlineStr">
        <is>
          <t>26-79004</t>
        </is>
      </c>
      <c r="C76" t="inlineStr">
        <is>
          <t>Accord-cadre relatif à la mise à disposition de personnel intérimaire</t>
        </is>
      </c>
      <c r="D76" t="inlineStr">
        <is>
          <t>ANRU.</t>
        </is>
      </c>
      <c r="E76" t="inlineStr">
        <is>
          <t>45367825200025</t>
        </is>
      </c>
      <c r="F76" t="inlineStr">
        <is>
          <t>453678252</t>
        </is>
      </c>
      <c r="G76" t="inlineStr"/>
      <c r="H76" t="inlineStr"/>
      <c r="I76" t="inlineStr">
        <is>
          <t>scapet@anru.fr</t>
        </is>
      </c>
      <c r="J76" t="inlineStr">
        <is>
          <t>0761066208</t>
        </is>
      </c>
      <c r="K76" t="inlineStr"/>
      <c r="L76" t="inlineStr"/>
      <c r="M76" t="inlineStr"/>
      <c r="N76" t="inlineStr">
        <is>
          <t>93</t>
        </is>
      </c>
      <c r="O76" t="inlineStr"/>
      <c r="P76" t="inlineStr">
        <is>
          <t>Ile-de-France</t>
        </is>
      </c>
      <c r="Q76" s="15" t="n">
        <v>46243</v>
      </c>
      <c r="R76" s="15" t="n">
        <v>46272</v>
      </c>
      <c r="S76" t="inlineStr"/>
      <c r="T76" t="inlineStr">
        <is>
          <t>A_VERIFIER_BUDGET</t>
        </is>
      </c>
      <c r="U76" t="inlineStr"/>
      <c r="V76" t="inlineStr">
        <is>
          <t>non</t>
        </is>
      </c>
      <c r="W76" t="inlineStr">
        <is>
          <t>Personnel</t>
        </is>
      </c>
      <c r="X76" t="inlineStr">
        <is>
          <t>Autre</t>
        </is>
      </c>
      <c r="Y76" t="inlineStr">
        <is>
          <t>SERVICES</t>
        </is>
      </c>
      <c r="Z76" t="inlineStr">
        <is>
          <t>Procédure Ouverte</t>
        </is>
      </c>
      <c r="AA76" t="inlineStr">
        <is>
          <t>Avis de marché</t>
        </is>
      </c>
      <c r="AB76" t="inlineStr">
        <is>
          <t>Prestations de services</t>
        </is>
      </c>
      <c r="AC76" t="inlineStr">
        <is>
          <t>['sociaux', 'environnementaux']</t>
        </is>
      </c>
      <c r="AD76" s="11" t="inlineStr">
        <is>
          <t>https://www.boamp.fr/pages/avis/?q=idweb:26-79004</t>
        </is>
      </c>
      <c r="AE76" t="inlineStr">
        <is>
          <t>https://www.marches-publics.gouv.fr/entreprise</t>
        </is>
      </c>
      <c r="AF76" t="inlineStr">
        <is>
          <t>https://www.marches-publics.gouv.fr/entreprise</t>
        </is>
      </c>
      <c r="AG76" t="inlineStr"/>
      <c r="AH76" t="inlineStr">
        <is>
          <t>3</t>
        </is>
      </c>
      <c r="AI76" t="inlineStr">
        <is>
          <t>60</t>
        </is>
      </c>
      <c r="AJ76" t="inlineStr">
        <is>
          <t>INFO_PARTIELLE</t>
        </is>
      </c>
      <c r="AK76" t="inlineStr">
        <is>
          <t>8.5</t>
        </is>
      </c>
      <c r="AL76" s="16" t="inlineStr">
        <is>
          <t>FROID</t>
        </is>
      </c>
      <c r="AM76" t="inlineStr"/>
      <c r="AN76" t="inlineStr"/>
      <c r="AO76" t="inlineStr"/>
      <c r="AP76" t="inlineStr"/>
      <c r="AQ76" t="inlineStr">
        <is>
          <t>IA_BUDGET_A_VERIFIER</t>
        </is>
      </c>
      <c r="AR76" t="inlineStr">
        <is>
          <t>Verifier le budget dans l'avis source ou le DCE avant decision commerciale.</t>
        </is>
      </c>
      <c r="AS76" t="inlineStr">
        <is>
          <t>adresse, ville, budget</t>
        </is>
      </c>
      <c r="AT7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26-79004. Objet: Accord-cadre relatif à la mise à disposition de personnel intérimaire. Acheteur: ANRU.. Lien: https://www.boamp.fr/pages/avis/?q=idweb:26-79004.</t>
        </is>
      </c>
      <c r="AU76" t="inlineStr">
        <is>
          <t>Verifier url_avis et DCE si disponible</t>
        </is>
      </c>
      <c r="AV76" t="inlineStr">
        <is>
          <t>LIEN_SEUL</t>
        </is>
      </c>
      <c r="AW76" t="inlineStr"/>
      <c r="AX76" t="inlineStr"/>
      <c r="AY76" t="inlineStr"/>
      <c r="AZ76" t="inlineStr"/>
      <c r="BA76" t="inlineStr"/>
      <c r="BB76" t="inlineStr">
        <is>
          <t>0 pertinence metier faible | +10 budget non affiche (a verifier) | -3.0 delai 7 j | +1.5 dossier renseigne (3/4)</t>
        </is>
      </c>
      <c r="BC76" t="inlineStr">
        <is>
          <t>ANRU. publie un AO potentiellement pertinent pour CHRUTH : Accord-cadre relatif à la mise à disposition de personnel intérimaire. Zone : 93. Budget a verifier. Verifier le lien source avant contact.</t>
        </is>
      </c>
      <c r="BD76" t="inlineStr">
        <is>
          <t>Bonjour,
Je me permets de vous contacter au sujet de votre appel d'offres : Accord-cadre relatif à la mise à disposition de personnel intérimaire.
CHRUTH accompagne les structures publiques et privées sur les besoins de nettoyage, d'entretien des locaux et d'organisation de prestations de service.
Serait-il possible d'échanger rapidement afin de vérifier les modalités de réponse et les attentes de ANRU. ?
Cordialement,</t>
        </is>
      </c>
      <c r="BE76" t="inlineStr">
        <is>
          <t>Bonjour, je vous appelle concernant un appel d'offres publié par ANRU.. Je souhaite vérifier les informations pratiques : périmètre des prestations, date limite, modalités de visite, contact technique et pièces attendues. Pouvez-vous m'indiquer la bonne personne à contacter ?</t>
        </is>
      </c>
      <c r="BF76" t="inlineStr"/>
      <c r="BG76" t="inlineStr"/>
      <c r="BH76" t="inlineStr"/>
      <c r="BI76" t="inlineStr"/>
      <c r="BJ76" t="inlineStr"/>
      <c r="BK76" t="inlineStr"/>
      <c r="BL76" t="inlineStr"/>
      <c r="BM76" t="inlineStr">
        <is>
          <t>2026-W32</t>
        </is>
      </c>
    </row>
    <row r="77">
      <c r="A77" t="inlineStr">
        <is>
          <t>BOAMP</t>
        </is>
      </c>
      <c r="B77" t="inlineStr">
        <is>
          <t>26-81752</t>
        </is>
      </c>
      <c r="C77" t="inlineStr">
        <is>
          <t>Prestations d'accompagnement au recrutement et de mise à disposition de personnel intérimaire et prestations associées</t>
        </is>
      </c>
      <c r="D77" t="inlineStr">
        <is>
          <t>Conseil National Ordre Des Pharmaciens</t>
        </is>
      </c>
      <c r="E77" t="inlineStr">
        <is>
          <t>17750111101763</t>
        </is>
      </c>
      <c r="F77" t="inlineStr">
        <is>
          <t>177501111</t>
        </is>
      </c>
      <c r="G77" t="inlineStr"/>
      <c r="H77" t="inlineStr"/>
      <c r="I77" t="inlineStr">
        <is>
          <t>fpette@ordre.pharmacien.fr</t>
        </is>
      </c>
      <c r="J77" t="inlineStr">
        <is>
          <t>+33 156213580</t>
        </is>
      </c>
      <c r="K77" t="inlineStr"/>
      <c r="L77" t="inlineStr"/>
      <c r="M77" t="inlineStr"/>
      <c r="N77" t="inlineStr">
        <is>
          <t>75</t>
        </is>
      </c>
      <c r="O77" t="inlineStr"/>
      <c r="P77" t="inlineStr">
        <is>
          <t>Ile-de-France</t>
        </is>
      </c>
      <c r="Q77" s="15" t="n">
        <v>46255</v>
      </c>
      <c r="R77" s="15" t="n">
        <v>46293</v>
      </c>
      <c r="S77" s="14" t="n">
        <v>2500000</v>
      </c>
      <c r="T77" t="inlineStr">
        <is>
          <t>BUDGET_EXPLICITE_OK</t>
        </is>
      </c>
      <c r="U77" t="inlineStr">
        <is>
          <t>2500000.0</t>
        </is>
      </c>
      <c r="V77" t="inlineStr">
        <is>
          <t>non</t>
        </is>
      </c>
      <c r="W77" t="inlineStr">
        <is>
          <t>Personnel</t>
        </is>
      </c>
      <c r="X77" t="inlineStr">
        <is>
          <t>Autre</t>
        </is>
      </c>
      <c r="Y77" t="inlineStr">
        <is>
          <t>SERVICES</t>
        </is>
      </c>
      <c r="Z77" t="inlineStr">
        <is>
          <t>Procédure Ouverte</t>
        </is>
      </c>
      <c r="AA77" t="inlineStr">
        <is>
          <t>Avis de marché</t>
        </is>
      </c>
      <c r="AB77" t="inlineStr">
        <is>
          <t>Prestations de services</t>
        </is>
      </c>
      <c r="AC77" t="inlineStr"/>
      <c r="AD77" s="11" t="inlineStr">
        <is>
          <t>https://www.boamp.fr/pages/avis/?q=idweb:26-81752</t>
        </is>
      </c>
      <c r="AE77" t="inlineStr">
        <is>
          <t>https://ordre-pharmacien.e-marchespublics.com</t>
        </is>
      </c>
      <c r="AF77" t="inlineStr">
        <is>
          <t>https://ordre-pharmacien.e-marchespublics.com</t>
        </is>
      </c>
      <c r="AG77" t="inlineStr"/>
      <c r="AH77" t="inlineStr">
        <is>
          <t>3</t>
        </is>
      </c>
      <c r="AI77" t="inlineStr">
        <is>
          <t>60</t>
        </is>
      </c>
      <c r="AJ77" t="inlineStr">
        <is>
          <t>INFO_PARTIELLE</t>
        </is>
      </c>
      <c r="AK77" t="inlineStr">
        <is>
          <t>0.0</t>
        </is>
      </c>
      <c r="AL77" s="16" t="inlineStr">
        <is>
          <t>FROID</t>
        </is>
      </c>
      <c r="AM77" t="inlineStr"/>
      <c r="AN77" t="inlineStr"/>
      <c r="AO77" t="inlineStr"/>
      <c r="AP77" t="inlineStr"/>
      <c r="AQ77" t="inlineStr">
        <is>
          <t>IA_CONTACT_A_COMPLETER</t>
        </is>
      </c>
      <c r="AR77" t="inlineStr">
        <is>
          <t>Completer les champs manquants depuis l'avis source, le site acheteur ou le DCE.</t>
        </is>
      </c>
      <c r="AS77" t="inlineStr">
        <is>
          <t>adresse, ville</t>
        </is>
      </c>
      <c r="AT7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26-81752. Objet: Prestations d'accompagnement au recrutement et de mise à disposition de personnel intérimaire et prestations associées. Acheteur: Conseil National Ordre Des Pharmaciens. Lien: https://www.boamp.fr/pages/avis/?q=idweb:26-81752.</t>
        </is>
      </c>
      <c r="AU77" t="inlineStr">
        <is>
          <t>Verifier url_avis et DCE si disponible</t>
        </is>
      </c>
      <c r="AV77" t="inlineStr"/>
      <c r="AW77" t="inlineStr"/>
      <c r="AX77" t="inlineStr"/>
      <c r="AY77" t="inlineStr"/>
      <c r="AZ77" t="inlineStr"/>
      <c r="BA77" t="inlineStr"/>
      <c r="BB77" t="inlineStr">
        <is>
          <t>0 pertinence metier faible | -20.0 budget annualise 2 500 000 EUR | +9.5 delai 28 j | +1.5 dossier renseigne (3/4)</t>
        </is>
      </c>
      <c r="BC77" t="inlineStr">
        <is>
          <t>Conseil National Ordre Des Pharmaciens publie un AO potentiellement pertinent pour CHRUTH : Prestations d'accompagnement au recrutement et de mise à disposition de personnel intérimaire et prestations associées. Zone : 75. Budget detecte environ 2 500 000 EUR. Verifier le lien source avant contact.</t>
        </is>
      </c>
      <c r="BD77" t="inlineStr">
        <is>
          <t>Bonjour,
Je me permets de vous contacter au sujet de votre appel d'offres : Prestations d'accompagnement au recrutement et de mise à disposition de personnel intérimaire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Conseil National Ordre Des Pharmaciens ?
Cordialement,</t>
        </is>
      </c>
      <c r="BE77" t="inlineStr">
        <is>
          <t>Bonjour, je vous appelle concernant un appel d'offres publié par Conseil National Ordre Des Pharmaciens. Je souhaite vérifier les informations pratiques : périmètre des prestations, date limite, modalités de visite, contact technique et pièces attendues. Pouvez-vous m'indiquer la bonne personne à contacter ?</t>
        </is>
      </c>
      <c r="BF77" t="inlineStr"/>
      <c r="BG77" t="inlineStr"/>
      <c r="BH77" t="inlineStr"/>
      <c r="BI77" t="inlineStr"/>
      <c r="BJ77" t="inlineStr"/>
      <c r="BK77" t="inlineStr"/>
      <c r="BL77" t="inlineStr"/>
      <c r="BM77" t="inlineStr">
        <is>
          <t>2026-W34</t>
        </is>
      </c>
    </row>
    <row r="78">
      <c r="A78" t="inlineStr">
        <is>
          <t>BOAMP</t>
        </is>
      </c>
      <c r="B78" t="inlineStr">
        <is>
          <t>26-80563</t>
        </is>
      </c>
      <c r="C78" t="inlineStr">
        <is>
          <t>ACCORD-CADRE RELATIF AUX PRESTATIONS DE SECURITE DES PERSONNES ET DE SURVEILLANCE DES BIENS POUR LES SITES DES CIRCONSCRIPTIONS DES DELEGATIONS REGIONALES D’ILE-DE-FRANCE DU CNRS</t>
        </is>
      </c>
      <c r="D78" t="inlineStr">
        <is>
          <t>CNRS VILLEJUIF</t>
        </is>
      </c>
      <c r="E78" t="inlineStr">
        <is>
          <t>18008901303720</t>
        </is>
      </c>
      <c r="F78" t="inlineStr">
        <is>
          <t>180089013</t>
        </is>
      </c>
      <c r="G78" t="inlineStr"/>
      <c r="H78" t="inlineStr"/>
      <c r="I78" t="inlineStr">
        <is>
          <t>fabien.allaire@cnrs.fr</t>
        </is>
      </c>
      <c r="J78" t="inlineStr">
        <is>
          <t>0890130372</t>
        </is>
      </c>
      <c r="K78" t="inlineStr"/>
      <c r="L78" t="inlineStr"/>
      <c r="M78" t="inlineStr"/>
      <c r="N78" t="inlineStr">
        <is>
          <t>94,91,75,92</t>
        </is>
      </c>
      <c r="O78" t="inlineStr"/>
      <c r="P78" t="inlineStr">
        <is>
          <t>Ile-de-France</t>
        </is>
      </c>
      <c r="Q78" s="15" t="n">
        <v>46250</v>
      </c>
      <c r="R78" s="15" t="n">
        <v>46252</v>
      </c>
      <c r="S78" s="14" t="n">
        <v>18800000</v>
      </c>
      <c r="T78" t="inlineStr">
        <is>
          <t>BUDGET_EXPLICITE_OK</t>
        </is>
      </c>
      <c r="U78" t="inlineStr">
        <is>
          <t>112800000</t>
        </is>
      </c>
      <c r="V78" t="inlineStr">
        <is>
          <t>oui</t>
        </is>
      </c>
      <c r="W78" t="inlineStr">
        <is>
          <t>Personnel</t>
        </is>
      </c>
      <c r="X78" t="inlineStr">
        <is>
          <t>Autre</t>
        </is>
      </c>
      <c r="Y78" t="inlineStr">
        <is>
          <t>SERVICES</t>
        </is>
      </c>
      <c r="Z78" t="inlineStr">
        <is>
          <t>Procédure Ouverte</t>
        </is>
      </c>
      <c r="AA78" t="inlineStr">
        <is>
          <t>Avis de marché</t>
        </is>
      </c>
      <c r="AB78" t="inlineStr">
        <is>
          <t>Gardiennage, Sécurité incendie, Surveillance</t>
        </is>
      </c>
      <c r="AC78" t="inlineStr">
        <is>
          <t>['sociaux', 'environnementaux']</t>
        </is>
      </c>
      <c r="AD78" s="11" t="inlineStr">
        <is>
          <t>https://www.boamp.fr/pages/avis/?q=idweb:26-80563</t>
        </is>
      </c>
      <c r="AE78" t="inlineStr">
        <is>
          <t>https://www.marches-publics.gouv.fr/entreprise</t>
        </is>
      </c>
      <c r="AF78" t="inlineStr">
        <is>
          <t>https://www.marches-publics.gouv.fr/entreprise</t>
        </is>
      </c>
      <c r="AG78" t="inlineStr"/>
      <c r="AH78" t="inlineStr">
        <is>
          <t>3</t>
        </is>
      </c>
      <c r="AI78" t="inlineStr">
        <is>
          <t>60</t>
        </is>
      </c>
      <c r="AJ78" t="inlineStr">
        <is>
          <t>INFO_PARTIELLE</t>
        </is>
      </c>
      <c r="AK78" t="inlineStr">
        <is>
          <t>0.0</t>
        </is>
      </c>
      <c r="AL78" s="16" t="inlineStr">
        <is>
          <t>FROID</t>
        </is>
      </c>
      <c r="AM78" t="inlineStr"/>
      <c r="AN78" t="inlineStr"/>
      <c r="AO78" t="inlineStr"/>
      <c r="AP78" t="inlineStr"/>
      <c r="AQ78" t="inlineStr">
        <is>
          <t>IA_CONTACT_A_COMPLETER</t>
        </is>
      </c>
      <c r="AR78" t="inlineStr">
        <is>
          <t>Completer les champs manquants depuis l'avis source, le site acheteur ou le DCE.</t>
        </is>
      </c>
      <c r="AS78" t="inlineStr">
        <is>
          <t>adresse, ville</t>
        </is>
      </c>
      <c r="AT7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26-80563. Objet: ACCORD-CADRE RELATIF AUX PRESTATIONS DE SECURITE DES PERSONNES ET DE SURVEILLANCE DES BIENS POUR LES SITES DES CIRCONSCRIPTIONS DES DELEGATIONS REGIONALES D’ILE-DE-FRANCE DU CNRS. Acheteur: CNRS VILLEJUIF. Lien: https://www.boamp.fr/pages/avis/?q=idweb:26-80563.</t>
        </is>
      </c>
      <c r="AU78" t="inlineStr">
        <is>
          <t>Verifier url_avis et DCE si disponible</t>
        </is>
      </c>
      <c r="AV78" t="inlineStr"/>
      <c r="AW78" t="inlineStr"/>
      <c r="AX78" t="inlineStr"/>
      <c r="AY78" t="inlineStr"/>
      <c r="AZ78" t="inlineStr"/>
      <c r="BA78" t="inlineStr"/>
      <c r="BB78" t="inlineStr">
        <is>
          <t>0 pertinence metier faible | -20.0 budget annualise 112 800 000 EUR | -30 AO expire | +1.5 dossier renseigne (3/4)</t>
        </is>
      </c>
      <c r="BC78" t="inlineStr">
        <is>
          <t>CNRS VILLEJUIF publie un AO potentiellement pertinent pour CHRUTH : ACCORD-CADRE RELATIF AUX PRESTATIONS DE SECURITE DES PERSONNES ET DE SURVEILLANCE DES BIENS POUR LES SITES DES CIRCONSCRIPTIONS DES DELEGATIONS REGIONALES D’ILE-DE-FRANCE DU CNRS. Zone : 94,91,75,92. Budget detecte environ 18 800 000 EUR. Verifier le lien source avant contact.</t>
        </is>
      </c>
      <c r="BD78" t="inlineStr">
        <is>
          <t>Bonjour,
Je me permets de vous contacter au sujet de votre appel d'offres : ACCORD-CADRE RELATIF AUX PRESTATIONS DE SECURITE DES PERSONNES ET DE SURVEILLANCE DES BIENS POUR LES SITES DES CIRCONSCRIPTIONS DES DELEGATIONS REGIONALES D’ILE-DE-FRANCE DU CNRS.
CHRUTH accompagne les structures publiques et privées sur les besoins de nettoyage, d'entretien des locaux et d'organisation de prestations de service.
Serait-il possible d'échanger rapidement afin de vérifier les modalités de réponse et les attentes de CNRS VILLEJUIF ?
Cordialement,</t>
        </is>
      </c>
      <c r="BE78" t="inlineStr">
        <is>
          <t>Bonjour, je vous appelle concernant un appel d'offres publié par CNRS VILLEJUIF. Je souhaite vérifier les informations pratiques : périmètre des prestations, date limite, modalités de visite, contact technique et pièces attendues. Pouvez-vous m'indiquer la bonne personne à contacter ?</t>
        </is>
      </c>
      <c r="BF78" t="inlineStr"/>
      <c r="BG78" t="inlineStr"/>
      <c r="BH78" t="inlineStr"/>
      <c r="BI78" t="inlineStr"/>
      <c r="BJ78" t="inlineStr"/>
      <c r="BK78" t="inlineStr"/>
      <c r="BL78" t="inlineStr"/>
      <c r="BM78" t="inlineStr">
        <is>
          <t>2026-W33</t>
        </is>
      </c>
    </row>
    <row r="79">
      <c r="A79" t="inlineStr">
        <is>
          <t>BOAMP</t>
        </is>
      </c>
      <c r="B79" t="inlineStr">
        <is>
          <t>26-80651</t>
        </is>
      </c>
      <c r="C79" t="inlineStr">
        <is>
          <t>ENTRETIEN DES ESPACES VERTS</t>
        </is>
      </c>
      <c r="D79" t="inlineStr">
        <is>
          <t>COMMUNE DE FONTENAY-SOUS-BOIS</t>
        </is>
      </c>
      <c r="E79" t="inlineStr">
        <is>
          <t>21940033000011</t>
        </is>
      </c>
      <c r="F79" t="inlineStr">
        <is>
          <t>219400330</t>
        </is>
      </c>
      <c r="G79" t="inlineStr"/>
      <c r="H79" t="inlineStr"/>
      <c r="I79" t="inlineStr">
        <is>
          <t>achats@fontenay-sous-bois.fr</t>
        </is>
      </c>
      <c r="J79" t="inlineStr">
        <is>
          <t>+33 149747474</t>
        </is>
      </c>
      <c r="K79" t="inlineStr"/>
      <c r="L79" t="inlineStr"/>
      <c r="M79" t="inlineStr"/>
      <c r="N79" t="inlineStr">
        <is>
          <t>94</t>
        </is>
      </c>
      <c r="O79" t="inlineStr"/>
      <c r="P79" t="inlineStr">
        <is>
          <t>Ile-de-France</t>
        </is>
      </c>
      <c r="Q79" s="15" t="n">
        <v>46250</v>
      </c>
      <c r="R79" s="15" t="n">
        <v>46283</v>
      </c>
      <c r="S79" s="14" t="n">
        <v>1500000</v>
      </c>
      <c r="T79" t="inlineStr">
        <is>
          <t>BUDGET_EXPLICITE_OK</t>
        </is>
      </c>
      <c r="U79" t="inlineStr">
        <is>
          <t>1500000.0</t>
        </is>
      </c>
      <c r="V79" t="inlineStr">
        <is>
          <t>non</t>
        </is>
      </c>
      <c r="W79" t="inlineStr">
        <is>
          <t>Personnel</t>
        </is>
      </c>
      <c r="X79" t="inlineStr">
        <is>
          <t>Mairie</t>
        </is>
      </c>
      <c r="Y79" t="inlineStr">
        <is>
          <t>SERVICES</t>
        </is>
      </c>
      <c r="Z79" t="inlineStr">
        <is>
          <t>Procédure Ouverte</t>
        </is>
      </c>
      <c r="AA79" t="inlineStr">
        <is>
          <t>Avis de marché</t>
        </is>
      </c>
      <c r="AB79" t="inlineStr">
        <is>
          <t>Espaces verts</t>
        </is>
      </c>
      <c r="AC79" t="inlineStr"/>
      <c r="AD79" s="11" t="inlineStr">
        <is>
          <t>https://www.boamp.fr/pages/avis/?q=idweb:26-80651</t>
        </is>
      </c>
      <c r="AE79" t="inlineStr">
        <is>
          <t>https://www.fontenay.fr/index.html</t>
        </is>
      </c>
      <c r="AF79" t="inlineStr"/>
      <c r="AG79" t="inlineStr"/>
      <c r="AH79" t="inlineStr">
        <is>
          <t>3</t>
        </is>
      </c>
      <c r="AI79" t="inlineStr">
        <is>
          <t>60</t>
        </is>
      </c>
      <c r="AJ79" t="inlineStr">
        <is>
          <t>INFO_PARTIELLE</t>
        </is>
      </c>
      <c r="AK79" t="inlineStr">
        <is>
          <t>0.0</t>
        </is>
      </c>
      <c r="AL79" s="16" t="inlineStr">
        <is>
          <t>FROID</t>
        </is>
      </c>
      <c r="AM79" t="inlineStr"/>
      <c r="AN79" t="inlineStr"/>
      <c r="AO79" t="inlineStr"/>
      <c r="AP79" t="inlineStr"/>
      <c r="AQ79" t="inlineStr">
        <is>
          <t>IA_CONTACT_A_COMPLETER</t>
        </is>
      </c>
      <c r="AR79" t="inlineStr">
        <is>
          <t>Completer les champs manquants depuis l'avis source, le site acheteur ou le DCE.</t>
        </is>
      </c>
      <c r="AS79" t="inlineStr">
        <is>
          <t>adresse, ville</t>
        </is>
      </c>
      <c r="AT7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26-80651. Objet: ENTRETIEN DES ESPACES VERTS. Acheteur: COMMUNE DE FONTENAY-SOUS-BOIS. Lien: https://www.boamp.fr/pages/avis/?q=idweb:26-80651.</t>
        </is>
      </c>
      <c r="AU79" t="inlineStr">
        <is>
          <t>Verifier url_avis et DCE si disponible</t>
        </is>
      </c>
      <c r="AV79" t="inlineStr"/>
      <c r="AW79" t="inlineStr"/>
      <c r="AX79" t="inlineStr"/>
      <c r="AY79" t="inlineStr"/>
      <c r="AZ79" t="inlineStr"/>
      <c r="BA79" t="inlineStr"/>
      <c r="BB79" t="inlineStr">
        <is>
          <t>0 pertinence metier faible | -20.0 budget annualise 1 500 000 EUR | +10 secteur cible Mairie | +7.0 delai 18 j | +1.5 dossier renseigne (3/4)</t>
        </is>
      </c>
      <c r="BC79" t="inlineStr">
        <is>
          <t>COMMUNE DE FONTENAY-SOUS-BOIS publie un AO potentiellement pertinent pour CHRUTH : ENTRETIEN DES ESPACES VERTS. Zone : 94. Budget detecte environ 1 500 000 EUR. Verifier le lien source avant contact.</t>
        </is>
      </c>
      <c r="BD79"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79"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79" t="inlineStr"/>
      <c r="BG79" t="inlineStr"/>
      <c r="BH79" t="inlineStr"/>
      <c r="BI79" t="inlineStr"/>
      <c r="BJ79" t="inlineStr"/>
      <c r="BK79" t="inlineStr"/>
      <c r="BL79" t="inlineStr"/>
      <c r="BM79" t="inlineStr">
        <is>
          <t>2026-W33</t>
        </is>
      </c>
    </row>
    <row r="80">
      <c r="A80" t="inlineStr">
        <is>
          <t>BOAMP</t>
        </is>
      </c>
      <c r="B80" t="inlineStr">
        <is>
          <t>26-73122</t>
        </is>
      </c>
      <c r="C80" t="inlineStr">
        <is>
          <t>Mise à disposition de professionnels paramédicaux et éducatifs pour la Direction de la protection de l'enfance et de la jeunesse.</t>
        </is>
      </c>
      <c r="D80" t="inlineStr">
        <is>
          <t>Département du Val-de-Marne</t>
        </is>
      </c>
      <c r="E80" t="inlineStr">
        <is>
          <t>22940028800010</t>
        </is>
      </c>
      <c r="F80" t="inlineStr">
        <is>
          <t>229400288</t>
        </is>
      </c>
      <c r="G80" t="inlineStr"/>
      <c r="H80" t="inlineStr"/>
      <c r="I80" t="inlineStr">
        <is>
          <t>dapm@valdemarne.fr</t>
        </is>
      </c>
      <c r="J80" t="inlineStr">
        <is>
          <t>0704900017</t>
        </is>
      </c>
      <c r="K80" t="inlineStr"/>
      <c r="L80" t="inlineStr"/>
      <c r="M80" t="inlineStr"/>
      <c r="N80" t="inlineStr">
        <is>
          <t>94</t>
        </is>
      </c>
      <c r="O80" t="inlineStr"/>
      <c r="P80" t="inlineStr">
        <is>
          <t>Ile-de-France</t>
        </is>
      </c>
      <c r="Q80" s="15" t="n">
        <v>46226</v>
      </c>
      <c r="R80" s="15" t="n">
        <v>46276</v>
      </c>
      <c r="S80" s="14" t="n">
        <v>2800000</v>
      </c>
      <c r="T80" t="inlineStr">
        <is>
          <t>BUDGET_EXPLICITE_OK</t>
        </is>
      </c>
      <c r="U80" t="inlineStr">
        <is>
          <t>2800000</t>
        </is>
      </c>
      <c r="V80" t="inlineStr">
        <is>
          <t>oui</t>
        </is>
      </c>
      <c r="W80" t="inlineStr">
        <is>
          <t>Personnel</t>
        </is>
      </c>
      <c r="X80" t="inlineStr">
        <is>
          <t>Autre</t>
        </is>
      </c>
      <c r="Y80" t="inlineStr">
        <is>
          <t>SERVICES</t>
        </is>
      </c>
      <c r="Z80" t="inlineStr">
        <is>
          <t>Procédure Ouverte</t>
        </is>
      </c>
      <c r="AA80" t="inlineStr">
        <is>
          <t>Avis de marché</t>
        </is>
      </c>
      <c r="AB80" t="inlineStr">
        <is>
          <t>Mise à disposition de personnel</t>
        </is>
      </c>
      <c r="AC80" t="inlineStr">
        <is>
          <t>['environnementaux']</t>
        </is>
      </c>
      <c r="AD80" s="11" t="inlineStr">
        <is>
          <t>https://www.boamp.fr/pages/avis/?q=idweb:26-73122</t>
        </is>
      </c>
      <c r="AE80" t="inlineStr">
        <is>
          <t>https://marches.maximilien.fr/?page=Entreprise.EntrepriseAdvancedSearch&amp;AllCons&amp;id=943156&amp;orgAcronyme=a8z</t>
        </is>
      </c>
      <c r="AF80" t="inlineStr">
        <is>
          <t>https://marches.maximilien.fr/?page=Entreprise.EntrepriseAdvancedSearch&amp;AllCons&amp;id=943156&amp;orgAcronyme=a8z</t>
        </is>
      </c>
      <c r="AG80" t="inlineStr"/>
      <c r="AH80" t="inlineStr">
        <is>
          <t>3</t>
        </is>
      </c>
      <c r="AI80" t="inlineStr">
        <is>
          <t>60</t>
        </is>
      </c>
      <c r="AJ80" t="inlineStr">
        <is>
          <t>INFO_PARTIELLE</t>
        </is>
      </c>
      <c r="AK80" t="inlineStr">
        <is>
          <t>0</t>
        </is>
      </c>
      <c r="AL80" s="16" t="inlineStr">
        <is>
          <t>FROID</t>
        </is>
      </c>
      <c r="AM80" t="inlineStr"/>
      <c r="AN80" t="inlineStr"/>
      <c r="AO80" t="inlineStr"/>
      <c r="AP80" t="inlineStr"/>
      <c r="AQ80" t="inlineStr">
        <is>
          <t>IA_CONTACT_A_COMPLETER</t>
        </is>
      </c>
      <c r="AR80" t="inlineStr">
        <is>
          <t>Completer les champs manquants depuis l'avis source, le site acheteur ou le DCE.</t>
        </is>
      </c>
      <c r="AS80" t="inlineStr">
        <is>
          <t>adresse, ville</t>
        </is>
      </c>
      <c r="AT8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80" t="inlineStr">
        <is>
          <t>Verifier url_avis et DCE si disponible</t>
        </is>
      </c>
      <c r="AV80" t="inlineStr"/>
      <c r="AW80" t="inlineStr"/>
      <c r="AX80" t="inlineStr"/>
      <c r="AY80" t="inlineStr"/>
      <c r="AZ80" t="inlineStr"/>
      <c r="BA80" t="inlineStr"/>
      <c r="BB80" t="inlineStr">
        <is>
          <t>0 pertinence metier faible | -20 gros budget (&gt; 500 000 EUR) | +10 delai confortable 45j</t>
        </is>
      </c>
      <c r="BC80"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80"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80"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80" t="inlineStr"/>
      <c r="BG80" t="inlineStr"/>
      <c r="BH80" t="inlineStr"/>
      <c r="BI80" t="inlineStr"/>
      <c r="BJ80" t="inlineStr"/>
      <c r="BK80" t="inlineStr"/>
      <c r="BL80" t="inlineStr"/>
      <c r="BM80" t="inlineStr">
        <is>
          <t>2026-W30</t>
        </is>
      </c>
    </row>
    <row r="81">
      <c r="A81" t="inlineStr">
        <is>
          <t>BOAMP</t>
        </is>
      </c>
      <c r="B81" t="inlineStr">
        <is>
          <t>26-70414</t>
        </is>
      </c>
      <c r="C81" t="inlineStr">
        <is>
          <t>prestations de gestion de l'entretien et des réparations des flottes de véhicules terrestres d’un PTAC ≤ 3,5 tonnes et des prestations d’assistance pour les véhicules en auto assurance</t>
        </is>
      </c>
      <c r="D81" t="inlineStr">
        <is>
          <t>Direction des Achats de l'Etat (DAE)</t>
        </is>
      </c>
      <c r="E81" t="inlineStr">
        <is>
          <t>13002220500012</t>
        </is>
      </c>
      <c r="F81" t="inlineStr">
        <is>
          <t>130022205</t>
        </is>
      </c>
      <c r="G81" t="inlineStr"/>
      <c r="H81" t="inlineStr"/>
      <c r="I81" t="inlineStr">
        <is>
          <t>mobilite.dae@finances.gouv.fr</t>
        </is>
      </c>
      <c r="J81" t="inlineStr">
        <is>
          <t>0222050001</t>
        </is>
      </c>
      <c r="K81" t="inlineStr"/>
      <c r="L81" t="inlineStr"/>
      <c r="M81" t="inlineStr"/>
      <c r="N81" t="inlineStr">
        <is>
          <t>75</t>
        </is>
      </c>
      <c r="O81" t="inlineStr"/>
      <c r="P81" t="inlineStr">
        <is>
          <t>Ile-de-France</t>
        </is>
      </c>
      <c r="Q81" s="15" t="n">
        <v>46220</v>
      </c>
      <c r="R81" s="15" t="n">
        <v>46233</v>
      </c>
      <c r="S81" s="14" t="n">
        <v>580000000</v>
      </c>
      <c r="T81" t="inlineStr">
        <is>
          <t>BUDGET_EXPLICITE_OK</t>
        </is>
      </c>
      <c r="U81" t="inlineStr">
        <is>
          <t>1160000000</t>
        </is>
      </c>
      <c r="V81" t="inlineStr">
        <is>
          <t>oui</t>
        </is>
      </c>
      <c r="W81" t="inlineStr">
        <is>
          <t>Personnel</t>
        </is>
      </c>
      <c r="X81" t="inlineStr">
        <is>
          <t>Autre</t>
        </is>
      </c>
      <c r="Y81" t="inlineStr">
        <is>
          <t>SERVICES</t>
        </is>
      </c>
      <c r="Z81" t="inlineStr">
        <is>
          <t>Procédure Ouverte</t>
        </is>
      </c>
      <c r="AA81" t="inlineStr">
        <is>
          <t>Avis de marché</t>
        </is>
      </c>
      <c r="AB81" t="inlineStr">
        <is>
          <t>Prestations de services</t>
        </is>
      </c>
      <c r="AC81" t="inlineStr">
        <is>
          <t>['sociaux', 'environnementaux']</t>
        </is>
      </c>
      <c r="AD81" s="11" t="inlineStr">
        <is>
          <t>https://www.boamp.fr/pages/avis/?q=idweb:26-70414</t>
        </is>
      </c>
      <c r="AE81" t="inlineStr">
        <is>
          <t>https://www.marches-publics.gouv.fr</t>
        </is>
      </c>
      <c r="AF81" t="inlineStr">
        <is>
          <t>https://www.marches-publics.gouv.fr</t>
        </is>
      </c>
      <c r="AG81" t="inlineStr"/>
      <c r="AH81" t="inlineStr">
        <is>
          <t>3</t>
        </is>
      </c>
      <c r="AI81" t="inlineStr">
        <is>
          <t>60</t>
        </is>
      </c>
      <c r="AJ81" t="inlineStr">
        <is>
          <t>INFO_PARTIELLE</t>
        </is>
      </c>
      <c r="AK81" t="inlineStr">
        <is>
          <t>0</t>
        </is>
      </c>
      <c r="AL81" s="16" t="inlineStr">
        <is>
          <t>FROID</t>
        </is>
      </c>
      <c r="AM81" t="inlineStr"/>
      <c r="AN81" t="inlineStr"/>
      <c r="AO81" t="inlineStr"/>
      <c r="AP81" t="inlineStr"/>
      <c r="AQ81" t="inlineStr">
        <is>
          <t>IA_CONTACT_A_COMPLETER</t>
        </is>
      </c>
      <c r="AR81" t="inlineStr">
        <is>
          <t>Completer les champs manquants depuis l'avis source, le site acheteur ou le DCE.</t>
        </is>
      </c>
      <c r="AS81" t="inlineStr">
        <is>
          <t>adresse, ville</t>
        </is>
      </c>
      <c r="AT8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81" t="inlineStr">
        <is>
          <t>Verifier url_avis et DCE si disponible</t>
        </is>
      </c>
      <c r="AV81" t="inlineStr"/>
      <c r="AW81" t="inlineStr"/>
      <c r="AX81" t="inlineStr"/>
      <c r="AY81" t="inlineStr"/>
      <c r="AZ81" t="inlineStr"/>
      <c r="BA81" t="inlineStr"/>
      <c r="BB81" t="inlineStr">
        <is>
          <t>0 pertinence metier faible | -20 gros budget (&gt; 500 000 EUR) | -15 delai critique 2j</t>
        </is>
      </c>
      <c r="BC81"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81"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81"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81" t="inlineStr"/>
      <c r="BG81" t="inlineStr"/>
      <c r="BH81" t="inlineStr"/>
      <c r="BI81" t="inlineStr"/>
      <c r="BJ81" t="inlineStr"/>
      <c r="BK81" t="inlineStr"/>
      <c r="BL81" t="inlineStr"/>
      <c r="BM81" t="inlineStr">
        <is>
          <t>2026-W29</t>
        </is>
      </c>
    </row>
    <row r="82">
      <c r="A82" t="inlineStr">
        <is>
          <t>BOAMP</t>
        </is>
      </c>
      <c r="B82" t="inlineStr">
        <is>
          <t>26-70509</t>
        </is>
      </c>
      <c r="C82" t="inlineStr">
        <is>
          <t>GARDIENNAGE ET SURVEILLANCE DU CENTRE DE FORMATION DE GURCY-LE-CHATEL</t>
        </is>
      </c>
      <c r="D82" t="inlineStr">
        <is>
          <t>SDIS 77 de Seine-et-Marne</t>
        </is>
      </c>
      <c r="E82" t="inlineStr">
        <is>
          <t>28770831700014</t>
        </is>
      </c>
      <c r="F82" t="inlineStr">
        <is>
          <t>287708317</t>
        </is>
      </c>
      <c r="G82" t="inlineStr"/>
      <c r="H82" t="inlineStr"/>
      <c r="I82" t="inlineStr">
        <is>
          <t>marchespublics@sdis77.fr</t>
        </is>
      </c>
      <c r="J82" t="inlineStr">
        <is>
          <t>0831700014</t>
        </is>
      </c>
      <c r="K82" t="inlineStr"/>
      <c r="L82" t="inlineStr"/>
      <c r="M82" t="inlineStr"/>
      <c r="N82" t="inlineStr">
        <is>
          <t>77,91</t>
        </is>
      </c>
      <c r="O82" t="inlineStr"/>
      <c r="P82" t="inlineStr">
        <is>
          <t>Ile-de-France</t>
        </is>
      </c>
      <c r="Q82" s="15" t="n">
        <v>46220</v>
      </c>
      <c r="R82" t="inlineStr"/>
      <c r="S82" s="14" t="n">
        <v>250000</v>
      </c>
      <c r="T82" t="inlineStr">
        <is>
          <t>BUDGET_EXPLICITE_OK</t>
        </is>
      </c>
      <c r="U82" t="inlineStr">
        <is>
          <t>500000</t>
        </is>
      </c>
      <c r="V82" t="inlineStr">
        <is>
          <t>oui</t>
        </is>
      </c>
      <c r="W82" t="inlineStr">
        <is>
          <t>Personnel</t>
        </is>
      </c>
      <c r="X82" t="inlineStr">
        <is>
          <t>Autre</t>
        </is>
      </c>
      <c r="Y82" t="inlineStr">
        <is>
          <t>SERVICES</t>
        </is>
      </c>
      <c r="Z82" t="inlineStr">
        <is>
          <t>Procédure Restreinte</t>
        </is>
      </c>
      <c r="AA82" t="inlineStr">
        <is>
          <t>Avis de marché</t>
        </is>
      </c>
      <c r="AB82" t="inlineStr">
        <is>
          <t>Gardiennage</t>
        </is>
      </c>
      <c r="AC82" t="inlineStr">
        <is>
          <t>['environnementaux']</t>
        </is>
      </c>
      <c r="AD82" s="11" t="inlineStr">
        <is>
          <t>https://www.boamp.fr/pages/avis/?q=idweb:26-70509</t>
        </is>
      </c>
      <c r="AE82" t="inlineStr">
        <is>
          <t>http://melun.tribunal-administratif.fr</t>
        </is>
      </c>
      <c r="AF82" t="inlineStr"/>
      <c r="AG82" t="inlineStr"/>
      <c r="AH82" t="inlineStr">
        <is>
          <t>3</t>
        </is>
      </c>
      <c r="AI82" t="inlineStr">
        <is>
          <t>60</t>
        </is>
      </c>
      <c r="AJ82" t="inlineStr">
        <is>
          <t>INFO_PARTIELLE</t>
        </is>
      </c>
      <c r="AK82" t="inlineStr">
        <is>
          <t>0</t>
        </is>
      </c>
      <c r="AL82" s="16" t="inlineStr">
        <is>
          <t>FROID</t>
        </is>
      </c>
      <c r="AM82" t="inlineStr"/>
      <c r="AN82" t="inlineStr"/>
      <c r="AO82" t="inlineStr"/>
      <c r="AP82" t="inlineStr"/>
      <c r="AQ82" t="inlineStr">
        <is>
          <t>IA_CONTACT_A_COMPLETER</t>
        </is>
      </c>
      <c r="AR82" t="inlineStr">
        <is>
          <t>Completer les champs manquants depuis l'avis source, le site acheteur ou le DCE.</t>
        </is>
      </c>
      <c r="AS82" t="inlineStr">
        <is>
          <t>adresse, ville</t>
        </is>
      </c>
      <c r="AT8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82" t="inlineStr">
        <is>
          <t>Verifier url_avis et DCE si disponible</t>
        </is>
      </c>
      <c r="AV82" t="inlineStr"/>
      <c r="AW82" t="inlineStr"/>
      <c r="AX82" t="inlineStr"/>
      <c r="AY82" t="inlineStr"/>
      <c r="AZ82" t="inlineStr"/>
      <c r="BA82" t="inlineStr"/>
      <c r="BB82" t="inlineStr">
        <is>
          <t>0 pertinence metier faible | -10 budget annualise &lt;= 500 000 EUR | 0 date limite absente</t>
        </is>
      </c>
      <c r="BC82" t="inlineStr">
        <is>
          <t>SDIS 77 de Seine-et-Marne publie un AO potentiellement pertinent pour CHRUTH : GARDIENNAGE ET SURVEILLANCE DU CENTRE DE FORMATION DE GURCY-LE-CHATEL. Zone : 77,91. Budget detecte environ 250 000 EUR. Verifier le lien source avant contact.</t>
        </is>
      </c>
      <c r="BD82"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82"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82" t="inlineStr"/>
      <c r="BG82" t="inlineStr"/>
      <c r="BH82" t="inlineStr"/>
      <c r="BI82" t="inlineStr"/>
      <c r="BJ82" t="inlineStr"/>
      <c r="BK82" t="inlineStr"/>
      <c r="BL82" t="inlineStr"/>
      <c r="BM82" t="inlineStr">
        <is>
          <t>2026-W29</t>
        </is>
      </c>
    </row>
    <row r="83">
      <c r="A83" t="inlineStr">
        <is>
          <t>BOAMP</t>
        </is>
      </c>
      <c r="B83" t="inlineStr">
        <is>
          <t>26-70374</t>
        </is>
      </c>
      <c r="C83" t="inlineStr">
        <is>
          <t>Mise en propreté des abords du site principal du Centre National d’Art et de Culture Georges Pompidou et des bâtiments annexes (CNAC-GP) (2 lots) - Vague 2 : lot 2 (26-CP04-044-AC)</t>
        </is>
      </c>
      <c r="D83" t="inlineStr">
        <is>
          <t>CENTRE POMPIDOU</t>
        </is>
      </c>
      <c r="E83" t="inlineStr">
        <is>
          <t>18004602100028</t>
        </is>
      </c>
      <c r="F83" t="inlineStr">
        <is>
          <t>180046021</t>
        </is>
      </c>
      <c r="G83" t="inlineStr"/>
      <c r="H83" t="inlineStr"/>
      <c r="I83" t="inlineStr">
        <is>
          <t>achat@centrepompidou.fr</t>
        </is>
      </c>
      <c r="J83" t="inlineStr">
        <is>
          <t>0460210002</t>
        </is>
      </c>
      <c r="K83" t="inlineStr"/>
      <c r="L83" t="inlineStr"/>
      <c r="M83" t="inlineStr"/>
      <c r="N83" t="inlineStr">
        <is>
          <t>75</t>
        </is>
      </c>
      <c r="O83" t="inlineStr"/>
      <c r="P83" t="inlineStr">
        <is>
          <t>Ile-de-France</t>
        </is>
      </c>
      <c r="Q83" s="15" t="n">
        <v>46220</v>
      </c>
      <c r="R83" s="15" t="n">
        <v>46223</v>
      </c>
      <c r="S83" s="14" t="n">
        <v>600000</v>
      </c>
      <c r="T83" t="inlineStr">
        <is>
          <t>BUDGET_EXPLICITE_OK</t>
        </is>
      </c>
      <c r="U83" t="inlineStr">
        <is>
          <t>600000.0</t>
        </is>
      </c>
      <c r="V83" t="inlineStr">
        <is>
          <t>non</t>
        </is>
      </c>
      <c r="W83" t="inlineStr">
        <is>
          <t>Batiments</t>
        </is>
      </c>
      <c r="X83" t="inlineStr">
        <is>
          <t>Autre</t>
        </is>
      </c>
      <c r="Y83" t="inlineStr">
        <is>
          <t>SERVICES</t>
        </is>
      </c>
      <c r="Z83" t="inlineStr">
        <is>
          <t>Procédure Ouverte</t>
        </is>
      </c>
      <c r="AA83" t="inlineStr">
        <is>
          <t>Avis de marché</t>
        </is>
      </c>
      <c r="AB83" t="inlineStr">
        <is>
          <t>Nettoyage de locaux</t>
        </is>
      </c>
      <c r="AC83" t="inlineStr">
        <is>
          <t>['environnementaux']</t>
        </is>
      </c>
      <c r="AD83" s="11" t="inlineStr">
        <is>
          <t>https://www.boamp.fr/pages/avis/?q=idweb:26-70374</t>
        </is>
      </c>
      <c r="AE83" t="inlineStr">
        <is>
          <t>https://www.marches-publics.gouv.fr/</t>
        </is>
      </c>
      <c r="AF83" t="inlineStr">
        <is>
          <t>https://www.marches-publics.gouv.fr/</t>
        </is>
      </c>
      <c r="AG83" t="inlineStr">
        <is>
          <t>nettoyage, proprete</t>
        </is>
      </c>
      <c r="AH83" t="inlineStr">
        <is>
          <t>3</t>
        </is>
      </c>
      <c r="AI83" t="inlineStr">
        <is>
          <t>76</t>
        </is>
      </c>
      <c r="AJ83" t="inlineStr">
        <is>
          <t>INFO_PARTIELLE</t>
        </is>
      </c>
      <c r="AK83" t="inlineStr">
        <is>
          <t>0</t>
        </is>
      </c>
      <c r="AL83" s="16" t="inlineStr">
        <is>
          <t>FROID</t>
        </is>
      </c>
      <c r="AM83" t="inlineStr"/>
      <c r="AN83" t="inlineStr"/>
      <c r="AO83" t="inlineStr"/>
      <c r="AP83" t="inlineStr"/>
      <c r="AQ83" t="inlineStr">
        <is>
          <t>IA_CONTACT_A_COMPLETER</t>
        </is>
      </c>
      <c r="AR83" t="inlineStr">
        <is>
          <t>Completer les champs manquants depuis l'avis source, le site acheteur ou le DCE.</t>
        </is>
      </c>
      <c r="AS83" t="inlineStr">
        <is>
          <t>adresse, ville</t>
        </is>
      </c>
      <c r="AT8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83" t="inlineStr">
        <is>
          <t>Verifier url_avis et DCE si disponible</t>
        </is>
      </c>
      <c r="AV83" t="inlineStr"/>
      <c r="AW83" t="inlineStr"/>
      <c r="AX83" t="inlineStr"/>
      <c r="AY83" t="inlineStr"/>
      <c r="AZ83" t="inlineStr"/>
      <c r="BA83" t="inlineStr"/>
      <c r="BB83" t="inlineStr">
        <is>
          <t>+35 nettoyage + categorie claire | -20 gros budget (&gt; 500 000 EUR) | +15 procedure adaptee / MAPA / allotissement | -30 AO expire</t>
        </is>
      </c>
      <c r="BC8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8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8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83" t="inlineStr"/>
      <c r="BG83" t="inlineStr"/>
      <c r="BH83" t="inlineStr"/>
      <c r="BI83" t="inlineStr"/>
      <c r="BJ83" t="inlineStr"/>
      <c r="BK83" t="inlineStr"/>
      <c r="BL83" t="inlineStr"/>
      <c r="BM83"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 xmlns:r="http://schemas.openxmlformats.org/officeDocument/2006/relationships" ref="AD63" r:id="rId62"/>
    <hyperlink xmlns:r="http://schemas.openxmlformats.org/officeDocument/2006/relationships" ref="AD64" r:id="rId63"/>
    <hyperlink xmlns:r="http://schemas.openxmlformats.org/officeDocument/2006/relationships" ref="AD65" r:id="rId64"/>
    <hyperlink xmlns:r="http://schemas.openxmlformats.org/officeDocument/2006/relationships" ref="AD66" r:id="rId65"/>
    <hyperlink xmlns:r="http://schemas.openxmlformats.org/officeDocument/2006/relationships" ref="AD67" r:id="rId66"/>
    <hyperlink xmlns:r="http://schemas.openxmlformats.org/officeDocument/2006/relationships" ref="AD68" r:id="rId67"/>
    <hyperlink xmlns:r="http://schemas.openxmlformats.org/officeDocument/2006/relationships" ref="AD69" r:id="rId68"/>
    <hyperlink xmlns:r="http://schemas.openxmlformats.org/officeDocument/2006/relationships" ref="AD70" r:id="rId69"/>
    <hyperlink xmlns:r="http://schemas.openxmlformats.org/officeDocument/2006/relationships" ref="AD71" r:id="rId70"/>
    <hyperlink xmlns:r="http://schemas.openxmlformats.org/officeDocument/2006/relationships" ref="AD72" r:id="rId71"/>
    <hyperlink xmlns:r="http://schemas.openxmlformats.org/officeDocument/2006/relationships" ref="AD73" r:id="rId72"/>
    <hyperlink xmlns:r="http://schemas.openxmlformats.org/officeDocument/2006/relationships" ref="AD74" r:id="rId73"/>
    <hyperlink xmlns:r="http://schemas.openxmlformats.org/officeDocument/2006/relationships" ref="AD75" r:id="rId74"/>
    <hyperlink xmlns:r="http://schemas.openxmlformats.org/officeDocument/2006/relationships" ref="AD76" r:id="rId75"/>
    <hyperlink xmlns:r="http://schemas.openxmlformats.org/officeDocument/2006/relationships" ref="AD77" r:id="rId76"/>
    <hyperlink xmlns:r="http://schemas.openxmlformats.org/officeDocument/2006/relationships" ref="AD78" r:id="rId77"/>
    <hyperlink xmlns:r="http://schemas.openxmlformats.org/officeDocument/2006/relationships" ref="AD79" r:id="rId78"/>
    <hyperlink xmlns:r="http://schemas.openxmlformats.org/officeDocument/2006/relationships" ref="AD80" r:id="rId79"/>
    <hyperlink xmlns:r="http://schemas.openxmlformats.org/officeDocument/2006/relationships" ref="AD81" r:id="rId80"/>
    <hyperlink xmlns:r="http://schemas.openxmlformats.org/officeDocument/2006/relationships" ref="AD82" r:id="rId81"/>
    <hyperlink xmlns:r="http://schemas.openxmlformats.org/officeDocument/2006/relationships" ref="AD83" r:id="rId82"/>
  </hyperlinks>
  <pageMargins left="0.75" right="0.75" top="1" bottom="1" header="0.5" footer="0.5"/>
  <tableParts count="1">
    <tablePart xmlns:r="http://schemas.openxmlformats.org/officeDocument/2006/relationships" r:id="rId83"/>
  </tableParts>
</worksheet>
</file>

<file path=xl/worksheets/sheet6.xml><?xml version="1.0" encoding="utf-8"?>
<worksheet xmlns="http://schemas.openxmlformats.org/spreadsheetml/2006/main">
  <sheetPr>
    <outlinePr summaryBelow="1" summaryRight="1"/>
    <pageSetUpPr/>
  </sheetPr>
  <dimension ref="A1:BM8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5" customWidth="1" min="9" max="9"/>
    <col width="15" customWidth="1" min="10" max="10"/>
    <col width="55" customWidth="1" min="11" max="11"/>
    <col width="13" customWidth="1" min="12" max="12"/>
    <col width="25"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26-82960</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46260</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NC</t>
        </is>
      </c>
      <c r="AA2" t="inlineStr">
        <is>
          <t>Avis de marché</t>
        </is>
      </c>
      <c r="AB2" t="inlineStr">
        <is>
          <t>Formation, Nettoyage de locaux</t>
        </is>
      </c>
      <c r="AC2" t="inlineStr"/>
      <c r="AD2" s="11" t="inlineStr">
        <is>
          <t>https://www.boamp.fr/pages/avis/?q=idweb:26-82960</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89.8</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26-82960. Objet: Accord cadre de missions de formation de lutte contre la discrimination et de lutte contre les violences sexistes et sexuelles à destination du tissu associatif en deux lots séparés.. Acheteur: VILLE de PARIS - DFA - SDA. Lien: https://www.boamp.fr/pages/avis/?q=idweb:26-82960.</t>
        </is>
      </c>
      <c r="AU2" t="inlineStr">
        <is>
          <t>Verifier url_avis et DCE si disponible</t>
        </is>
      </c>
      <c r="AV2" t="inlineStr"/>
      <c r="AW2" t="inlineStr"/>
      <c r="AX2" t="inlineStr"/>
      <c r="AY2" t="inlineStr"/>
      <c r="AZ2" t="inlineStr"/>
      <c r="BA2" t="inlineStr"/>
      <c r="BB2" t="inlineStr">
        <is>
          <t>+33.5 nettoyage + categorie claire (1 termes) | +23.5 budget annualise 40 000 EUR | +15 procedure adaptee / MAPA / allotissement | +10 secteur cible Mairie | +6.2 delai 15 j | +1.5 dossier renseigne (3/4)</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2026-W35</t>
        </is>
      </c>
    </row>
    <row r="3">
      <c r="A3" t="inlineStr">
        <is>
          <t>BOAMP</t>
        </is>
      </c>
      <c r="B3" t="inlineStr">
        <is>
          <t>26-83419</t>
        </is>
      </c>
      <c r="C3" t="inlineStr">
        <is>
          <t>Prestations d'entretien ménager</t>
        </is>
      </c>
      <c r="D3" t="inlineStr">
        <is>
          <t>VILLE DE LOUVRES</t>
        </is>
      </c>
      <c r="E3" t="inlineStr">
        <is>
          <t>21950351300018</t>
        </is>
      </c>
      <c r="F3" t="inlineStr">
        <is>
          <t>219503513</t>
        </is>
      </c>
      <c r="G3" t="inlineStr"/>
      <c r="H3" t="inlineStr"/>
      <c r="I3" t="inlineStr">
        <is>
          <t>ireydant@ville-louvres.fr</t>
        </is>
      </c>
      <c r="J3" t="inlineStr">
        <is>
          <t>0351300018</t>
        </is>
      </c>
      <c r="K3" t="inlineStr"/>
      <c r="L3" t="inlineStr"/>
      <c r="M3" t="inlineStr"/>
      <c r="N3" t="inlineStr">
        <is>
          <t>95</t>
        </is>
      </c>
      <c r="O3" t="inlineStr"/>
      <c r="P3" t="inlineStr">
        <is>
          <t>Ile-de-France</t>
        </is>
      </c>
      <c r="Q3" s="15" t="n">
        <v>46261</v>
      </c>
      <c r="R3" s="15" t="n">
        <v>46300</v>
      </c>
      <c r="S3" s="14" t="n">
        <v>10000</v>
      </c>
      <c r="T3" t="inlineStr">
        <is>
          <t>BUDGET_SOUS_SEUIL</t>
        </is>
      </c>
      <c r="U3" t="inlineStr">
        <is>
          <t>10000.0</t>
        </is>
      </c>
      <c r="V3" t="inlineStr">
        <is>
          <t>non</t>
        </is>
      </c>
      <c r="W3" t="inlineStr">
        <is>
          <t>Vitres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https://www.boamp.fr/pages/avis/?q=idweb:26-83419</t>
        </is>
      </c>
      <c r="AE3" t="inlineStr">
        <is>
          <t>https://mairie-de-louvres.e-marchespublics.com</t>
        </is>
      </c>
      <c r="AF3" t="inlineStr">
        <is>
          <t>https://mairie-de-louvres.e-marchespublics.com</t>
        </is>
      </c>
      <c r="AG3" t="inlineStr">
        <is>
          <t>nettoyage, nettoyage de vitres, entretien menager</t>
        </is>
      </c>
      <c r="AH3" t="inlineStr">
        <is>
          <t>3</t>
        </is>
      </c>
      <c r="AI3" t="inlineStr">
        <is>
          <t>80</t>
        </is>
      </c>
      <c r="AJ3" t="inlineStr">
        <is>
          <t>INFO_PARTIELLE</t>
        </is>
      </c>
      <c r="AK3" t="inlineStr">
        <is>
          <t>80.5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26-83419. Objet: Prestations d'entretien ménager. Acheteur: VILLE DE LOUVRES. Lien: https://www.boamp.fr/pages/avis/?q=idweb:26-83419.</t>
        </is>
      </c>
      <c r="AU3" t="inlineStr">
        <is>
          <t>Verifier url_avis et DCE si disponible</t>
        </is>
      </c>
      <c r="AV3" t="inlineStr"/>
      <c r="AW3" t="inlineStr"/>
      <c r="AX3" t="inlineStr"/>
      <c r="AY3" t="inlineStr"/>
      <c r="AZ3" t="inlineStr"/>
      <c r="BA3" t="inlineStr"/>
      <c r="BB3" t="inlineStr">
        <is>
          <t>+34.0 nettoyage + categorie claire (2 termes) | +25.0 budget annualise 10 000 EUR | +10 secteur cible Mairie | +10.0 delai 35 j | +1.5 dossier renseigne (3/4)</t>
        </is>
      </c>
      <c r="BC3" t="inlineStr">
        <is>
          <t>VILLE DE LOUVRES publie un AO potentiellement pertinent pour CHRUTH : Prestations d'entretien ménager. Zone : 95. Budget detecte environ 10 000 EUR. Verifier le lien source avant contact.</t>
        </is>
      </c>
      <c r="BD3" t="inlineStr">
        <is>
          <t>Bonjour,
Je me permets de vous contacter au sujet de votre appel d'offres : Prestations d'entretien ménager.
CHRUTH accompagne les structures publiques et privées sur les besoins de nettoyage, d'entretien des locaux et d'organisation de prestations de service.
Serait-il possible d'échanger rapidement afin de vérifier les modalités de réponse et les attentes de VILLE DE LOUVRES ?
Cordialement,</t>
        </is>
      </c>
      <c r="BE3" t="inlineStr">
        <is>
          <t>Bonjour, je vous appelle concernant un appel d'offres publié par VILLE DE LOUVRES.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26-73275</t>
        </is>
      </c>
      <c r="C4" t="inlineStr">
        <is>
          <t>ENTRETIEN, REMISE EN ETAT ET AMENAGEMENT D'ESPACES VERTS POUR LA VILLE DE GENNEVILLIERS
LOT N°1 : Entretien des secteurs d'habitation Nord et du cimetière, remise en état et aménagement d'e</t>
        </is>
      </c>
      <c r="D4" t="inlineStr">
        <is>
          <t>Ville de Gennevilliers</t>
        </is>
      </c>
      <c r="E4" t="inlineStr"/>
      <c r="F4" t="inlineStr"/>
      <c r="G4" t="inlineStr"/>
      <c r="H4" t="inlineStr"/>
      <c r="I4" t="inlineStr">
        <is>
          <t>publications-joue@aws-france.com</t>
        </is>
      </c>
      <c r="J4" t="inlineStr">
        <is>
          <t>+33480041260</t>
        </is>
      </c>
      <c r="K4" t="inlineStr"/>
      <c r="L4" t="inlineStr"/>
      <c r="M4" t="inlineStr"/>
      <c r="N4" t="inlineStr">
        <is>
          <t>92</t>
        </is>
      </c>
      <c r="O4" t="inlineStr"/>
      <c r="P4" t="inlineStr">
        <is>
          <t>Ile-de-France</t>
        </is>
      </c>
      <c r="Q4" s="15" t="n">
        <v>46227</v>
      </c>
      <c r="R4" s="15" t="n">
        <v>46261</v>
      </c>
      <c r="S4" t="inlineStr"/>
      <c r="T4" t="inlineStr">
        <is>
          <t>A_VERIFIER_BUDGET</t>
        </is>
      </c>
      <c r="U4" t="inlineStr"/>
      <c r="V4" t="inlineStr">
        <is>
          <t>non</t>
        </is>
      </c>
      <c r="W4" t="inlineStr">
        <is>
          <t>Personnel</t>
        </is>
      </c>
      <c r="X4" t="inlineStr">
        <is>
          <t>Mairie</t>
        </is>
      </c>
      <c r="Y4" t="inlineStr">
        <is>
          <t>SERVICES</t>
        </is>
      </c>
      <c r="Z4" t="inlineStr">
        <is>
          <t>Procédure Ouverte</t>
        </is>
      </c>
      <c r="AA4" t="inlineStr">
        <is>
          <t>Avis de marché</t>
        </is>
      </c>
      <c r="AB4" t="inlineStr">
        <is>
          <t>Espaces verts, Prestations de services</t>
        </is>
      </c>
      <c r="AC4" t="inlineStr">
        <is>
          <t>['environnementaux']</t>
        </is>
      </c>
      <c r="AD4" s="11" t="inlineStr">
        <is>
          <t>https://www.boamp.fr/pages/avis/?q=idweb:26-73275</t>
        </is>
      </c>
      <c r="AE4" t="inlineStr">
        <is>
          <t>https://www.marches-publics.info/mpiaws/index.cfm?fuseaction=dematEnt.login&amp;amp;type=DCE&amp;amp;IDM=1848323</t>
        </is>
      </c>
      <c r="AF4" t="inlineStr">
        <is>
          <t>https://www.marches-publics.info/mpiaws/index.cfm?fuseaction=dematEnt.login&amp;amp;type=DCE&amp;amp;IDM=1848323</t>
        </is>
      </c>
      <c r="AG4" t="inlineStr">
        <is>
          <t>nettoyage</t>
        </is>
      </c>
      <c r="AH4" t="inlineStr">
        <is>
          <t>2</t>
        </is>
      </c>
      <c r="AI4" t="inlineStr">
        <is>
          <t>58</t>
        </is>
      </c>
      <c r="AJ4" t="inlineStr">
        <is>
          <t>INFO_PARTIELLE</t>
        </is>
      </c>
      <c r="AK4" t="inlineStr">
        <is>
          <t>80</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SIRET, 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4" t="inlineStr">
        <is>
          <t>Verifier url_avis et DCE si disponible</t>
        </is>
      </c>
      <c r="AV4" t="inlineStr">
        <is>
          <t>LIEN_SEUL</t>
        </is>
      </c>
      <c r="AW4" t="inlineStr"/>
      <c r="AX4" t="inlineStr"/>
      <c r="AY4" t="inlineStr"/>
      <c r="AZ4" t="inlineStr"/>
      <c r="BA4" t="inlineStr"/>
      <c r="BB4" t="inlineStr">
        <is>
          <t>+35 nettoyage + categorie claire | +10 budget non affiche (a verifier) | +15 procedure adaptee / MAPA / allotissement | +10 secteur cible Mairie | +10 delai confortable 30j</t>
        </is>
      </c>
      <c r="BC4"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4"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4"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26-82168</t>
        </is>
      </c>
      <c r="C5" t="inlineStr">
        <is>
          <t>Capture et ramassage d’animaux errants, et/ou dangereux, et/ou blessés, et/ou morts et leur mise en fourrière</t>
        </is>
      </c>
      <c r="D5" t="inlineStr">
        <is>
          <t>COMMUNE DE SAINT-DENIS</t>
        </is>
      </c>
      <c r="E5" t="inlineStr">
        <is>
          <t>92993941100013</t>
        </is>
      </c>
      <c r="F5" t="inlineStr">
        <is>
          <t>929939411</t>
        </is>
      </c>
      <c r="G5" t="inlineStr"/>
      <c r="H5" t="inlineStr"/>
      <c r="I5" t="inlineStr">
        <is>
          <t>mp_achats@saint-denis.fr</t>
        </is>
      </c>
      <c r="J5" t="inlineStr">
        <is>
          <t>0149336605</t>
        </is>
      </c>
      <c r="K5" t="inlineStr"/>
      <c r="L5" t="inlineStr"/>
      <c r="M5" t="inlineStr"/>
      <c r="N5" t="inlineStr">
        <is>
          <t>93,75,94,95</t>
        </is>
      </c>
      <c r="O5" t="inlineStr"/>
      <c r="P5" t="inlineStr">
        <is>
          <t>Ile-de-France</t>
        </is>
      </c>
      <c r="Q5" s="15" t="n">
        <v>46256</v>
      </c>
      <c r="R5" s="15" t="n">
        <v>46290</v>
      </c>
      <c r="S5" s="14" t="n">
        <v>90000</v>
      </c>
      <c r="T5" t="inlineStr">
        <is>
          <t>BUDGET_SOUS_SEUIL</t>
        </is>
      </c>
      <c r="U5" t="inlineStr">
        <is>
          <t>22500</t>
        </is>
      </c>
      <c r="V5" t="inlineStr">
        <is>
          <t>oui</t>
        </is>
      </c>
      <c r="W5" t="inlineStr">
        <is>
          <t>Batiments</t>
        </is>
      </c>
      <c r="X5" t="inlineStr">
        <is>
          <t>Mairie</t>
        </is>
      </c>
      <c r="Y5" t="inlineStr">
        <is>
          <t>SERVICES</t>
        </is>
      </c>
      <c r="Z5" t="inlineStr">
        <is>
          <t>Procédure Ouverte</t>
        </is>
      </c>
      <c r="AA5" t="inlineStr">
        <is>
          <t>Avis de marché</t>
        </is>
      </c>
      <c r="AB5" t="inlineStr">
        <is>
          <t>Prestations de services</t>
        </is>
      </c>
      <c r="AC5" t="inlineStr">
        <is>
          <t>['environnementaux']</t>
        </is>
      </c>
      <c r="AD5" s="11" t="inlineStr">
        <is>
          <t>https://www.boamp.fr/pages/avis/?q=idweb:26-82168</t>
        </is>
      </c>
      <c r="AE5" t="inlineStr">
        <is>
          <t>https://marches.maximilien.fr</t>
        </is>
      </c>
      <c r="AF5" t="inlineStr">
        <is>
          <t>https://marches.maximilien.fr</t>
        </is>
      </c>
      <c r="AG5" t="inlineStr">
        <is>
          <t>nettoyage</t>
        </is>
      </c>
      <c r="AH5" t="inlineStr">
        <is>
          <t>3</t>
        </is>
      </c>
      <c r="AI5" t="inlineStr">
        <is>
          <t>68</t>
        </is>
      </c>
      <c r="AJ5" t="inlineStr">
        <is>
          <t>INFO_PARTIELLE</t>
        </is>
      </c>
      <c r="AK5" t="inlineStr">
        <is>
          <t>78.8</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26-82168. Objet: Capture et ramassage d’animaux errants, et/ou dangereux, et/ou blessés, et/ou morts et leur mise en fourrière. Acheteur: COMMUNE DE SAINT-DENIS. Lien: https://www.boamp.fr/pages/avis/?q=idweb:26-82168.</t>
        </is>
      </c>
      <c r="AU5" t="inlineStr">
        <is>
          <t>Verifier url_avis et DCE si disponible</t>
        </is>
      </c>
      <c r="AV5" t="inlineStr"/>
      <c r="AW5" t="inlineStr"/>
      <c r="AX5" t="inlineStr"/>
      <c r="AY5" t="inlineStr"/>
      <c r="AZ5" t="inlineStr"/>
      <c r="BA5" t="inlineStr"/>
      <c r="BB5" t="inlineStr">
        <is>
          <t>+33.5 nettoyage + categorie claire (1 termes) | +25.0 budget annualise 22 500 EUR | +10 secteur cible Mairie | +8.8 delai 25 j | +1.5 dossier renseigne (3/4)</t>
        </is>
      </c>
      <c r="BC5" t="inlineStr">
        <is>
          <t>COMMUNE DE SAINT-DENIS publie un AO potentiellement pertinent pour CHRUTH : Capture et ramassage d’animaux errants, et/ou dangereux, et/ou blessés, et/ou morts et leur mise en fourrière. Zone : 93,75,94,95. Budget detecte environ 90 000 EUR. Verifier le lien source avant contact.</t>
        </is>
      </c>
      <c r="BD5" t="inlineStr">
        <is>
          <t>Bonjour,
Je me permets de vous contacter au sujet de votre appel d'offres : Capture et ramassage d’animaux errants, et/ou dangereux, et/ou blessés, et/ou morts et leur mise en fourrière.
CHRUTH accompagne les structures publiques et privées sur les besoins de nettoyage, d'entretien des locaux et d'organisation de prestations de service.
Serait-il possible d'échanger rapidement afin de vérifier les modalités de réponse et les attentes de COMMUNE DE SAINT-DENIS ?
Cordialement,</t>
        </is>
      </c>
      <c r="BE5" t="inlineStr">
        <is>
          <t>Bonjour, je vous appelle concernant un appel d'offres publié par COMMUNE DE SAINT-DENIS.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2026-W34</t>
        </is>
      </c>
    </row>
    <row r="6">
      <c r="A6" t="inlineStr">
        <is>
          <t>BOAMP</t>
        </is>
      </c>
      <c r="B6" t="inlineStr">
        <is>
          <t>26-82885</t>
        </is>
      </c>
      <c r="C6" t="inlineStr">
        <is>
          <t>Balayage des voies, trottoirs et caniveaux</t>
        </is>
      </c>
      <c r="D6" t="inlineStr">
        <is>
          <t>Mairie de Maule</t>
        </is>
      </c>
      <c r="E6" t="inlineStr"/>
      <c r="F6" t="inlineStr"/>
      <c r="G6" t="inlineStr">
        <is>
          <t>SERENA</t>
        </is>
      </c>
      <c r="H6" t="inlineStr"/>
      <c r="I6" t="inlineStr">
        <is>
          <t>dserena@maule.fr</t>
        </is>
      </c>
      <c r="J6" t="inlineStr">
        <is>
          <t>0130904900</t>
        </is>
      </c>
      <c r="K6" t="inlineStr"/>
      <c r="L6" t="inlineStr">
        <is>
          <t>78580</t>
        </is>
      </c>
      <c r="M6" t="inlineStr">
        <is>
          <t>Maule</t>
        </is>
      </c>
      <c r="N6" t="inlineStr">
        <is>
          <t>78</t>
        </is>
      </c>
      <c r="O6" t="inlineStr"/>
      <c r="P6" t="inlineStr">
        <is>
          <t>Ile-de-France</t>
        </is>
      </c>
      <c r="Q6" s="15" t="n">
        <v>46259</v>
      </c>
      <c r="R6" s="15" t="n">
        <v>46295</v>
      </c>
      <c r="S6" t="inlineStr"/>
      <c r="T6" t="inlineStr">
        <is>
          <t>A_VERIFIER_BUDGET</t>
        </is>
      </c>
      <c r="U6" t="inlineStr"/>
      <c r="V6" t="inlineStr">
        <is>
          <t>non</t>
        </is>
      </c>
      <c r="W6" t="inlineStr">
        <is>
          <t>Mixte/Autre</t>
        </is>
      </c>
      <c r="X6" t="inlineStr">
        <is>
          <t>Mairie</t>
        </is>
      </c>
      <c r="Y6" t="inlineStr">
        <is>
          <t>SERVICES</t>
        </is>
      </c>
      <c r="Z6" t="inlineStr">
        <is>
          <t>Procédure Adaptée</t>
        </is>
      </c>
      <c r="AA6" t="inlineStr">
        <is>
          <t>Avis de marché</t>
        </is>
      </c>
      <c r="AB6" t="inlineStr">
        <is>
          <t>Nettoyage urbain</t>
        </is>
      </c>
      <c r="AC6" t="inlineStr"/>
      <c r="AD6" s="11" t="inlineStr">
        <is>
          <t>https://www.boamp.fr/pages/avis/?q=idweb:26-82885</t>
        </is>
      </c>
      <c r="AE6" t="inlineStr">
        <is>
          <t>https://www.achatpublic.com/sdm/ent2/gen/index.jsp</t>
        </is>
      </c>
      <c r="AF6" t="inlineStr">
        <is>
          <t>https://www.achatpublic.com/sdm/ent2/gen/index.jsp</t>
        </is>
      </c>
      <c r="AG6" t="inlineStr">
        <is>
          <t>nettoyage</t>
        </is>
      </c>
      <c r="AH6" t="inlineStr">
        <is>
          <t>4</t>
        </is>
      </c>
      <c r="AI6" t="inlineStr">
        <is>
          <t>78</t>
        </is>
      </c>
      <c r="AJ6" t="inlineStr">
        <is>
          <t>INFO_PARTIELLE</t>
        </is>
      </c>
      <c r="AK6" t="inlineStr">
        <is>
          <t>75.5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SIRET, adresse,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6" t="inlineStr">
        <is>
          <t>Verifier url_avis et DCE si disponible</t>
        </is>
      </c>
      <c r="AV6" t="inlineStr">
        <is>
          <t>LIEN_SEUL</t>
        </is>
      </c>
      <c r="AW6" t="inlineStr"/>
      <c r="AX6" t="inlineStr"/>
      <c r="AY6" t="inlineStr"/>
      <c r="AZ6" t="inlineStr"/>
      <c r="BA6" t="inlineStr"/>
      <c r="BB6" t="inlineStr">
        <is>
          <t>+28.5 mots-cles nettoyage forts (1 termes) | +10 budget non affiche (a verifier) | +15 procedure adaptee / MAPA / allotissement | +10 secteur cible Mairie | +10.0 delai 30 j | +2.0 dossier renseigne (4/4)</t>
        </is>
      </c>
      <c r="BC6" t="inlineStr">
        <is>
          <t>Mairie de Maule publie un AO potentiellement pertinent pour CHRUTH : Balayage des voies, trottoirs et caniveaux. Zone : Maule. Budget a verifier. Verifier le lien source avant contact.</t>
        </is>
      </c>
      <c r="BD6"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6"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2026-W35</t>
        </is>
      </c>
    </row>
    <row r="7">
      <c r="A7" t="inlineStr">
        <is>
          <t>BOAMP</t>
        </is>
      </c>
      <c r="B7" t="inlineStr">
        <is>
          <t>26-74949</t>
        </is>
      </c>
      <c r="C7" t="inlineStr">
        <is>
          <t>Prestations D'Entretien Ménager Des Gymnases De La Ville De Roissy-En-Brie</t>
        </is>
      </c>
      <c r="D7" t="inlineStr">
        <is>
          <t>Mairie de Roissy-en-Brie</t>
        </is>
      </c>
      <c r="E7" t="inlineStr">
        <is>
          <t>21770390900010</t>
        </is>
      </c>
      <c r="F7" t="inlineStr">
        <is>
          <t>217703909</t>
        </is>
      </c>
      <c r="G7" t="inlineStr">
        <is>
          <t>Service Commande Publique</t>
        </is>
      </c>
      <c r="H7" t="inlineStr"/>
      <c r="I7" t="inlineStr"/>
      <c r="J7" t="inlineStr">
        <is>
          <t>0390900010</t>
        </is>
      </c>
      <c r="K7" t="inlineStr">
        <is>
          <t>77680 - ROISSY-EN-BRIE</t>
        </is>
      </c>
      <c r="L7" t="inlineStr">
        <is>
          <t>77680</t>
        </is>
      </c>
      <c r="M7" t="inlineStr">
        <is>
          <t>ROISSY EN BRIE</t>
        </is>
      </c>
      <c r="N7" t="inlineStr">
        <is>
          <t>77</t>
        </is>
      </c>
      <c r="O7" t="inlineStr"/>
      <c r="P7" t="inlineStr">
        <is>
          <t>Ile-de-France</t>
        </is>
      </c>
      <c r="Q7" s="15" t="n">
        <v>46230</v>
      </c>
      <c r="R7" s="15" t="n">
        <v>46262</v>
      </c>
      <c r="S7" s="14" t="n">
        <v>77680</v>
      </c>
      <c r="T7" t="inlineStr">
        <is>
          <t>BUDGET_SOUS_SEUIL</t>
        </is>
      </c>
      <c r="U7" t="inlineStr">
        <is>
          <t>77680.0</t>
        </is>
      </c>
      <c r="V7" t="inlineStr">
        <is>
          <t>non</t>
        </is>
      </c>
      <c r="W7" t="inlineStr">
        <is>
          <t>Batiments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https://www.boamp.fr/pages/avis/?q=idweb:26-74949</t>
        </is>
      </c>
      <c r="AE7" t="inlineStr">
        <is>
          <t>https://www.marches-publics.info/mpiaws/index.cfm?fuseaction=dematent.login&amp;type=Dce&amp;Idm=1855543</t>
        </is>
      </c>
      <c r="AF7" t="inlineStr">
        <is>
          <t>https://www.marches-publics.info/mpiaws/index.cfm?fuseaction=dematent.login&amp;type=Dce&amp;Idm=1855543</t>
        </is>
      </c>
      <c r="AG7" t="inlineStr">
        <is>
          <t>nettoyage, entretien menager</t>
        </is>
      </c>
      <c r="AH7" t="inlineStr">
        <is>
          <t>5</t>
        </is>
      </c>
      <c r="AI7" t="inlineStr">
        <is>
          <t>92</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email</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7" t="inlineStr">
        <is>
          <t>Verifier url_avis et DCE si disponible</t>
        </is>
      </c>
      <c r="AV7" t="inlineStr">
        <is>
          <t>LIEN_SEUL</t>
        </is>
      </c>
      <c r="AW7" t="inlineStr"/>
      <c r="AX7" t="inlineStr"/>
      <c r="AY7" t="inlineStr"/>
      <c r="AZ7" t="inlineStr"/>
      <c r="BA7" t="inlineStr"/>
      <c r="BB7" t="inlineStr">
        <is>
          <t>+35 nettoyage + categorie claire | +20 budget annualise &lt;= 100 000 EUR | +10 secteur cible Mairie | +10 delai confortable 31j</t>
        </is>
      </c>
      <c r="BC7" t="inlineStr">
        <is>
          <t>Mairie de Roissy-en-Brie publie un AO potentiellement pertinent pour CHRUTH : Prestations D'Entretien Ménager Des Gymnases De La Ville De Roissy-En-Brie. Zone : ROISSY EN BRIE. Budget detecte environ 77 680 EUR. Verifier le lien source avant contact.</t>
        </is>
      </c>
      <c r="BD7"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7"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2026-W31</t>
        </is>
      </c>
    </row>
    <row r="8">
      <c r="A8" t="inlineStr">
        <is>
          <t>BOAMP</t>
        </is>
      </c>
      <c r="B8" t="inlineStr">
        <is>
          <t>26-74013</t>
        </is>
      </c>
      <c r="C8" t="inlineStr">
        <is>
          <t>Prestations de nettoyage des locaux de l'École nationale supérieure d’architecture de Paris-La Villette</t>
        </is>
      </c>
      <c r="D8" t="inlineStr">
        <is>
          <t>ENSA Paris-La Villette</t>
        </is>
      </c>
      <c r="E8" t="inlineStr">
        <is>
          <t>19751875600014</t>
        </is>
      </c>
      <c r="F8" t="inlineStr">
        <is>
          <t>197518756</t>
        </is>
      </c>
      <c r="G8" t="inlineStr">
        <is>
          <t>ACHOUR</t>
        </is>
      </c>
      <c r="H8" t="inlineStr"/>
      <c r="I8" t="inlineStr">
        <is>
          <t>safae.achour@paris-lavillette.archi.fr</t>
        </is>
      </c>
      <c r="J8" t="inlineStr">
        <is>
          <t>07-23 2026-09</t>
        </is>
      </c>
      <c r="K8" t="inlineStr">
        <is>
          <t>75019</t>
        </is>
      </c>
      <c r="L8" t="inlineStr">
        <is>
          <t>75019</t>
        </is>
      </c>
      <c r="M8" t="inlineStr">
        <is>
          <t>Paris</t>
        </is>
      </c>
      <c r="N8" t="inlineStr">
        <is>
          <t>75,92,93,91,95,77,94</t>
        </is>
      </c>
      <c r="O8" t="inlineStr"/>
      <c r="P8" t="inlineStr">
        <is>
          <t>Ile-de-France</t>
        </is>
      </c>
      <c r="Q8" s="15" t="n">
        <v>46226</v>
      </c>
      <c r="R8" s="15" t="n">
        <v>46293</v>
      </c>
      <c r="S8" s="14" t="n">
        <v>75019</v>
      </c>
      <c r="T8" t="inlineStr">
        <is>
          <t>BUDGET_SOUS_SEUIL</t>
        </is>
      </c>
      <c r="U8" t="inlineStr">
        <is>
          <t>75019.0</t>
        </is>
      </c>
      <c r="V8" t="inlineStr">
        <is>
          <t>non</t>
        </is>
      </c>
      <c r="W8" t="inlineStr">
        <is>
          <t>Batiments</t>
        </is>
      </c>
      <c r="X8" t="inlineStr">
        <is>
          <t>Ecole</t>
        </is>
      </c>
      <c r="Y8" t="inlineStr">
        <is>
          <t>SERVICES</t>
        </is>
      </c>
      <c r="Z8" t="inlineStr">
        <is>
          <t>Procédure Ouverte</t>
        </is>
      </c>
      <c r="AA8" t="inlineStr">
        <is>
          <t>Avis de marché</t>
        </is>
      </c>
      <c r="AB8" t="inlineStr">
        <is>
          <t>Nettoyage de locaux</t>
        </is>
      </c>
      <c r="AC8" t="inlineStr"/>
      <c r="AD8" s="11" t="inlineStr">
        <is>
          <t>https://www.boamp.fr/pages/avis/?q=idweb:26-74013</t>
        </is>
      </c>
      <c r="AE8" t="inlineStr">
        <is>
          <t>https://www.marches-publics.gouv.fr/entreprise/consultation/3044724?orgAcronyme=f5j</t>
        </is>
      </c>
      <c r="AF8" t="inlineStr">
        <is>
          <t>https://www.marches-publics.gouv.fr/entreprise/consultation/3044724?orgAcronyme=f5j</t>
        </is>
      </c>
      <c r="AG8" t="inlineStr">
        <is>
          <t>nettoyage</t>
        </is>
      </c>
      <c r="AH8" t="inlineStr">
        <is>
          <t>6</t>
        </is>
      </c>
      <c r="AI8" t="inlineStr">
        <is>
          <t>98</t>
        </is>
      </c>
      <c r="AJ8" t="inlineStr">
        <is>
          <t>INFO_PARTIELLE</t>
        </is>
      </c>
      <c r="AK8" t="inlineStr">
        <is>
          <t>75</t>
        </is>
      </c>
      <c r="AL8" s="13" t="inlineStr">
        <is>
          <t>CHAUD</t>
        </is>
      </c>
      <c r="AM8" t="inlineStr"/>
      <c r="AN8" t="inlineStr"/>
      <c r="AO8" t="inlineStr"/>
      <c r="AP8" t="inlineStr"/>
      <c r="AQ8" t="inlineStr">
        <is>
          <t>IA_CONTROLE_SOURCE</t>
        </is>
      </c>
      <c r="AR8" t="inlineStr">
        <is>
          <t>Verifier rapidement la source avant contact.</t>
        </is>
      </c>
      <c r="AS8" t="inlineStr">
        <is>
          <t>Aucun champ critique manquant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8" t="inlineStr">
        <is>
          <t>Verifier url_avis et DCE si disponible</t>
        </is>
      </c>
      <c r="AV8" t="inlineStr"/>
      <c r="AW8" t="inlineStr"/>
      <c r="AX8" t="inlineStr"/>
      <c r="AY8" t="inlineStr"/>
      <c r="AZ8" t="inlineStr"/>
      <c r="BA8" t="inlineStr"/>
      <c r="BB8" t="inlineStr">
        <is>
          <t>+35 nettoyage + categorie claire | +20 budget annualise &lt;= 100 000 EUR | +10 secteur cible Ecole | +10 delai confortable 62j</t>
        </is>
      </c>
      <c r="BC8"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8"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8"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26-72283</t>
        </is>
      </c>
      <c r="C9" t="inlineStr">
        <is>
          <t>Prestation d'écrivains publics interprètes à Montreuil</t>
        </is>
      </c>
      <c r="D9" t="inlineStr">
        <is>
          <t>Mairie de Montreuil</t>
        </is>
      </c>
      <c r="E9" t="inlineStr">
        <is>
          <t>21930048000015</t>
        </is>
      </c>
      <c r="F9" t="inlineStr">
        <is>
          <t>219300480</t>
        </is>
      </c>
      <c r="G9" t="inlineStr">
        <is>
          <t>Service des achats et de la commande publique</t>
        </is>
      </c>
      <c r="H9" t="inlineStr"/>
      <c r="I9" t="inlineStr">
        <is>
          <t>sacop@montreuil.fr</t>
        </is>
      </c>
      <c r="J9" t="inlineStr">
        <is>
          <t>+33 331487060</t>
        </is>
      </c>
      <c r="K9" t="inlineStr">
        <is>
          <t>(93) Seine-Saint-Denis</t>
        </is>
      </c>
      <c r="L9" t="inlineStr">
        <is>
          <t>93100</t>
        </is>
      </c>
      <c r="M9" t="inlineStr">
        <is>
          <t>Montreuil</t>
        </is>
      </c>
      <c r="N9" t="inlineStr">
        <is>
          <t>93</t>
        </is>
      </c>
      <c r="O9" t="inlineStr"/>
      <c r="P9" t="inlineStr">
        <is>
          <t>Ile-de-France</t>
        </is>
      </c>
      <c r="Q9" s="15" t="n">
        <v>46223</v>
      </c>
      <c r="R9" s="15" t="n">
        <v>46276</v>
      </c>
      <c r="S9" s="14" t="n">
        <v>93100</v>
      </c>
      <c r="T9" t="inlineStr">
        <is>
          <t>BUDGET_SOUS_SEUIL</t>
        </is>
      </c>
      <c r="U9" t="inlineStr">
        <is>
          <t>93100.0</t>
        </is>
      </c>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https://www.boamp.fr/pages/avis/?q=idweb:26-72283</t>
        </is>
      </c>
      <c r="AE9" t="inlineStr">
        <is>
          <t>https://marches.maximilien.fr/entreprise/consultation/943753?orgAcronyme=d6a</t>
        </is>
      </c>
      <c r="AF9" t="inlineStr">
        <is>
          <t>https://marches.maximilien.fr/entreprise/consultation/943753?orgAcronyme=d6a</t>
        </is>
      </c>
      <c r="AG9" t="inlineStr">
        <is>
          <t>nettoyage</t>
        </is>
      </c>
      <c r="AH9" t="inlineStr">
        <is>
          <t>6</t>
        </is>
      </c>
      <c r="AI9" t="inlineStr">
        <is>
          <t>98</t>
        </is>
      </c>
      <c r="AJ9" t="inlineStr">
        <is>
          <t>INFO_PARTIELLE</t>
        </is>
      </c>
      <c r="AK9" t="inlineStr">
        <is>
          <t>75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9" t="inlineStr">
        <is>
          <t>Verifier url_avis et DCE si disponible</t>
        </is>
      </c>
      <c r="AV9" t="inlineStr"/>
      <c r="AW9" t="inlineStr"/>
      <c r="AX9" t="inlineStr"/>
      <c r="AY9" t="inlineStr"/>
      <c r="AZ9" t="inlineStr"/>
      <c r="BA9" t="inlineStr"/>
      <c r="BB9" t="inlineStr">
        <is>
          <t>+35 nettoyage + categorie claire | +20 budget annualise &lt;= 100 000 EUR | +10 secteur cible Mairie | +10 delai confortable 45j</t>
        </is>
      </c>
      <c r="BC9" t="inlineStr">
        <is>
          <t>Mairie de Montreuil publie un AO potentiellement pertinent pour CHRUTH : Prestation d'écrivains publics interprètes à Montreuil. Zone : Montreuil. Budget detecte environ 93 100 EUR. Verifier le lien source avant contact.</t>
        </is>
      </c>
      <c r="BD9"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9"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2026-W30</t>
        </is>
      </c>
    </row>
    <row r="10">
      <c r="A10" t="inlineStr">
        <is>
          <t>BOAMP</t>
        </is>
      </c>
      <c r="B10" t="inlineStr">
        <is>
          <t>26-80939</t>
        </is>
      </c>
      <c r="C10" t="inlineStr">
        <is>
          <t>Plantation et entretien du patrimoine arboré des propriétés communales</t>
        </is>
      </c>
      <c r="D10" t="inlineStr">
        <is>
          <t>Ville de Longjumeau</t>
        </is>
      </c>
      <c r="E10" t="inlineStr">
        <is>
          <t>21910345400225</t>
        </is>
      </c>
      <c r="F10" t="inlineStr">
        <is>
          <t>219103454</t>
        </is>
      </c>
      <c r="G10" t="inlineStr"/>
      <c r="H10" t="inlineStr"/>
      <c r="I10" t="inlineStr">
        <is>
          <t>achatpublic@longjumeau.fr</t>
        </is>
      </c>
      <c r="J10" t="inlineStr">
        <is>
          <t>0345400225</t>
        </is>
      </c>
      <c r="K10" t="inlineStr"/>
      <c r="L10" t="inlineStr"/>
      <c r="M10" t="inlineStr"/>
      <c r="N10" t="inlineStr">
        <is>
          <t>91</t>
        </is>
      </c>
      <c r="O10" t="inlineStr"/>
      <c r="P10" t="inlineStr">
        <is>
          <t>Ile-de-France</t>
        </is>
      </c>
      <c r="Q10" s="15" t="n">
        <v>46252</v>
      </c>
      <c r="R10" s="15" t="n">
        <v>46289</v>
      </c>
      <c r="S10" s="14" t="n">
        <v>85000</v>
      </c>
      <c r="T10" t="inlineStr">
        <is>
          <t>BUDGET_SOUS_SEUIL</t>
        </is>
      </c>
      <c r="U10" t="inlineStr">
        <is>
          <t>21250</t>
        </is>
      </c>
      <c r="V10" t="inlineStr">
        <is>
          <t>oui</t>
        </is>
      </c>
      <c r="W10" t="inlineStr">
        <is>
          <t>Mixte/Autre</t>
        </is>
      </c>
      <c r="X10" t="inlineStr">
        <is>
          <t>Mairie</t>
        </is>
      </c>
      <c r="Y10" t="inlineStr">
        <is>
          <t>SERVICES</t>
        </is>
      </c>
      <c r="Z10" t="inlineStr">
        <is>
          <t>Procédure Ouverte</t>
        </is>
      </c>
      <c r="AA10" t="inlineStr">
        <is>
          <t>Avis de marché</t>
        </is>
      </c>
      <c r="AB10" t="inlineStr">
        <is>
          <t>Matériel agricole, horticole</t>
        </is>
      </c>
      <c r="AC10" t="inlineStr"/>
      <c r="AD10" s="11" t="inlineStr">
        <is>
          <t>https://www.boamp.fr/pages/avis/?q=idweb:26-80939</t>
        </is>
      </c>
      <c r="AE10" t="inlineStr">
        <is>
          <t>http://longjumeau.e-marchespublics.com</t>
        </is>
      </c>
      <c r="AF10" t="inlineStr">
        <is>
          <t>http://longjumeau.e-marchespublics.com</t>
        </is>
      </c>
      <c r="AG10" t="inlineStr">
        <is>
          <t>nettoyage</t>
        </is>
      </c>
      <c r="AH10" t="inlineStr">
        <is>
          <t>3</t>
        </is>
      </c>
      <c r="AI10" t="inlineStr">
        <is>
          <t>68</t>
        </is>
      </c>
      <c r="AJ10" t="inlineStr">
        <is>
          <t>INFO_PARTIELLE</t>
        </is>
      </c>
      <c r="AK10" t="inlineStr">
        <is>
          <t>73.5</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26-80939. Objet: Plantation et entretien du patrimoine arboré des propriétés communales. Acheteur: Ville de Longjumeau. Lien: https://www.boamp.fr/pages/avis/?q=idweb:26-80939.</t>
        </is>
      </c>
      <c r="AU10" t="inlineStr">
        <is>
          <t>Verifier url_avis et DCE si disponible</t>
        </is>
      </c>
      <c r="AV10" t="inlineStr"/>
      <c r="AW10" t="inlineStr"/>
      <c r="AX10" t="inlineStr"/>
      <c r="AY10" t="inlineStr"/>
      <c r="AZ10" t="inlineStr"/>
      <c r="BA10" t="inlineStr"/>
      <c r="BB10" t="inlineStr">
        <is>
          <t>+28.5 mots-cles nettoyage forts (1 termes) | +25.0 budget annualise 21 250 EUR | +10 secteur cible Mairie | +8.5 delai 24 j | +1.5 dossier renseigne (3/4)</t>
        </is>
      </c>
      <c r="BC10" t="inlineStr">
        <is>
          <t>Ville de Longjumeau publie un AO potentiellement pertinent pour CHRUTH : Plantation et entretien du patrimoine arboré des propriétés communales. Zone : 91. Budget detecte environ 85 000 EUR. Verifier le lien source avant contact.</t>
        </is>
      </c>
      <c r="BD10" t="inlineStr">
        <is>
          <t>Bonjour,
Je me permets de vous contacter au sujet de votre appel d'offres : Plantation et entretien du patrimoine arboré des propriétés communales.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10"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2026-W34</t>
        </is>
      </c>
    </row>
    <row r="11">
      <c r="A11" t="inlineStr">
        <is>
          <t>BOAMP</t>
        </is>
      </c>
      <c r="B11" t="inlineStr">
        <is>
          <t>26-80740</t>
        </is>
      </c>
      <c r="C11" t="inlineStr">
        <is>
          <t>Entretien Ménager - Service Ordures Ménagères -</t>
        </is>
      </c>
      <c r="D11" t="inlineStr">
        <is>
          <t>SAEM de construction Maisons-Laffitte</t>
        </is>
      </c>
      <c r="E11" t="inlineStr"/>
      <c r="F11" t="inlineStr"/>
      <c r="G11" t="inlineStr">
        <is>
          <t>VEGAS M.JUAN CARLOS</t>
        </is>
      </c>
      <c r="H11" t="inlineStr"/>
      <c r="I11" t="inlineStr">
        <is>
          <t>service.saem@maisonslaffitte.fr</t>
        </is>
      </c>
      <c r="J11" t="inlineStr">
        <is>
          <t>0134937166</t>
        </is>
      </c>
      <c r="K11" t="inlineStr"/>
      <c r="L11" t="inlineStr">
        <is>
          <t>78605</t>
        </is>
      </c>
      <c r="M11" t="inlineStr">
        <is>
          <t>Maisons-Laffitte Cedex</t>
        </is>
      </c>
      <c r="N11" t="inlineStr">
        <is>
          <t>78</t>
        </is>
      </c>
      <c r="O11" t="inlineStr"/>
      <c r="P11" t="inlineStr">
        <is>
          <t>Ile-de-France</t>
        </is>
      </c>
      <c r="Q11" s="15" t="n">
        <v>46248</v>
      </c>
      <c r="R11" s="15" t="n">
        <v>46326</v>
      </c>
      <c r="S11" t="inlineStr"/>
      <c r="T11" t="inlineStr">
        <is>
          <t>A_VERIFIER_BUDGET</t>
        </is>
      </c>
      <c r="U11" t="inlineStr"/>
      <c r="V11" t="inlineStr">
        <is>
          <t>non</t>
        </is>
      </c>
      <c r="W11" t="inlineStr">
        <is>
          <t>Vitres</t>
        </is>
      </c>
      <c r="X11" t="inlineStr">
        <is>
          <t>Autre</t>
        </is>
      </c>
      <c r="Y11" t="inlineStr">
        <is>
          <t>SERVICES</t>
        </is>
      </c>
      <c r="Z11" t="inlineStr">
        <is>
          <t>Procédure Adaptée</t>
        </is>
      </c>
      <c r="AA11" t="inlineStr">
        <is>
          <t>Avis de marché</t>
        </is>
      </c>
      <c r="AB11" t="inlineStr">
        <is>
          <t>Nettoyage de locaux</t>
        </is>
      </c>
      <c r="AC11" t="inlineStr"/>
      <c r="AD11" s="11" t="inlineStr">
        <is>
          <t>https://www.boamp.fr/pages/avis/?q=idweb:26-80740</t>
        </is>
      </c>
      <c r="AE11" t="inlineStr">
        <is>
          <t>https://www.e-marchespublics.com/appel-offre/1178203</t>
        </is>
      </c>
      <c r="AF11" t="inlineStr">
        <is>
          <t>https://www.e-marchespublics.com/appel-offre/1178203</t>
        </is>
      </c>
      <c r="AG11" t="inlineStr">
        <is>
          <t>nettoyage, menage, entretien menager</t>
        </is>
      </c>
      <c r="AH11" t="inlineStr">
        <is>
          <t>4</t>
        </is>
      </c>
      <c r="AI11" t="inlineStr">
        <is>
          <t>90</t>
        </is>
      </c>
      <c r="AJ11" t="inlineStr">
        <is>
          <t>INFO_PARTIELLE</t>
        </is>
      </c>
      <c r="AK11" t="inlineStr">
        <is>
          <t>71.0</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SIRET, adresse,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+15 procedure adaptee / MAPA / allotissement | +10.0 delai 61 j | +2.0 dossier renseigne (4/4)</t>
        </is>
      </c>
      <c r="BC11" t="inlineStr">
        <is>
          <t>SAEM de construction Maisons-Laffitte publie un AO potentiellement pertinent pour CHRUTH : Entretien Ménager - Service Ordures Ménagères -. Zone : Maisons-Laffitte Cedex. Budget a verifier. Verifier le lien source avant contact.</t>
        </is>
      </c>
      <c r="BD11"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11"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26-78436</t>
        </is>
      </c>
      <c r="C12" t="inlineStr">
        <is>
          <t>Nettoyage Des Batiments Communaux Et Nettoyage Des Vitres</t>
        </is>
      </c>
      <c r="D12" t="inlineStr">
        <is>
          <t>Mairie De Gouvernes</t>
        </is>
      </c>
      <c r="E12" t="inlineStr">
        <is>
          <t>21770209100018</t>
        </is>
      </c>
      <c r="F12" t="inlineStr">
        <is>
          <t>217702091</t>
        </is>
      </c>
      <c r="G12" t="inlineStr">
        <is>
          <t>Service Commande publique</t>
        </is>
      </c>
      <c r="H12" t="inlineStr"/>
      <c r="I12" t="inlineStr"/>
      <c r="J12" t="inlineStr">
        <is>
          <t>0209100018</t>
        </is>
      </c>
      <c r="K12" t="inlineStr">
        <is>
          <t>FR102 - Seine-et-Marne</t>
        </is>
      </c>
      <c r="L12" t="inlineStr">
        <is>
          <t>77400</t>
        </is>
      </c>
      <c r="M12" t="inlineStr">
        <is>
          <t>GOUVERNES</t>
        </is>
      </c>
      <c r="N12" t="inlineStr">
        <is>
          <t>77</t>
        </is>
      </c>
      <c r="O12" t="inlineStr"/>
      <c r="P12" t="inlineStr">
        <is>
          <t>Ile-de-France</t>
        </is>
      </c>
      <c r="Q12" s="15" t="n">
        <v>46240</v>
      </c>
      <c r="R12" s="15" t="n">
        <v>46279</v>
      </c>
      <c r="S12" s="14" t="n">
        <v>77400</v>
      </c>
      <c r="T12" t="inlineStr">
        <is>
          <t>BUDGET_SOUS_SEUIL</t>
        </is>
      </c>
      <c r="U12" t="inlineStr">
        <is>
          <t>77400.0</t>
        </is>
      </c>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https://www.boamp.fr/pages/avis/?q=idweb:26-78436</t>
        </is>
      </c>
      <c r="AE12" t="inlineStr">
        <is>
          <t>https://www.marches-publics.info/mpiaws/index.cfm?fuseaction=dematent.login&amp;type=Dce&amp;Idm=1859473</t>
        </is>
      </c>
      <c r="AF12" t="inlineStr">
        <is>
          <t>https://www.marches-publics.info/mpiaws/index.cfm?fuseaction=dematent.login&amp;type=Dce&amp;Idm=1859473</t>
        </is>
      </c>
      <c r="AG12" t="inlineStr">
        <is>
          <t>nettoyage</t>
        </is>
      </c>
      <c r="AH12" t="inlineStr">
        <is>
          <t>5</t>
        </is>
      </c>
      <c r="AI12" t="inlineStr">
        <is>
          <t>88</t>
        </is>
      </c>
      <c r="AJ12" t="inlineStr">
        <is>
          <t>INFO_PARTIELLE</t>
        </is>
      </c>
      <c r="AK12" t="inlineStr">
        <is>
          <t>70.5</t>
        </is>
      </c>
      <c r="AL12" s="13" t="inlineStr">
        <is>
          <t>CHAUD</t>
        </is>
      </c>
      <c r="AM12" t="inlineStr"/>
      <c r="AN12" t="inlineStr"/>
      <c r="AO12" t="inlineStr"/>
      <c r="AP12" t="inlineStr"/>
      <c r="AQ12" t="inlineStr">
        <is>
          <t>IA_CONTACT_A_COMPLETER</t>
        </is>
      </c>
      <c r="AR12" t="inlineStr">
        <is>
          <t>Completer les champs manquants depuis l'avis source, le site acheteur ou le DCE.</t>
        </is>
      </c>
      <c r="AS12" t="inlineStr">
        <is>
          <t>email</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26-78436. Objet: Nettoyage Des Batiments Communaux Et Nettoyage Des Vitres. Acheteur: Mairie De Gouvernes. Lien: https://www.boamp.fr/pages/avis/?q=idweb:26-78436.</t>
        </is>
      </c>
      <c r="AU12" t="inlineStr">
        <is>
          <t>Verifier url_avis et DCE si disponible</t>
        </is>
      </c>
      <c r="AV12" t="inlineStr">
        <is>
          <t>LIEN_SEUL</t>
        </is>
      </c>
      <c r="AW12" t="inlineStr"/>
      <c r="AX12" t="inlineStr"/>
      <c r="AY12" t="inlineStr"/>
      <c r="AZ12" t="inlineStr"/>
      <c r="BA12" t="inlineStr"/>
      <c r="BB12" t="inlineStr">
        <is>
          <t>+33.5 nettoyage + categorie claire (1 termes) | +19.5 budget annualise 77 400 EUR | +10 secteur cible Mairie | +6.0 delai 14 j | +1.5 dossier renseigne (3/4)</t>
        </is>
      </c>
      <c r="BC12" t="inlineStr">
        <is>
          <t>Mairie De Gouvernes publie un AO potentiellement pertinent pour CHRUTH : Nettoyage Des Batiments Communaux Et Nettoyage Des Vitres. Zone : GOUVERNES. Budget detecte environ 77 400 EUR. Verifier le lien source avant contact.</t>
        </is>
      </c>
      <c r="BD12" t="inlineStr">
        <is>
          <t>Bonjour,
Je me permets de vous contacter au sujet de votre appel d'offres : Nettoyage Des Batiments Communaux Et Nettoyage Des Vitres.
CHRUTH accompagne les structures publiques et privées sur les besoins de nettoyage, d'entretien des locaux et d'organisation de prestations de service.
Serait-il possible d'échanger rapidement afin de vérifier les modalités de réponse et les attentes de Mairie De Gouvernes ?
Cordialement,</t>
        </is>
      </c>
      <c r="BE12" t="inlineStr">
        <is>
          <t>Bonjour, je vous appelle concernant un appel d'offres publié par Mairie De Gouvernes.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2026-W32</t>
        </is>
      </c>
    </row>
    <row r="13">
      <c r="A13" t="inlineStr">
        <is>
          <t>BOAMP</t>
        </is>
      </c>
      <c r="B13" t="inlineStr">
        <is>
          <t>26-70858</t>
        </is>
      </c>
      <c r="C13" t="inlineStr">
        <is>
          <t>Nettoyage des locaux de l'EPAMSA</t>
        </is>
      </c>
      <c r="D13" t="inlineStr">
        <is>
          <t>EPAMSA</t>
        </is>
      </c>
      <c r="E13" t="inlineStr">
        <is>
          <t>41063810000033</t>
        </is>
      </c>
      <c r="F13" t="inlineStr">
        <is>
          <t>410638100</t>
        </is>
      </c>
      <c r="G13" t="inlineStr">
        <is>
          <t>Courteille</t>
        </is>
      </c>
      <c r="H13" t="inlineStr"/>
      <c r="I13" t="inlineStr">
        <is>
          <t>t.courteille@epamsa.fr</t>
        </is>
      </c>
      <c r="J13" t="inlineStr">
        <is>
          <t>0638100000</t>
        </is>
      </c>
      <c r="K13" t="inlineStr">
        <is>
          <t>Mantes-la-Jolie</t>
        </is>
      </c>
      <c r="L13" t="inlineStr">
        <is>
          <t>78200</t>
        </is>
      </c>
      <c r="M13" t="inlineStr">
        <is>
          <t>MANTES-LA-JOLIE</t>
        </is>
      </c>
      <c r="N13" t="inlineStr">
        <is>
          <t>78</t>
        </is>
      </c>
      <c r="O13" t="inlineStr"/>
      <c r="P13" t="inlineStr">
        <is>
          <t>Ile-de-France</t>
        </is>
      </c>
      <c r="Q13" s="15" t="n">
        <v>46219</v>
      </c>
      <c r="R13" s="15" t="n">
        <v>46269</v>
      </c>
      <c r="S13" s="14" t="n">
        <v>78200</v>
      </c>
      <c r="T13" t="inlineStr">
        <is>
          <t>BUDGET_SOUS_SEUIL</t>
        </is>
      </c>
      <c r="U13" t="inlineStr">
        <is>
          <t>19550</t>
        </is>
      </c>
      <c r="V13" t="inlineStr">
        <is>
          <t>oui</t>
        </is>
      </c>
      <c r="W13" t="inlineStr">
        <is>
          <t>Batiments</t>
        </is>
      </c>
      <c r="X13" t="inlineStr">
        <is>
          <t>Autre</t>
        </is>
      </c>
      <c r="Y13" t="inlineStr">
        <is>
          <t>SERVICES</t>
        </is>
      </c>
      <c r="Z13" t="inlineStr">
        <is>
          <t>Procédure Ouverte</t>
        </is>
      </c>
      <c r="AA13" t="inlineStr">
        <is>
          <t>Avis de marché</t>
        </is>
      </c>
      <c r="AB13" t="inlineStr">
        <is>
          <t>Nettoyage de locaux</t>
        </is>
      </c>
      <c r="AC13" t="inlineStr">
        <is>
          <t>['sociaux', 'environnementaux']</t>
        </is>
      </c>
      <c r="AD13" s="11" t="inlineStr">
        <is>
          <t>https://www.boamp.fr/pages/avis/?q=idweb:26-70858</t>
        </is>
      </c>
      <c r="AE13" t="inlineStr">
        <is>
          <t>https://www.marches-publics.gouv.fr/entreprise/consultation/3039334?orgAcronyme=d4t</t>
        </is>
      </c>
      <c r="AF13" t="inlineStr">
        <is>
          <t>https://www.marches-publics.gouv.fr/entreprise/consultation/3039334?orgAcronyme=d4t</t>
        </is>
      </c>
      <c r="AG13" t="inlineStr">
        <is>
          <t>nettoyage</t>
        </is>
      </c>
      <c r="AH13" t="inlineStr">
        <is>
          <t>6</t>
        </is>
      </c>
      <c r="AI13" t="inlineStr">
        <is>
          <t>98</t>
        </is>
      </c>
      <c r="AJ13" t="inlineStr">
        <is>
          <t>INFO_PARTIELLE</t>
        </is>
      </c>
      <c r="AK13" t="inlineStr">
        <is>
          <t>70</t>
        </is>
      </c>
      <c r="AL13" s="13" t="inlineStr">
        <is>
          <t>CHAUD</t>
        </is>
      </c>
      <c r="AM13" t="inlineStr"/>
      <c r="AN13" t="inlineStr"/>
      <c r="AO13" t="inlineStr"/>
      <c r="AP13" t="inlineStr"/>
      <c r="AQ13" t="inlineStr">
        <is>
          <t>IA_CONTROLE_SOURCE</t>
        </is>
      </c>
      <c r="AR13" t="inlineStr">
        <is>
          <t>Verifier rapidement la source avant contact.</t>
        </is>
      </c>
      <c r="AS13" t="inlineStr">
        <is>
          <t>Aucun champ critique manquant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13" t="inlineStr">
        <is>
          <t>Verifier url_avis et DCE si disponible</t>
        </is>
      </c>
      <c r="AV13" t="inlineStr"/>
      <c r="AW13" t="inlineStr"/>
      <c r="AX13" t="inlineStr"/>
      <c r="AY13" t="inlineStr"/>
      <c r="AZ13" t="inlineStr"/>
      <c r="BA13" t="inlineStr"/>
      <c r="BB13" t="inlineStr">
        <is>
          <t>+35 nettoyage + categorie claire | +25 budget annualise &lt;= 50 000 EUR | +10 delai confortable 38j</t>
        </is>
      </c>
      <c r="BC13" t="inlineStr">
        <is>
          <t>EPAMSA publie un AO potentiellement pertinent pour CHRUTH : Nettoyage des locaux de l'EPAMSA. Zone : MANTES-LA-JOLIE. Budget detecte environ 78 200 EUR. Verifier le lien source avant contact.</t>
        </is>
      </c>
      <c r="BD13"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13"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26-70565</t>
        </is>
      </c>
      <c r="C14" t="inlineStr">
        <is>
          <t>TRAVAUX D'AMÉNAGEMENT INTÉRIEUR DU R+1 ET COMBLE DE LA FERME DURPÉ</t>
        </is>
      </c>
      <c r="D14" t="inlineStr">
        <is>
          <t>COMMUNE DE MAGNY LE HONGRE</t>
        </is>
      </c>
      <c r="E14" t="inlineStr">
        <is>
          <t>21770268700013</t>
        </is>
      </c>
      <c r="F14" t="inlineStr">
        <is>
          <t>217702687</t>
        </is>
      </c>
      <c r="G14" t="inlineStr">
        <is>
          <t>M. SOW LAMARANA</t>
        </is>
      </c>
      <c r="H14" t="inlineStr"/>
      <c r="I14" t="inlineStr">
        <is>
          <t>service-mp@magnylehongre.fr</t>
        </is>
      </c>
      <c r="J14" t="inlineStr">
        <is>
          <t>0268700013</t>
        </is>
      </c>
      <c r="K14" t="inlineStr">
        <is>
          <t>1 rue de l'Église - 77700 MAGNY LE HONGRE</t>
        </is>
      </c>
      <c r="L14" t="inlineStr">
        <is>
          <t>77700</t>
        </is>
      </c>
      <c r="M14" t="inlineStr">
        <is>
          <t>MAGNY LE HONGRE</t>
        </is>
      </c>
      <c r="N14" t="inlineStr">
        <is>
          <t>77,75,78,91</t>
        </is>
      </c>
      <c r="O14" t="inlineStr"/>
      <c r="P14" t="inlineStr">
        <is>
          <t>Ile-de-France</t>
        </is>
      </c>
      <c r="Q14" s="15" t="n">
        <v>46218</v>
      </c>
      <c r="R14" s="15" t="n">
        <v>46275</v>
      </c>
      <c r="S14" s="14" t="n">
        <v>77700</v>
      </c>
      <c r="T14" t="inlineStr">
        <is>
          <t>BUDGET_SOUS_SEUIL</t>
        </is>
      </c>
      <c r="U14" t="inlineStr">
        <is>
          <t>77700.0</t>
        </is>
      </c>
      <c r="V14" t="inlineStr">
        <is>
          <t>non</t>
        </is>
      </c>
      <c r="W14" t="inlineStr">
        <is>
          <t>Mixte/Autre</t>
        </is>
      </c>
      <c r="X14" t="inlineStr">
        <is>
          <t>Mairie</t>
        </is>
      </c>
      <c r="Y14" t="inlineStr">
        <is>
          <t>TRAVAUX</t>
        </is>
      </c>
      <c r="Z14" t="inlineStr">
        <is>
          <t>Procédure Ouverte</t>
        </is>
      </c>
      <c r="AA14" t="inlineStr">
        <is>
          <t>Avis de marché</t>
        </is>
      </c>
      <c r="AB14" t="inlineStr">
        <is>
          <t>Plomberie (travaux), Peinture (travaux), Electricité (travaux)</t>
        </is>
      </c>
      <c r="AC14" t="inlineStr">
        <is>
          <t>['environnementaux']</t>
        </is>
      </c>
      <c r="AD14" s="11" t="inlineStr">
        <is>
          <t>https://www.boamp.fr/pages/avis/?q=idweb:26-70565</t>
        </is>
      </c>
      <c r="AE14" t="inlineStr">
        <is>
          <t>https://marches.maximilien.fr/?page=Entreprise.EntrepriseAdvancedSearch&amp;AllCons&amp;id=942965&amp;orgAcronyme=a4d</t>
        </is>
      </c>
      <c r="AF14" t="inlineStr">
        <is>
          <t>https://marches.maximilien.fr/?page=Entreprise.EntrepriseAdvancedSearch&amp;AllCons&amp;id=942965&amp;orgAcronyme=a4d</t>
        </is>
      </c>
      <c r="AG14" t="inlineStr">
        <is>
          <t>nettoyage</t>
        </is>
      </c>
      <c r="AH14" t="inlineStr">
        <is>
          <t>6</t>
        </is>
      </c>
      <c r="AI14" t="inlineStr">
        <is>
          <t>98</t>
        </is>
      </c>
      <c r="AJ14" t="inlineStr">
        <is>
          <t>INFO_PARTIELLE</t>
        </is>
      </c>
      <c r="AK14" t="inlineStr">
        <is>
          <t>70</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14" t="inlineStr">
        <is>
          <t>Verifier url_avis et DCE si disponible</t>
        </is>
      </c>
      <c r="AV14" t="inlineStr"/>
      <c r="AW14" t="inlineStr"/>
      <c r="AX14" t="inlineStr"/>
      <c r="AY14" t="inlineStr"/>
      <c r="AZ14" t="inlineStr"/>
      <c r="BA14" t="inlineStr"/>
      <c r="BB14" t="inlineStr">
        <is>
          <t>+30 mots-cles nettoyage forts | +20 budget annualise &lt;= 100 000 EUR | +10 secteur cible Mairie | +10 delai confortable 44j</t>
        </is>
      </c>
      <c r="BC14" t="inlineStr">
        <is>
          <t>COMMUNE DE MAGNY LE HONGRE publie un AO potentiellement pertinent pour CHRUTH : TRAVAUX D'AMÉNAGEMENT INTÉRIEUR DU R+1 ET COMBLE DE LA FERME DURPÉ. Zone : MAGNY LE HONGRE. Budget detecte environ 77 700 EUR. Verifier le lien source avant contact.</t>
        </is>
      </c>
      <c r="BD14"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14"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2026-W29</t>
        </is>
      </c>
    </row>
    <row r="15">
      <c r="A15" t="inlineStr">
        <is>
          <t>BOAMP</t>
        </is>
      </c>
      <c r="B15" t="inlineStr">
        <is>
          <t>26-83338</t>
        </is>
      </c>
      <c r="C15" t="inlineStr">
        <is>
          <t>Nettoyage Des Vitres Dans Les Batiments Communaux</t>
        </is>
      </c>
      <c r="D15" t="inlineStr">
        <is>
          <t>Mairie de Bonneuil sur Marne</t>
        </is>
      </c>
      <c r="E15" t="inlineStr">
        <is>
          <t>21940011600014</t>
        </is>
      </c>
      <c r="F15" t="inlineStr">
        <is>
          <t>219400116</t>
        </is>
      </c>
      <c r="G15" t="inlineStr">
        <is>
          <t>Ville de Bonneuil sur Marne</t>
        </is>
      </c>
      <c r="H15" t="inlineStr"/>
      <c r="I15" t="inlineStr"/>
      <c r="J15" t="inlineStr">
        <is>
          <t>+33 145143880</t>
        </is>
      </c>
      <c r="K15" t="inlineStr">
        <is>
          <t>FR107 - Val-de-Marne, Bâtiments communaux de la ville de Bonneuil sur Marne</t>
        </is>
      </c>
      <c r="L15" t="inlineStr">
        <is>
          <t>94380</t>
        </is>
      </c>
      <c r="M15" t="inlineStr">
        <is>
          <t>Bonneuil-sur-Marne</t>
        </is>
      </c>
      <c r="N15" t="inlineStr">
        <is>
          <t>94</t>
        </is>
      </c>
      <c r="O15" t="inlineStr"/>
      <c r="P15" t="inlineStr">
        <is>
          <t>Ile-de-France</t>
        </is>
      </c>
      <c r="Q15" s="15" t="n">
        <v>46260</v>
      </c>
      <c r="R15" s="15" t="n">
        <v>46290</v>
      </c>
      <c r="S15" s="14" t="n">
        <v>94380</v>
      </c>
      <c r="T15" t="inlineStr">
        <is>
          <t>BUDGET_SOUS_SEUIL</t>
        </is>
      </c>
      <c r="U15" t="inlineStr">
        <is>
          <t>94380.0</t>
        </is>
      </c>
      <c r="V15" t="inlineStr">
        <is>
          <t>non</t>
        </is>
      </c>
      <c r="W15" t="inlineStr">
        <is>
          <t>Vitres</t>
        </is>
      </c>
      <c r="X15" t="inlineStr">
        <is>
          <t>Mairie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https://www.boamp.fr/pages/avis/?q=idweb:26-83338</t>
        </is>
      </c>
      <c r="AE15" t="inlineStr">
        <is>
          <t>https://www.marches-publics.info/mpiaws/index.cfm?fuseaction=dematent.login&amp;type=Dce&amp;Idm=1864838</t>
        </is>
      </c>
      <c r="AF15" t="inlineStr">
        <is>
          <t>https://www.marches-publics.info/mpiaws/index.cfm?fuseaction=dematent.login&amp;type=Dce&amp;Idm=1864838</t>
        </is>
      </c>
      <c r="AG15" t="inlineStr">
        <is>
          <t>nettoyage</t>
        </is>
      </c>
      <c r="AH15" t="inlineStr">
        <is>
          <t>5</t>
        </is>
      </c>
      <c r="AI15" t="inlineStr">
        <is>
          <t>88</t>
        </is>
      </c>
      <c r="AJ15" t="inlineStr">
        <is>
          <t>INFO_PARTIELLE</t>
        </is>
      </c>
      <c r="AK15" t="inlineStr">
        <is>
          <t>69.9</t>
        </is>
      </c>
      <c r="AL15" s="13" t="inlineStr">
        <is>
          <t>CHAUD</t>
        </is>
      </c>
      <c r="AM15" t="inlineStr"/>
      <c r="AN15" t="inlineStr"/>
      <c r="AO15" t="inlineStr"/>
      <c r="AP15" t="inlineStr"/>
      <c r="AQ15" t="inlineStr">
        <is>
          <t>IA_CONTACT_A_COMPLETER</t>
        </is>
      </c>
      <c r="AR15" t="inlineStr">
        <is>
          <t>Completer les champs manquants depuis l'avis source, le site acheteur ou le DCE.</t>
        </is>
      </c>
      <c r="AS15" t="inlineStr">
        <is>
          <t>email</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26-83338. Objet: Nettoyage Des Vitres Dans Les Batiments Communaux. Acheteur: Mairie de Bonneuil sur Marne. Lien: https://www.boamp.fr/pages/avis/?q=idweb:26-83338.</t>
        </is>
      </c>
      <c r="AU15" t="inlineStr">
        <is>
          <t>Verifier url_avis et DCE si disponible</t>
        </is>
      </c>
      <c r="AV15" t="inlineStr">
        <is>
          <t>LIEN_SEUL</t>
        </is>
      </c>
      <c r="AW15" t="inlineStr"/>
      <c r="AX15" t="inlineStr"/>
      <c r="AY15" t="inlineStr"/>
      <c r="AZ15" t="inlineStr"/>
      <c r="BA15" t="inlineStr"/>
      <c r="BB15" t="inlineStr">
        <is>
          <t>+33.5 nettoyage + categorie claire (1 termes) | +16.1 budget annualise 94 380 EUR | +10 secteur cible Mairie | +8.8 delai 25 j | +1.5 dossier renseigne (3/4)</t>
        </is>
      </c>
      <c r="BC15" t="inlineStr">
        <is>
          <t>Mairie de Bonneuil sur Marne publie un AO potentiellement pertinent pour CHRUTH : Nettoyage Des Vitres Dans Les Batiments Communaux. Zone : Bonneuil-sur-Marne. Budget detecte environ 94 380 EUR. Verifier le lien source avant contact.</t>
        </is>
      </c>
      <c r="BD15" t="inlineStr">
        <is>
          <t>Bonjour,
Je me permets de vous contacter au sujet de votre appel d'offres : Nettoyage Des Vitres Dans Les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Bonneuil sur Marne ?
Cordialement,</t>
        </is>
      </c>
      <c r="BE15" t="inlineStr">
        <is>
          <t>Bonjour, je vous appelle concernant un appel d'offres publié par Mairie de Bonneuil sur Marne.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2026-W35</t>
        </is>
      </c>
    </row>
    <row r="16">
      <c r="A16" t="inlineStr">
        <is>
          <t>BOAMP</t>
        </is>
      </c>
      <c r="B16" t="inlineStr">
        <is>
          <t>26-84191</t>
        </is>
      </c>
      <c r="C16" t="inlineStr">
        <is>
          <t>Nettoyage et entretien des locaux des bâtiments communaux</t>
        </is>
      </c>
      <c r="D16" t="inlineStr">
        <is>
          <t>Mairie d'Emerainville</t>
        </is>
      </c>
      <c r="E16" t="inlineStr">
        <is>
          <t>21770169700013</t>
        </is>
      </c>
      <c r="F16" t="inlineStr">
        <is>
          <t>217701697</t>
        </is>
      </c>
      <c r="G16" t="inlineStr"/>
      <c r="H16" t="inlineStr"/>
      <c r="I16" t="inlineStr">
        <is>
          <t>maire@mairie-emerainville.fr</t>
        </is>
      </c>
      <c r="J16" t="inlineStr">
        <is>
          <t>0169700013</t>
        </is>
      </c>
      <c r="K16" t="inlineStr"/>
      <c r="L16" t="inlineStr"/>
      <c r="M16" t="inlineStr"/>
      <c r="N16" t="inlineStr">
        <is>
          <t>77</t>
        </is>
      </c>
      <c r="O16" t="inlineStr"/>
      <c r="P16" t="inlineStr">
        <is>
          <t>Ile-de-France</t>
        </is>
      </c>
      <c r="Q16" s="15" t="n">
        <v>46264</v>
      </c>
      <c r="R16" s="15" t="n">
        <v>46293</v>
      </c>
      <c r="S16" t="inlineStr"/>
      <c r="T16" t="inlineStr">
        <is>
          <t>A_VERIFIER_BUDGET</t>
        </is>
      </c>
      <c r="U16" t="inlineStr"/>
      <c r="V16" t="inlineStr">
        <is>
          <t>non</t>
        </is>
      </c>
      <c r="W16" t="inlineStr">
        <is>
          <t>Bureaux</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https://www.boamp.fr/pages/avis/?q=idweb:26-84191</t>
        </is>
      </c>
      <c r="AE16" t="inlineStr">
        <is>
          <t>https://www.mairie-emerainville.fr/</t>
        </is>
      </c>
      <c r="AF16" t="inlineStr"/>
      <c r="AG16" t="inlineStr">
        <is>
          <t>nettoyage, proprete, entretien des locaux, hygiene des locaux</t>
        </is>
      </c>
      <c r="AH16" t="inlineStr">
        <is>
          <t>3</t>
        </is>
      </c>
      <c r="AI16" t="inlineStr">
        <is>
          <t>92</t>
        </is>
      </c>
      <c r="AJ16" t="inlineStr">
        <is>
          <t>INFO_PARTIELLE</t>
        </is>
      </c>
      <c r="AK16" t="inlineStr">
        <is>
          <t>66.0</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16" t="inlineStr">
        <is>
          <t>Verifier url_avis et DCE si disponible</t>
        </is>
      </c>
      <c r="AV16" t="inlineStr">
        <is>
          <t>LIEN_SEUL</t>
        </is>
      </c>
      <c r="AW16" t="inlineStr"/>
      <c r="AX16" t="inlineStr"/>
      <c r="AY16" t="inlineStr"/>
      <c r="AZ16" t="inlineStr"/>
      <c r="BA16" t="inlineStr"/>
      <c r="BB16" t="inlineStr">
        <is>
          <t>+35.0 nettoyage + categorie claire (4 termes) | +10 budget non affiche (a verifier) | +10 secteur cible Mairie | +9.5 delai 28 j | +1.5 dossier renseigne (3/4)</t>
        </is>
      </c>
      <c r="BC16" t="inlineStr">
        <is>
          <t>Mairie d'Emerainville publie un AO potentiellement pertinent pour CHRUTH : Nettoyage et entretien des locaux des bâtiments communaux. Zone : 77. Budget a verifier. Verifier le lien source avant contact.</t>
        </is>
      </c>
      <c r="BD16"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16"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2026-W35</t>
        </is>
      </c>
    </row>
    <row r="17">
      <c r="A17" t="inlineStr">
        <is>
          <t>BOAMP</t>
        </is>
      </c>
      <c r="B17" t="inlineStr">
        <is>
          <t>26-78821</t>
        </is>
      </c>
      <c r="C17" t="inlineStr">
        <is>
          <t>Prestations de nettoyage des locaux et des vitreries du Complexe Sportif et Culturel Camille Muffat.</t>
        </is>
      </c>
      <c r="D17" t="inlineStr">
        <is>
          <t>Seine Spport Culture</t>
        </is>
      </c>
      <c r="E17" t="inlineStr">
        <is>
          <t>99057630800011</t>
        </is>
      </c>
      <c r="F17" t="inlineStr">
        <is>
          <t>990576308</t>
        </is>
      </c>
      <c r="G17" t="inlineStr"/>
      <c r="H17" t="inlineStr"/>
      <c r="I17" t="inlineStr">
        <is>
          <t>fabien.lague@clichyhall.com</t>
        </is>
      </c>
      <c r="J17" t="inlineStr">
        <is>
          <t>0576308000</t>
        </is>
      </c>
      <c r="K17" t="inlineStr"/>
      <c r="L17" t="inlineStr"/>
      <c r="M17" t="inlineStr"/>
      <c r="N17" t="inlineStr">
        <is>
          <t>92</t>
        </is>
      </c>
      <c r="O17" t="inlineStr"/>
      <c r="P17" t="inlineStr">
        <is>
          <t>Ile-de-France</t>
        </is>
      </c>
      <c r="Q17" s="15" t="n">
        <v>46242</v>
      </c>
      <c r="R17" s="15" t="n">
        <v>46295</v>
      </c>
      <c r="S17" t="inlineStr"/>
      <c r="T17" t="inlineStr">
        <is>
          <t>A_VERIFIER_BUDGET</t>
        </is>
      </c>
      <c r="U17" t="inlineStr"/>
      <c r="V17" t="inlineStr">
        <is>
          <t>non</t>
        </is>
      </c>
      <c r="W17" t="inlineStr">
        <is>
          <t>Vitres</t>
        </is>
      </c>
      <c r="X17" t="inlineStr">
        <is>
          <t>Gymnase</t>
        </is>
      </c>
      <c r="Y17" t="inlineStr">
        <is>
          <t>SERVICES</t>
        </is>
      </c>
      <c r="Z17" t="inlineStr">
        <is>
          <t>Procédure Ouverte</t>
        </is>
      </c>
      <c r="AA17" t="inlineStr">
        <is>
          <t>Avis de marché</t>
        </is>
      </c>
      <c r="AB17" t="inlineStr">
        <is>
          <t>Nettoyage de locaux</t>
        </is>
      </c>
      <c r="AC17" t="inlineStr"/>
      <c r="AD17" s="11" t="inlineStr">
        <is>
          <t>https://www.boamp.fr/pages/avis/?q=idweb:26-78821</t>
        </is>
      </c>
      <c r="AE17" t="inlineStr">
        <is>
          <t>https://marches.maximilien.fr/entreprise/consultation/945004?orgAcronyme=a7k</t>
        </is>
      </c>
      <c r="AF17" t="inlineStr">
        <is>
          <t>https://marches.maximilien.fr/entreprise/consultation/945004?orgAcronyme=a7k</t>
        </is>
      </c>
      <c r="AG17" t="inlineStr">
        <is>
          <t>nettoyage, menage, desinfection</t>
        </is>
      </c>
      <c r="AH17" t="inlineStr">
        <is>
          <t>3</t>
        </is>
      </c>
      <c r="AI17" t="inlineStr">
        <is>
          <t>80</t>
        </is>
      </c>
      <c r="AJ17" t="inlineStr">
        <is>
          <t>INFO_PARTIELLE</t>
        </is>
      </c>
      <c r="AK17" t="inlineStr">
        <is>
          <t>65.5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17" t="inlineStr">
        <is>
          <t>Verifier url_avis et DCE si disponible</t>
        </is>
      </c>
      <c r="AV17" t="inlineStr">
        <is>
          <t>LIEN_SEUL</t>
        </is>
      </c>
      <c r="AW17" t="inlineStr"/>
      <c r="AX17" t="inlineStr"/>
      <c r="AY17" t="inlineStr"/>
      <c r="AZ17" t="inlineStr"/>
      <c r="BA17" t="inlineStr"/>
      <c r="BB17" t="inlineStr">
        <is>
          <t>+34.0 nettoyage + categorie claire (2 termes) | +10 budget non affiche (a verifier) | +10 secteur cible Gymnase | +10.0 delai 30 j | +1.5 dossier renseigne (3/4)</t>
        </is>
      </c>
      <c r="BC17" t="inlineStr">
        <is>
          <t>Seine Spport Culture publie un AO potentiellement pertinent pour CHRUTH : Prestations de nettoyage des locaux et des vitreries du Complexe Sportif et Culturel Camille Muffat.. Zone : 92. Budget a verifier. Verifier le lien source avant contact.</t>
        </is>
      </c>
      <c r="BD17"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17"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2026-W32</t>
        </is>
      </c>
    </row>
    <row r="18">
      <c r="A18" t="inlineStr">
        <is>
          <t>BOAMP</t>
        </is>
      </c>
      <c r="B18" t="inlineStr">
        <is>
          <t>26-80807</t>
        </is>
      </c>
      <c r="C18" t="inlineStr">
        <is>
          <t>PRESTATION DE NETTOYAGE, D’ENTRETIEN COURANT ET DE BLANCHISSERIE : STRUCTURES PETITE ENFANCE - MAISON DE L’ENFANCE « NICOLE CHAPEL », CRECHE COLLECTIVE « LES DAUPHINS » ET HALTE-GARDERIE « LES POUS...</t>
        </is>
      </c>
      <c r="D18" t="inlineStr">
        <is>
          <t>VILLE DE MELUN, Pôle ressources, Services à la population et Transition Ecologique</t>
        </is>
      </c>
      <c r="E18" t="inlineStr">
        <is>
          <t>21770288500013</t>
        </is>
      </c>
      <c r="F18" t="inlineStr">
        <is>
          <t>217702885</t>
        </is>
      </c>
      <c r="G18" t="inlineStr"/>
      <c r="H18" t="inlineStr"/>
      <c r="I18" t="inlineStr">
        <is>
          <t>Commande.publique@ville-melun.fr</t>
        </is>
      </c>
      <c r="J18" t="inlineStr">
        <is>
          <t>0288500013</t>
        </is>
      </c>
      <c r="K18" t="inlineStr"/>
      <c r="L18" t="inlineStr"/>
      <c r="M18" t="inlineStr"/>
      <c r="N18" t="inlineStr">
        <is>
          <t>77,91,93,75</t>
        </is>
      </c>
      <c r="O18" t="inlineStr"/>
      <c r="P18" t="inlineStr">
        <is>
          <t>Ile-de-France</t>
        </is>
      </c>
      <c r="Q18" s="15" t="n">
        <v>46250</v>
      </c>
      <c r="R18" s="15" t="n">
        <v>46294</v>
      </c>
      <c r="S18" t="inlineStr"/>
      <c r="T18" t="inlineStr">
        <is>
          <t>A_VERIFIER_BUDGET</t>
        </is>
      </c>
      <c r="U18" t="inlineStr"/>
      <c r="V18" t="inlineStr">
        <is>
          <t>non</t>
        </is>
      </c>
      <c r="W18" t="inlineStr">
        <is>
          <t>Batiments</t>
        </is>
      </c>
      <c r="X18" t="inlineStr">
        <is>
          <t>Ecole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https://www.boamp.fr/pages/avis/?q=idweb:26-80807</t>
        </is>
      </c>
      <c r="AE18" t="inlineStr">
        <is>
          <t>https://www.ville-melun.fr/la-ville/marches-publics</t>
        </is>
      </c>
      <c r="AF18" t="inlineStr"/>
      <c r="AG18" t="inlineStr">
        <is>
          <t>nettoyage, proprete</t>
        </is>
      </c>
      <c r="AH18" t="inlineStr">
        <is>
          <t>3</t>
        </is>
      </c>
      <c r="AI18" t="inlineStr">
        <is>
          <t>76</t>
        </is>
      </c>
      <c r="AJ18" t="inlineStr">
        <is>
          <t>INFO_PARTIELLE</t>
        </is>
      </c>
      <c r="AK18" t="inlineStr">
        <is>
          <t>65.2</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18" t="inlineStr">
        <is>
          <t>Verifier url_avis et DCE si disponible</t>
        </is>
      </c>
      <c r="AV18" t="inlineStr">
        <is>
          <t>LIEN_SEUL</t>
        </is>
      </c>
      <c r="AW18" t="inlineStr"/>
      <c r="AX18" t="inlineStr"/>
      <c r="AY18" t="inlineStr"/>
      <c r="AZ18" t="inlineStr"/>
      <c r="BA18" t="inlineStr"/>
      <c r="BB18" t="inlineStr">
        <is>
          <t>+34.0 nettoyage + categorie claire (2 termes) | +10 budget non affiche (a verifier) | +10 secteur cible Ecole | +9.8 delai 29 j | +1.5 dossier renseigne (3/4)</t>
        </is>
      </c>
      <c r="BC18"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18"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18"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2026-W33</t>
        </is>
      </c>
    </row>
    <row r="19">
      <c r="A19" t="inlineStr">
        <is>
          <t>BOAMP</t>
        </is>
      </c>
      <c r="B19" t="inlineStr">
        <is>
          <t>26-82481</t>
        </is>
      </c>
      <c r="C19" t="inlineStr">
        <is>
          <t>NETTOYAGE DES LOCAUX DANS LES ETABLISSMENTS DE LA PETITE ENFANCE</t>
        </is>
      </c>
      <c r="D19" t="inlineStr">
        <is>
          <t>Ville de Levallois</t>
        </is>
      </c>
      <c r="E19" t="inlineStr"/>
      <c r="F19" t="inlineStr"/>
      <c r="G19" t="inlineStr"/>
      <c r="H19" t="inlineStr"/>
      <c r="I19" t="inlineStr">
        <is>
          <t>publications-joue@aws-france.com</t>
        </is>
      </c>
      <c r="J19" t="inlineStr">
        <is>
          <t>+33480041260</t>
        </is>
      </c>
      <c r="K19" t="inlineStr"/>
      <c r="L19" t="inlineStr"/>
      <c r="M19" t="inlineStr"/>
      <c r="N19" t="inlineStr">
        <is>
          <t>92</t>
        </is>
      </c>
      <c r="O19" t="inlineStr"/>
      <c r="P19" t="inlineStr">
        <is>
          <t>Ile-de-France</t>
        </is>
      </c>
      <c r="Q19" s="15" t="n">
        <v>46257</v>
      </c>
      <c r="R19" s="15" t="n">
        <v>46297</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c r="AD19" s="11" t="inlineStr">
        <is>
          <t>https://www.boamp.fr/pages/avis/?q=idweb:26-82481</t>
        </is>
      </c>
      <c r="AE19" t="inlineStr">
        <is>
          <t>https://www.marches-publics.info/mpiaws/index.cfm?fuseaction=dematEnt.login&amp;amp;type=DCE&amp;amp;IDM=1863702</t>
        </is>
      </c>
      <c r="AF19" t="inlineStr">
        <is>
          <t>https://www.marches-publics.info/mpiaws/index.cfm?fuseaction=dematEnt.login&amp;amp;type=DCE&amp;amp;IDM=1863702</t>
        </is>
      </c>
      <c r="AG19" t="inlineStr">
        <is>
          <t>nettoyage</t>
        </is>
      </c>
      <c r="AH19" t="inlineStr">
        <is>
          <t>2</t>
        </is>
      </c>
      <c r="AI19" t="inlineStr">
        <is>
          <t>58</t>
        </is>
      </c>
      <c r="AJ19" t="inlineStr">
        <is>
          <t>INFO_PARTIELLE</t>
        </is>
      </c>
      <c r="AK19" t="inlineStr">
        <is>
          <t>65.0</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19" t="inlineStr">
        <is>
          <t>Verifier url_avis et DCE si disponible</t>
        </is>
      </c>
      <c r="AV19" t="inlineStr">
        <is>
          <t>LIEN_SEUL</t>
        </is>
      </c>
      <c r="AW19" t="inlineStr"/>
      <c r="AX19" t="inlineStr"/>
      <c r="AY19" t="inlineStr"/>
      <c r="AZ19" t="inlineStr"/>
      <c r="BA19" t="inlineStr"/>
      <c r="BB19" t="inlineStr">
        <is>
          <t>+33.5 nettoyage + categorie claire (1 termes) | +10 budget non affiche (a verifier) | +10 secteur cible Mairie | +10.0 delai 32 j | +1.5 dossier renseigne (3/4)</t>
        </is>
      </c>
      <c r="BC19" t="inlineStr">
        <is>
          <t>Ville de Levallois publie un AO potentiellement pertinent pour CHRUTH : NETTOYAGE DES LOCAUX DANS LES ETABLISSMENTS DE LA PETITE ENFANCE. Zone : 92. Budget a verifier. Verifier le lien source avant contact.</t>
        </is>
      </c>
      <c r="BD19"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19"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2026-W34</t>
        </is>
      </c>
    </row>
    <row r="20">
      <c r="A20" t="inlineStr">
        <is>
          <t>BOAMP</t>
        </is>
      </c>
      <c r="B20" t="inlineStr">
        <is>
          <t>26-72708</t>
        </is>
      </c>
      <c r="C20" t="inlineStr">
        <is>
          <t>Entretien ménager des locaux des sites mégalithiques de Carnac et Locmariaquer</t>
        </is>
      </c>
      <c r="D20" t="inlineStr">
        <is>
          <t>Centre Monuments Nationaux</t>
        </is>
      </c>
      <c r="E20" t="inlineStr">
        <is>
          <t>18004601300017</t>
        </is>
      </c>
      <c r="F20" t="inlineStr">
        <is>
          <t>180046013</t>
        </is>
      </c>
      <c r="G20" t="inlineStr"/>
      <c r="H20" t="inlineStr"/>
      <c r="I20" t="inlineStr">
        <is>
          <t>marches-publics@monuments-nationaux.fr</t>
        </is>
      </c>
      <c r="J20" t="inlineStr">
        <is>
          <t>0460130001</t>
        </is>
      </c>
      <c r="K20" t="inlineStr"/>
      <c r="L20" t="inlineStr"/>
      <c r="M20" t="inlineStr"/>
      <c r="N20" t="inlineStr">
        <is>
          <t>75,56</t>
        </is>
      </c>
      <c r="O20" t="inlineStr"/>
      <c r="P20" t="inlineStr">
        <is>
          <t>Ile-de-France</t>
        </is>
      </c>
      <c r="Q20" s="15" t="n">
        <v>46226</v>
      </c>
      <c r="R20" s="15" t="n">
        <v>46276</v>
      </c>
      <c r="S20" s="14" t="n">
        <v>60000</v>
      </c>
      <c r="T20" t="inlineStr">
        <is>
          <t>BUDGET_SOUS_SEUIL</t>
        </is>
      </c>
      <c r="U20" t="inlineStr">
        <is>
          <t>60000.0</t>
        </is>
      </c>
      <c r="V20" t="inlineStr">
        <is>
          <t>non</t>
        </is>
      </c>
      <c r="W20" t="inlineStr">
        <is>
          <t>Batiments</t>
        </is>
      </c>
      <c r="X20" t="inlineStr">
        <is>
          <t>Autre</t>
        </is>
      </c>
      <c r="Y20" t="inlineStr">
        <is>
          <t>SERVICES</t>
        </is>
      </c>
      <c r="Z20" t="inlineStr">
        <is>
          <t>Procédure Ouverte</t>
        </is>
      </c>
      <c r="AA20" t="inlineStr">
        <is>
          <t>Avis de marché</t>
        </is>
      </c>
      <c r="AB20" t="inlineStr">
        <is>
          <t>Nettoyage de locaux, Monuments historiques</t>
        </is>
      </c>
      <c r="AC20" t="inlineStr"/>
      <c r="AD20" s="11" t="inlineStr">
        <is>
          <t>https://www.boamp.fr/pages/avis/?q=idweb:26-72708</t>
        </is>
      </c>
      <c r="AE20" t="inlineStr">
        <is>
          <t>https://www.marches-publics.gouv.fr/entreprise</t>
        </is>
      </c>
      <c r="AF20" t="inlineStr">
        <is>
          <t>https://www.marches-publics.gouv.fr/entreprise</t>
        </is>
      </c>
      <c r="AG20" t="inlineStr">
        <is>
          <t>nettoyage, entretien menager</t>
        </is>
      </c>
      <c r="AH20" t="inlineStr">
        <is>
          <t>3</t>
        </is>
      </c>
      <c r="AI20" t="inlineStr">
        <is>
          <t>72</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45j</t>
        </is>
      </c>
      <c r="BC20" t="inlineStr">
        <is>
          <t>Centre Monuments Nationaux publie un AO potentiellement pertinent pour CHRUTH : Entretien ménager des locaux des sites mégalithiques de Carnac et Locmariaquer. Zone : 75,56. Budget detecte environ 60 000 EUR. Verifier le lien source avant contact.</t>
        </is>
      </c>
      <c r="BD20"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20"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26-71675</t>
        </is>
      </c>
      <c r="C21" t="inlineStr">
        <is>
          <t>Décontamination, dépoussiérage et reconditionnement des réserves documentaires n°2 et 3 du Château de Sceaux</t>
        </is>
      </c>
      <c r="D21" t="inlineStr">
        <is>
          <t>Département des Hauts-de-Seine</t>
        </is>
      </c>
      <c r="E21" t="inlineStr">
        <is>
          <t>22920050600611</t>
        </is>
      </c>
      <c r="F21" t="inlineStr">
        <is>
          <t>229200506</t>
        </is>
      </c>
      <c r="G21" t="inlineStr">
        <is>
          <t>cellulecontact.achats@hauts-de-seine.fr</t>
        </is>
      </c>
      <c r="H21" t="inlineStr"/>
      <c r="I21" t="inlineStr">
        <is>
          <t>cellulecontact.achats@hauts-de-seine.fr</t>
        </is>
      </c>
      <c r="J21" t="inlineStr">
        <is>
          <t>+33 806000092</t>
        </is>
      </c>
      <c r="K21" t="inlineStr">
        <is>
          <t>Château de Sceaux 92330 - SCEAUX</t>
        </is>
      </c>
      <c r="L21" t="inlineStr">
        <is>
          <t>92000</t>
        </is>
      </c>
      <c r="M21" t="inlineStr">
        <is>
          <t>NANTERRE</t>
        </is>
      </c>
      <c r="N21" t="inlineStr">
        <is>
          <t>92</t>
        </is>
      </c>
      <c r="O21" t="inlineStr"/>
      <c r="P21" t="inlineStr">
        <is>
          <t>Ile-de-France</t>
        </is>
      </c>
      <c r="Q21" s="15" t="n">
        <v>46220</v>
      </c>
      <c r="R21" s="15" t="n">
        <v>46276</v>
      </c>
      <c r="S21" s="14" t="n">
        <v>92000</v>
      </c>
      <c r="T21" t="inlineStr">
        <is>
          <t>BUDGET_SOUS_SEUIL</t>
        </is>
      </c>
      <c r="U21" t="inlineStr">
        <is>
          <t>92000.0</t>
        </is>
      </c>
      <c r="V21" t="inlineStr">
        <is>
          <t>non</t>
        </is>
      </c>
      <c r="W21" t="inlineStr">
        <is>
          <t>Batiments</t>
        </is>
      </c>
      <c r="X21" t="inlineStr">
        <is>
          <t>Autre</t>
        </is>
      </c>
      <c r="Y21" t="inlineStr">
        <is>
          <t>SERVICES</t>
        </is>
      </c>
      <c r="Z21" t="inlineStr">
        <is>
          <t>Procédure Ouverte</t>
        </is>
      </c>
      <c r="AA21" t="inlineStr">
        <is>
          <t>Avis de marché</t>
        </is>
      </c>
      <c r="AB21" t="inlineStr">
        <is>
          <t>Prestations de services</t>
        </is>
      </c>
      <c r="AC21" t="inlineStr">
        <is>
          <t>['environnementaux']</t>
        </is>
      </c>
      <c r="AD21" s="11" t="inlineStr">
        <is>
          <t>https://www.boamp.fr/pages/avis/?q=idweb:26-71675</t>
        </is>
      </c>
      <c r="AE21" t="inlineStr">
        <is>
          <t>https://www.marches-publics.info/mpiaws/index.cfm?fuseaction=dematent.login&amp;type=Dce&amp;Idm=1851815</t>
        </is>
      </c>
      <c r="AF21" t="inlineStr">
        <is>
          <t>https://www.marches-publics.info/mpiaws/index.cfm?fuseaction=dematent.login&amp;type=Dce&amp;Idm=1851815</t>
        </is>
      </c>
      <c r="AG21" t="inlineStr">
        <is>
          <t>nettoyage</t>
        </is>
      </c>
      <c r="AH21" t="inlineStr">
        <is>
          <t>6</t>
        </is>
      </c>
      <c r="AI21" t="inlineStr">
        <is>
          <t>98</t>
        </is>
      </c>
      <c r="AJ21" t="inlineStr">
        <is>
          <t>INFO_PARTIELLE</t>
        </is>
      </c>
      <c r="AK21" t="inlineStr">
        <is>
          <t>65</t>
        </is>
      </c>
      <c r="AL21" s="13" t="inlineStr">
        <is>
          <t>CHAUD</t>
        </is>
      </c>
      <c r="AM21" t="inlineStr"/>
      <c r="AN21" t="inlineStr"/>
      <c r="AO21" t="inlineStr"/>
      <c r="AP21" t="inlineStr"/>
      <c r="AQ21" t="inlineStr">
        <is>
          <t>IA_CONTROLE_SOURCE</t>
        </is>
      </c>
      <c r="AR21" t="inlineStr">
        <is>
          <t>Verifier rapidement la source avant contact.</t>
        </is>
      </c>
      <c r="AS21" t="inlineStr">
        <is>
          <t>Aucun champ critique manquant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21" t="inlineStr">
        <is>
          <t>Verifier url_avis et DCE si disponible</t>
        </is>
      </c>
      <c r="AV21" t="inlineStr"/>
      <c r="AW21" t="inlineStr"/>
      <c r="AX21" t="inlineStr"/>
      <c r="AY21" t="inlineStr"/>
      <c r="AZ21" t="inlineStr"/>
      <c r="BA21" t="inlineStr"/>
      <c r="BB21" t="inlineStr">
        <is>
          <t>+35 nettoyage + categorie claire | +20 budget annualise &lt;= 100 000 EUR | +10 delai confortable 45j</t>
        </is>
      </c>
      <c r="BC21"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21"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21"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26-71198</t>
        </is>
      </c>
      <c r="C22" t="inlineStr">
        <is>
          <t>CONCESSION DE SERVICE PUBLIC 
PORTANT SUR LA GESTION ET L'EXPLOITATION DES MARCHES FORAINS DE LA VILLE DE MONTROUGE</t>
        </is>
      </c>
      <c r="D22" t="inlineStr">
        <is>
          <t>Ville de Montrouge</t>
        </is>
      </c>
      <c r="E22" t="inlineStr"/>
      <c r="F22" t="inlineStr"/>
      <c r="G22" t="inlineStr">
        <is>
          <t>Le Bassard</t>
        </is>
      </c>
      <c r="H22" t="inlineStr"/>
      <c r="I22" t="inlineStr">
        <is>
          <t>marches@ville-montrouge.fr</t>
        </is>
      </c>
      <c r="J22" t="inlineStr">
        <is>
          <t>0146127303</t>
        </is>
      </c>
      <c r="K22" t="inlineStr"/>
      <c r="L22" t="inlineStr">
        <is>
          <t>92121</t>
        </is>
      </c>
      <c r="M22" t="inlineStr">
        <is>
          <t>Montrouge cedex</t>
        </is>
      </c>
      <c r="N22" t="inlineStr">
        <is>
          <t>92,75</t>
        </is>
      </c>
      <c r="O22" t="inlineStr"/>
      <c r="P22" t="inlineStr">
        <is>
          <t>Ile-de-France</t>
        </is>
      </c>
      <c r="Q22" s="15" t="n">
        <v>46219</v>
      </c>
      <c r="R22" s="15" t="n">
        <v>46295</v>
      </c>
      <c r="S22" t="inlineStr"/>
      <c r="T22" t="inlineStr">
        <is>
          <t>A_VERIFIER_BUDGET</t>
        </is>
      </c>
      <c r="U22" t="inlineStr"/>
      <c r="V22" t="inlineStr">
        <is>
          <t>non</t>
        </is>
      </c>
      <c r="W22" t="inlineStr">
        <is>
          <t>Batiments</t>
        </is>
      </c>
      <c r="X22" t="inlineStr">
        <is>
          <t>Mairie</t>
        </is>
      </c>
      <c r="Y22" t="inlineStr">
        <is>
          <t>SERVICES</t>
        </is>
      </c>
      <c r="Z22" t="inlineStr">
        <is>
          <t>Procédure NC</t>
        </is>
      </c>
      <c r="AA22" t="inlineStr">
        <is>
          <t>Avis de marché</t>
        </is>
      </c>
      <c r="AB22" t="inlineStr">
        <is>
          <t>Denrées alimentaires</t>
        </is>
      </c>
      <c r="AC22" t="inlineStr">
        <is>
          <t>['sociaux', 'environnementaux']</t>
        </is>
      </c>
      <c r="AD22" s="11" t="inlineStr">
        <is>
          <t>https://www.boamp.fr/pages/avis/?q=idweb:26-71198</t>
        </is>
      </c>
      <c r="AE22" t="inlineStr">
        <is>
          <t>https://www.achatpublic.com/sdm/ent2/gen/index.jsp</t>
        </is>
      </c>
      <c r="AF22" t="inlineStr">
        <is>
          <t>https://www.achatpublic.com/sdm/ent2/gen/index.jsp</t>
        </is>
      </c>
      <c r="AG22" t="inlineStr">
        <is>
          <t>nettoyage, proprete</t>
        </is>
      </c>
      <c r="AH22" t="inlineStr">
        <is>
          <t>4</t>
        </is>
      </c>
      <c r="AI22" t="inlineStr">
        <is>
          <t>86</t>
        </is>
      </c>
      <c r="AJ22" t="inlineStr">
        <is>
          <t>INFO_PARTIELLE</t>
        </is>
      </c>
      <c r="AK22" t="inlineStr">
        <is>
          <t>65</t>
        </is>
      </c>
      <c r="AL22" s="13" t="inlineStr">
        <is>
          <t>CHAUD</t>
        </is>
      </c>
      <c r="AM22" t="inlineStr"/>
      <c r="AN22" t="inlineStr"/>
      <c r="AO22" t="inlineStr"/>
      <c r="AP22" t="inlineStr"/>
      <c r="AQ22" t="inlineStr">
        <is>
          <t>IA_BUDGET_A_VERIFIER</t>
        </is>
      </c>
      <c r="AR22" t="inlineStr">
        <is>
          <t>Verifier le budget dans l'avis source ou le DCE avant decision commerciale.</t>
        </is>
      </c>
      <c r="AS22" t="inlineStr">
        <is>
          <t>SIRET, adresse,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secteur cible Mairie | +10 delai confortable 64j</t>
        </is>
      </c>
      <c r="BC22"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22"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22"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row r="23">
      <c r="A23" t="inlineStr">
        <is>
          <t>BOAMP</t>
        </is>
      </c>
      <c r="B23" t="inlineStr">
        <is>
          <t>26-83560</t>
        </is>
      </c>
      <c r="C23" t="inlineStr">
        <is>
          <t>Prestations de nettoyage des bâtiments communaux de la ville de Sceaux 2027-2030</t>
        </is>
      </c>
      <c r="D23" t="inlineStr">
        <is>
          <t>ville de sceaux</t>
        </is>
      </c>
      <c r="E23" t="inlineStr">
        <is>
          <t>21920071400018</t>
        </is>
      </c>
      <c r="F23" t="inlineStr">
        <is>
          <t>219200714</t>
        </is>
      </c>
      <c r="G23" t="inlineStr"/>
      <c r="H23" t="inlineStr"/>
      <c r="I23" t="inlineStr">
        <is>
          <t>achats@sceaux.fr</t>
        </is>
      </c>
      <c r="J23" t="inlineStr">
        <is>
          <t>+33 141133300</t>
        </is>
      </c>
      <c r="K23" t="inlineStr"/>
      <c r="L23" t="inlineStr"/>
      <c r="M23" t="inlineStr"/>
      <c r="N23" t="inlineStr">
        <is>
          <t>92</t>
        </is>
      </c>
      <c r="O23" t="inlineStr"/>
      <c r="P23" t="inlineStr">
        <is>
          <t>Ile-de-France</t>
        </is>
      </c>
      <c r="Q23" s="15" t="n">
        <v>46262</v>
      </c>
      <c r="R23" s="15" t="n">
        <v>46294</v>
      </c>
      <c r="S23" t="inlineStr"/>
      <c r="T23" t="inlineStr">
        <is>
          <t>A_VERIFIER_BUDGET</t>
        </is>
      </c>
      <c r="U23" t="inlineStr"/>
      <c r="V23" t="inlineStr">
        <is>
          <t>non</t>
        </is>
      </c>
      <c r="W23" t="inlineStr">
        <is>
          <t>Batiments</t>
        </is>
      </c>
      <c r="X23" t="inlineStr">
        <is>
          <t>Mairie</t>
        </is>
      </c>
      <c r="Y23" t="inlineStr">
        <is>
          <t>SERVICES</t>
        </is>
      </c>
      <c r="Z23" t="inlineStr">
        <is>
          <t>Procédure Ouverte</t>
        </is>
      </c>
      <c r="AA23" t="inlineStr">
        <is>
          <t>Avis de marché</t>
        </is>
      </c>
      <c r="AB23" t="inlineStr">
        <is>
          <t>Nettoyage de locaux</t>
        </is>
      </c>
      <c r="AC23" t="inlineStr"/>
      <c r="AD23" s="11" t="inlineStr">
        <is>
          <t>https://www.boamp.fr/pages/avis/?q=idweb:26-83560</t>
        </is>
      </c>
      <c r="AE23" t="inlineStr">
        <is>
          <t>https://marches.maximilien.fr/entreprise/consultation/945889?orgAcronyme=d7t</t>
        </is>
      </c>
      <c r="AF23" t="inlineStr">
        <is>
          <t>https://marches.maximilien.fr/entreprise/consultation/945889?orgAcronyme=d7t</t>
        </is>
      </c>
      <c r="AG23" t="inlineStr">
        <is>
          <t>nettoyage</t>
        </is>
      </c>
      <c r="AH23" t="inlineStr">
        <is>
          <t>3</t>
        </is>
      </c>
      <c r="AI23" t="inlineStr">
        <is>
          <t>68</t>
        </is>
      </c>
      <c r="AJ23" t="inlineStr">
        <is>
          <t>INFO_PARTIELLE</t>
        </is>
      </c>
      <c r="AK23" t="inlineStr">
        <is>
          <t>64.8</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26-83560. Objet: Prestations de nettoyage des bâtiments communaux de la ville de Sceaux 2027-2030. Acheteur: ville de sceaux. Lien: https://www.boamp.fr/pages/avis/?q=idweb:26-83560.</t>
        </is>
      </c>
      <c r="AU23" t="inlineStr">
        <is>
          <t>Verifier url_avis et DCE si disponible</t>
        </is>
      </c>
      <c r="AV23" t="inlineStr">
        <is>
          <t>LIEN_SEUL</t>
        </is>
      </c>
      <c r="AW23" t="inlineStr"/>
      <c r="AX23" t="inlineStr"/>
      <c r="AY23" t="inlineStr"/>
      <c r="AZ23" t="inlineStr"/>
      <c r="BA23" t="inlineStr"/>
      <c r="BB23" t="inlineStr">
        <is>
          <t>+33.5 nettoyage + categorie claire (1 termes) | +10 budget non affiche (a verifier) | +10 secteur cible Mairie | +9.8 delai 29 j | +1.5 dossier renseigne (3/4)</t>
        </is>
      </c>
      <c r="BC23" t="inlineStr">
        <is>
          <t>ville de sceaux publie un AO potentiellement pertinent pour CHRUTH : Prestations de nettoyage des bâtiments communaux de la ville de Sceaux 2027-2030. Zone : 92. Budget a verifier. Verifier le lien source avant contact.</t>
        </is>
      </c>
      <c r="BD23" t="inlineStr">
        <is>
          <t>Bonjour,
Je me permets de vous contacter au sujet de votre appel d'offres : Prestations de nettoyage des bâtiments communaux de la ville de Sceaux 2027-2030.
CHRUTH accompagne les structures publiques et privées sur les besoins de nettoyage, d'entretien des locaux et d'organisation de prestations de service.
Serait-il possible d'échanger rapidement afin de vérifier les modalités de réponse et les attentes de ville de sceaux ?
Cordialement,</t>
        </is>
      </c>
      <c r="BE23" t="inlineStr">
        <is>
          <t>Bonjour, je vous appelle concernant un appel d'offres publié par ville de sceaux.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2026-W35</t>
        </is>
      </c>
    </row>
    <row r="24">
      <c r="A24" t="inlineStr">
        <is>
          <t>BOAMP</t>
        </is>
      </c>
      <c r="B24" t="inlineStr">
        <is>
          <t>26-80351</t>
        </is>
      </c>
      <c r="C24" t="inlineStr">
        <is>
          <t>Prestations de nettoyage des vitres de l'ensemble des bâtiments communaux de la ville de Sarcelles</t>
        </is>
      </c>
      <c r="D24" t="inlineStr">
        <is>
          <t>Ville de Sarcelles</t>
        </is>
      </c>
      <c r="E24" t="inlineStr">
        <is>
          <t>21950585600019</t>
        </is>
      </c>
      <c r="F24" t="inlineStr">
        <is>
          <t>219505856</t>
        </is>
      </c>
      <c r="G24" t="inlineStr"/>
      <c r="H24" t="inlineStr"/>
      <c r="I24" t="inlineStr">
        <is>
          <t>commande.publique@sarcelles.fr</t>
        </is>
      </c>
      <c r="J24" t="inlineStr">
        <is>
          <t>0585600019</t>
        </is>
      </c>
      <c r="K24" t="inlineStr"/>
      <c r="L24" t="inlineStr"/>
      <c r="M24" t="inlineStr"/>
      <c r="N24" t="inlineStr">
        <is>
          <t>75,77,78,91,92,93,94,95</t>
        </is>
      </c>
      <c r="O24" t="inlineStr"/>
      <c r="P24" t="inlineStr">
        <is>
          <t>Ile-de-France</t>
        </is>
      </c>
      <c r="Q24" s="15" t="n">
        <v>46248</v>
      </c>
      <c r="R24" s="15" t="n">
        <v>46290</v>
      </c>
      <c r="S24" t="inlineStr"/>
      <c r="T24" t="inlineStr">
        <is>
          <t>A_VERIFIER_BUDGET</t>
        </is>
      </c>
      <c r="U24" t="inlineStr"/>
      <c r="V24" t="inlineStr">
        <is>
          <t>non</t>
        </is>
      </c>
      <c r="W24" t="inlineStr">
        <is>
          <t>Vitres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https://www.boamp.fr/pages/avis/?q=idweb:26-80351</t>
        </is>
      </c>
      <c r="AE24" t="inlineStr">
        <is>
          <t>https://sarcelles.e-marchespublics.com</t>
        </is>
      </c>
      <c r="AF24" t="inlineStr">
        <is>
          <t>https://sarcelles.e-marchespublics.com</t>
        </is>
      </c>
      <c r="AG24" t="inlineStr">
        <is>
          <t>nettoyage, proprete, proprete des locaux</t>
        </is>
      </c>
      <c r="AH24" t="inlineStr">
        <is>
          <t>3</t>
        </is>
      </c>
      <c r="AI24" t="inlineStr">
        <is>
          <t>80</t>
        </is>
      </c>
      <c r="AJ24" t="inlineStr">
        <is>
          <t>INFO_PARTIELLE</t>
        </is>
      </c>
      <c r="AK24" t="inlineStr">
        <is>
          <t>64.2</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26-80351. Objet: Prestations de nettoyage des vitres de l'ensemble des bâtiments communaux de la ville de Sarcelles. Acheteur: Ville de Sarcelles. Lien: https://www.boamp.fr/pages/avis/?q=idweb:26-80351.</t>
        </is>
      </c>
      <c r="AU24" t="inlineStr">
        <is>
          <t>Verifier url_avis et DCE si disponible</t>
        </is>
      </c>
      <c r="AV24" t="inlineStr">
        <is>
          <t>LIEN_SEUL</t>
        </is>
      </c>
      <c r="AW24" t="inlineStr"/>
      <c r="AX24" t="inlineStr"/>
      <c r="AY24" t="inlineStr"/>
      <c r="AZ24" t="inlineStr"/>
      <c r="BA24" t="inlineStr"/>
      <c r="BB24" t="inlineStr">
        <is>
          <t>+34.0 nettoyage + categorie claire (2 termes) | +10 budget non affiche (a verifier) | +10 secteur cible Mairie | +8.8 delai 25 j | +1.5 dossier renseigne (3/4)</t>
        </is>
      </c>
      <c r="BC24" t="inlineStr">
        <is>
          <t>Ville de Sarcelles publie un AO potentiellement pertinent pour CHRUTH : Prestations de nettoyage des vitres de l'ensemble des bâtiments communaux de la ville de Sarcelles. Zone : 75,77,78,91,92,93,94,95. Budget a verifier. Verifier le lien source avant contact.</t>
        </is>
      </c>
      <c r="BD24" t="inlineStr">
        <is>
          <t>Bonjour,
Je me permets de vous contacter au sujet de votre appel d'offres : Prestations de nettoyage des vitres de l'ensemble des bâtiments communaux de la ville de Sarcelles.
CHRUTH accompagne les structures publiques et privées sur les besoins de nettoyage, d'entretien des locaux et d'organisation de prestations de service.
Serait-il possible d'échanger rapidement afin de vérifier les modalités de réponse et les attentes de Ville de Sarcelles ?
Cordialement,</t>
        </is>
      </c>
      <c r="BE24" t="inlineStr">
        <is>
          <t>Bonjour, je vous appelle concernant un appel d'offres publié par Ville de Sarcelles.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2026-W33</t>
        </is>
      </c>
    </row>
    <row r="25">
      <c r="A25" t="inlineStr">
        <is>
          <t>BOAMP</t>
        </is>
      </c>
      <c r="B25" t="inlineStr">
        <is>
          <t>26-81760</t>
        </is>
      </c>
      <c r="C25" t="inlineStr">
        <is>
          <t>Marché de prestations de service relatif au nettoyage des bâtiments municipaux : locaux et vitrerie.</t>
        </is>
      </c>
      <c r="D25" t="inlineStr">
        <is>
          <t>Commune de Villepreux</t>
        </is>
      </c>
      <c r="E25" t="inlineStr">
        <is>
          <t>21780674400108</t>
        </is>
      </c>
      <c r="F25" t="inlineStr">
        <is>
          <t>217806744</t>
        </is>
      </c>
      <c r="G25" t="inlineStr"/>
      <c r="H25" t="inlineStr"/>
      <c r="I25" t="inlineStr">
        <is>
          <t>achats@villepreux.fr</t>
        </is>
      </c>
      <c r="J25" t="inlineStr">
        <is>
          <t>0674400108</t>
        </is>
      </c>
      <c r="K25" t="inlineStr"/>
      <c r="L25" t="inlineStr"/>
      <c r="M25" t="inlineStr"/>
      <c r="N25" t="inlineStr">
        <is>
          <t>78</t>
        </is>
      </c>
      <c r="O25" t="inlineStr"/>
      <c r="P25" t="inlineStr">
        <is>
          <t>Ile-de-France</t>
        </is>
      </c>
      <c r="Q25" s="15" t="n">
        <v>46255</v>
      </c>
      <c r="R25" s="15" t="n">
        <v>46283</v>
      </c>
      <c r="S25" t="inlineStr"/>
      <c r="T25" t="inlineStr">
        <is>
          <t>A_VERIFIER_BUDGET</t>
        </is>
      </c>
      <c r="U25" t="inlineStr"/>
      <c r="V25" t="inlineStr">
        <is>
          <t>non</t>
        </is>
      </c>
      <c r="W25" t="inlineStr">
        <is>
          <t>Vitres</t>
        </is>
      </c>
      <c r="X25" t="inlineStr">
        <is>
          <t>Mairie</t>
        </is>
      </c>
      <c r="Y25" t="inlineStr">
        <is>
          <t>SERVICES</t>
        </is>
      </c>
      <c r="Z25" t="inlineStr">
        <is>
          <t>Procédure Ouverte</t>
        </is>
      </c>
      <c r="AA25" t="inlineStr">
        <is>
          <t>Avis de marché</t>
        </is>
      </c>
      <c r="AB25" t="inlineStr">
        <is>
          <t>Nettoyage de locaux</t>
        </is>
      </c>
      <c r="AC25" t="inlineStr"/>
      <c r="AD25" s="11" t="inlineStr">
        <is>
          <t>https://www.boamp.fr/pages/avis/?q=idweb:26-81760</t>
        </is>
      </c>
      <c r="AE25" t="inlineStr">
        <is>
          <t>https://www.achatpublic.com/sdm/ent/gen/ent_detail.do?PCSLID=CSL_2026_B11a--YMRc</t>
        </is>
      </c>
      <c r="AF25" t="inlineStr">
        <is>
          <t>https://www.achatpublic.com/sdm/ent/gen/ent_detail.do?PCSLID=CSL_2026_B11a--YMRc</t>
        </is>
      </c>
      <c r="AG25" t="inlineStr">
        <is>
          <t>nettoyage</t>
        </is>
      </c>
      <c r="AH25" t="inlineStr">
        <is>
          <t>3</t>
        </is>
      </c>
      <c r="AI25" t="inlineStr">
        <is>
          <t>68</t>
        </is>
      </c>
      <c r="AJ25" t="inlineStr">
        <is>
          <t>INFO_PARTIELLE</t>
        </is>
      </c>
      <c r="AK25" t="inlineStr">
        <is>
          <t>62.0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26-81760. Objet: Marché de prestations de service relatif au nettoyage des bâtiments municipaux : locaux et vitrerie.. Acheteur: Commune de Villepreux. Lien: https://www.boamp.fr/pages/avis/?q=idweb:26-81760.</t>
        </is>
      </c>
      <c r="AU25" t="inlineStr">
        <is>
          <t>Verifier url_avis et DCE si disponible</t>
        </is>
      </c>
      <c r="AV25" t="inlineStr">
        <is>
          <t>LIEN_SEUL</t>
        </is>
      </c>
      <c r="AW25" t="inlineStr"/>
      <c r="AX25" t="inlineStr"/>
      <c r="AY25" t="inlineStr"/>
      <c r="AZ25" t="inlineStr"/>
      <c r="BA25" t="inlineStr"/>
      <c r="BB25" t="inlineStr">
        <is>
          <t>+33.5 nettoyage + categorie claire (1 termes) | +10 budget non affiche (a verifier) | +10 secteur cible Mairie | +7.0 delai 18 j | +1.5 dossier renseigne (3/4)</t>
        </is>
      </c>
      <c r="BC25" t="inlineStr">
        <is>
          <t>Commune de Villepreux publie un AO potentiellement pertinent pour CHRUTH : Marché de prestations de service relatif au nettoyage des bâtiments municipaux : locaux et vitrerie.. Zone : 78. Budget a verifier. Verifier le lien source avant contact.</t>
        </is>
      </c>
      <c r="BD25" t="inlineStr">
        <is>
          <t>Bonjour,
Je me permets de vous contacter au sujet de votre appel d'offres : Marché de prestations de service relatif au nettoyage des bâtiments municipaux : locaux et vitrerie..
CHRUTH accompagne les structures publiques et privées sur les besoins de nettoyage, d'entretien des locaux et d'organisation de prestations de service.
Serait-il possible d'échanger rapidement afin de vérifier les modalités de réponse et les attentes de Commune de Villepreux ?
Cordialement,</t>
        </is>
      </c>
      <c r="BE25" t="inlineStr">
        <is>
          <t>Bonjour, je vous appelle concernant un appel d'offres publié par Commune de Villepreux.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2026-W34</t>
        </is>
      </c>
    </row>
    <row r="26">
      <c r="A26" t="inlineStr">
        <is>
          <t>BOAMP</t>
        </is>
      </c>
      <c r="B26" t="inlineStr">
        <is>
          <t>26-83553</t>
        </is>
      </c>
      <c r="C26" t="inlineStr">
        <is>
          <t>Fourniture et prestations associées pour l'entretien de véhicules thermiques et électriques et l'équipement d'ateliers mécaniques</t>
        </is>
      </c>
      <c r="D26" t="inlineStr">
        <is>
          <t>Ville de Sevran</t>
        </is>
      </c>
      <c r="E26" t="inlineStr"/>
      <c r="F26" t="inlineStr"/>
      <c r="G26" t="inlineStr"/>
      <c r="H26" t="inlineStr"/>
      <c r="I26" t="inlineStr">
        <is>
          <t>publications-joue@aws-france.com</t>
        </is>
      </c>
      <c r="J26" t="inlineStr">
        <is>
          <t>+33480041260</t>
        </is>
      </c>
      <c r="K26" t="inlineStr"/>
      <c r="L26" t="inlineStr"/>
      <c r="M26" t="inlineStr"/>
      <c r="N26" t="inlineStr">
        <is>
          <t>93</t>
        </is>
      </c>
      <c r="O26" t="inlineStr"/>
      <c r="P26" t="inlineStr">
        <is>
          <t>Ile-de-France</t>
        </is>
      </c>
      <c r="Q26" s="15" t="n">
        <v>46262</v>
      </c>
      <c r="R26" s="15" t="n">
        <v>46295</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Mécanique, Véhicules</t>
        </is>
      </c>
      <c r="AC26" t="inlineStr"/>
      <c r="AD26" s="11" t="inlineStr">
        <is>
          <t>https://www.boamp.fr/pages/avis/?q=idweb:26-83553</t>
        </is>
      </c>
      <c r="AE26" t="inlineStr">
        <is>
          <t>https://www.marches-publics.info</t>
        </is>
      </c>
      <c r="AF26" t="inlineStr">
        <is>
          <t>https://www.marches-publics.info</t>
        </is>
      </c>
      <c r="AG26" t="inlineStr">
        <is>
          <t>nettoyage</t>
        </is>
      </c>
      <c r="AH26" t="inlineStr">
        <is>
          <t>2</t>
        </is>
      </c>
      <c r="AI26" t="inlineStr">
        <is>
          <t>58</t>
        </is>
      </c>
      <c r="AJ26" t="inlineStr">
        <is>
          <t>INFO_PARTIELLE</t>
        </is>
      </c>
      <c r="AK26" t="inlineStr">
        <is>
          <t>60.0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SIRET, 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26-83553. Objet: Fourniture et prestations associées pour l'entretien de véhicules thermiques et électriques et l'équipement d'ateliers mécaniques. Acheteur: Ville de Sevran. Lien: https://www.boamp.fr/pages/avis/?q=idweb:26-83553.</t>
        </is>
      </c>
      <c r="AU26" t="inlineStr">
        <is>
          <t>Verifier url_avis et DCE si disponible</t>
        </is>
      </c>
      <c r="AV26" t="inlineStr">
        <is>
          <t>LIEN_SEUL</t>
        </is>
      </c>
      <c r="AW26" t="inlineStr"/>
      <c r="AX26" t="inlineStr"/>
      <c r="AY26" t="inlineStr"/>
      <c r="AZ26" t="inlineStr"/>
      <c r="BA26" t="inlineStr"/>
      <c r="BB26" t="inlineStr">
        <is>
          <t>+28.5 mots-cles nettoyage forts (1 termes) | +10 budget non affiche (a verifier) | +10 secteur cible Mairie | +10.0 delai 30 j | +1.5 dossier renseigne (3/4)</t>
        </is>
      </c>
      <c r="BC26" t="inlineStr">
        <is>
          <t>Ville de Sevran publie un AO potentiellement pertinent pour CHRUTH : Fourniture et prestations associées pour l'entretien de véhicules thermiques et électriques et l'équipement d'ateliers mécaniques. Zone : 93. Budget a verifier. Verifier le lien source avant contact.</t>
        </is>
      </c>
      <c r="BD26" t="inlineStr">
        <is>
          <t>Bonjour,
Je me permets de vous contacter au sujet de votre appel d'offres : Fourniture et prestations associées pour l'entretien de véhicules thermiques et électriques et l'équipement d'ateliers mécaniques.
CHRUTH accompagne les structures publiques et privées sur les besoins de nettoyage, d'entretien des locaux et d'organisation de prestations de service.
Serait-il possible d'échanger rapidement afin de vérifier les modalités de réponse et les attentes de Ville de Sevran ?
Cordialement,</t>
        </is>
      </c>
      <c r="BE26" t="inlineStr">
        <is>
          <t>Bonjour, je vous appelle concernant un appel d'offres publié par Ville de Sevran.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2026-W35</t>
        </is>
      </c>
    </row>
    <row r="27">
      <c r="A27" t="inlineStr">
        <is>
          <t>BOAMP</t>
        </is>
      </c>
      <c r="B27" t="inlineStr">
        <is>
          <t>26-72948</t>
        </is>
      </c>
      <c r="C27" t="inlineStr">
        <is>
          <t>26MF026 - Fourniture d'appareils ménagers et d'équipements professionnels</t>
        </is>
      </c>
      <c r="D27" t="inlineStr">
        <is>
          <t>Ville de Plaisir</t>
        </is>
      </c>
      <c r="E27" t="inlineStr">
        <is>
          <t>21780490500016</t>
        </is>
      </c>
      <c r="F27" t="inlineStr">
        <is>
          <t>217804905</t>
        </is>
      </c>
      <c r="G27" t="inlineStr"/>
      <c r="H27" t="inlineStr"/>
      <c r="I27" t="inlineStr">
        <is>
          <t>vermuseau-ma@ville-plaisir.fr</t>
        </is>
      </c>
      <c r="J27" t="inlineStr">
        <is>
          <t>0490500016</t>
        </is>
      </c>
      <c r="K27" t="inlineStr"/>
      <c r="L27" t="inlineStr"/>
      <c r="M27" t="inlineStr"/>
      <c r="N27" t="inlineStr">
        <is>
          <t>78</t>
        </is>
      </c>
      <c r="O27" t="inlineStr"/>
      <c r="P27" t="inlineStr">
        <is>
          <t>Ile-de-France</t>
        </is>
      </c>
      <c r="Q27" s="15" t="n">
        <v>46226</v>
      </c>
      <c r="R27" s="15" t="n">
        <v>46261</v>
      </c>
      <c r="S27" t="inlineStr"/>
      <c r="T27" t="inlineStr">
        <is>
          <t>A_VERIFIER_BUDGET</t>
        </is>
      </c>
      <c r="U27" t="inlineStr"/>
      <c r="V27" t="inlineStr">
        <is>
          <t>non</t>
        </is>
      </c>
      <c r="W27" t="inlineStr">
        <is>
          <t>Mixte/Autre</t>
        </is>
      </c>
      <c r="X27" t="inlineStr">
        <is>
          <t>Mairie</t>
        </is>
      </c>
      <c r="Y27" t="inlineStr">
        <is>
          <t>FOURNITURES</t>
        </is>
      </c>
      <c r="Z27" t="inlineStr">
        <is>
          <t>Procédure Ouverte</t>
        </is>
      </c>
      <c r="AA27" t="inlineStr">
        <is>
          <t>Avis de marché</t>
        </is>
      </c>
      <c r="AB27" t="inlineStr">
        <is>
          <t>Electroménager</t>
        </is>
      </c>
      <c r="AC27" t="inlineStr"/>
      <c r="AD27" s="11" t="inlineStr">
        <is>
          <t>https://www.boamp.fr/pages/avis/?q=idweb:26-72948</t>
        </is>
      </c>
      <c r="AE27" t="inlineStr">
        <is>
          <t>https://ville-plaisir.e-marches-publics.com</t>
        </is>
      </c>
      <c r="AF27" t="inlineStr"/>
      <c r="AG27" t="inlineStr">
        <is>
          <t>nettoyage</t>
        </is>
      </c>
      <c r="AH27" t="inlineStr">
        <is>
          <t>3</t>
        </is>
      </c>
      <c r="AI27" t="inlineStr">
        <is>
          <t>68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30j</t>
        </is>
      </c>
      <c r="BC27" t="inlineStr">
        <is>
          <t>Ville de Plaisir publie un AO potentiellement pertinent pour CHRUTH : 26MF026 - Fourniture d'appareils ménagers et d'équipements professionnels. Zone : 78. Budget a verifier. Verifier le lien source avant contact.</t>
        </is>
      </c>
      <c r="BD27"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27"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26-71986</t>
        </is>
      </c>
      <c r="C28" t="inlineStr">
        <is>
          <t>Nettoyage des locaux communaux et des vitreries des bâtiments communaux</t>
        </is>
      </c>
      <c r="D28" t="inlineStr">
        <is>
          <t>Ville de Fontenay-aux-Roses</t>
        </is>
      </c>
      <c r="E28" t="inlineStr"/>
      <c r="F28" t="inlineStr"/>
      <c r="G28" t="inlineStr"/>
      <c r="H28" t="inlineStr"/>
      <c r="I28" t="inlineStr">
        <is>
          <t>publications-joue@aws-france.com</t>
        </is>
      </c>
      <c r="J28" t="inlineStr">
        <is>
          <t>+33480041260</t>
        </is>
      </c>
      <c r="K28" t="inlineStr"/>
      <c r="L28" t="inlineStr"/>
      <c r="M28" t="inlineStr"/>
      <c r="N28" t="inlineStr">
        <is>
          <t>92</t>
        </is>
      </c>
      <c r="O28" t="inlineStr"/>
      <c r="P28" t="inlineStr">
        <is>
          <t>Ile-de-France</t>
        </is>
      </c>
      <c r="Q28" s="15" t="n">
        <v>46224</v>
      </c>
      <c r="R28" s="15" t="n">
        <v>46240</v>
      </c>
      <c r="S28" t="inlineStr"/>
      <c r="T28" t="inlineStr">
        <is>
          <t>A_VERIFIER_BUDGET</t>
        </is>
      </c>
      <c r="U28" t="inlineStr"/>
      <c r="V28" t="inlineStr">
        <is>
          <t>non</t>
        </is>
      </c>
      <c r="W28" t="inlineStr">
        <is>
          <t>Vitres</t>
        </is>
      </c>
      <c r="X28" t="inlineStr">
        <is>
          <t>Mairie</t>
        </is>
      </c>
      <c r="Y28" t="inlineStr">
        <is>
          <t>SERVICES</t>
        </is>
      </c>
      <c r="Z28" t="inlineStr">
        <is>
          <t>Procédure Ouverte</t>
        </is>
      </c>
      <c r="AA28" t="inlineStr">
        <is>
          <t>Avis de marché</t>
        </is>
      </c>
      <c r="AB28" t="inlineStr">
        <is>
          <t>Nettoyage de locaux, Vitrerie</t>
        </is>
      </c>
      <c r="AC28" t="inlineStr">
        <is>
          <t>['environnementaux']</t>
        </is>
      </c>
      <c r="AD28" s="11" t="inlineStr">
        <is>
          <t>https://www.boamp.fr/pages/avis/?q=idweb:26-71986</t>
        </is>
      </c>
      <c r="AE28" t="inlineStr">
        <is>
          <t>https://www.marches-publics.info/accueil.htm</t>
        </is>
      </c>
      <c r="AF28" t="inlineStr">
        <is>
          <t>https://www.marches-publics.info/accueil.htm</t>
        </is>
      </c>
      <c r="AG28" t="inlineStr">
        <is>
          <t>nettoyage</t>
        </is>
      </c>
      <c r="AH28" t="inlineStr">
        <is>
          <t>2</t>
        </is>
      </c>
      <c r="AI28" t="inlineStr">
        <is>
          <t>58</t>
        </is>
      </c>
      <c r="AJ28" t="inlineStr">
        <is>
          <t>INFO_PARTIELLE</t>
        </is>
      </c>
      <c r="AK28" t="inlineStr">
        <is>
          <t>60</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SIRET, 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28" t="inlineStr">
        <is>
          <t>Verifier url_avis et DCE si disponible</t>
        </is>
      </c>
      <c r="AV28" t="inlineStr">
        <is>
          <t>LIEN_SEUL</t>
        </is>
      </c>
      <c r="AW28" t="inlineStr"/>
      <c r="AX28" t="inlineStr"/>
      <c r="AY28" t="inlineStr"/>
      <c r="AZ28" t="inlineStr"/>
      <c r="BA28" t="inlineStr"/>
      <c r="BB28" t="inlineStr">
        <is>
          <t>+35 nettoyage + categorie claire | +10 budget non affiche (a verifier) | +10 secteur cible Mairie | +5 delai court 9j</t>
        </is>
      </c>
      <c r="BC28" t="inlineStr">
        <is>
          <t>Ville de Fontenay-aux-Roses publie un AO potentiellement pertinent pour CHRUTH : Nettoyage des locaux communaux et des vitreries des bâtiments communaux. Zone : 92. Budget a verifier. Verifier le lien source avant contact.</t>
        </is>
      </c>
      <c r="BD28"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28"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2026-W30</t>
        </is>
      </c>
    </row>
    <row r="29">
      <c r="A29" t="inlineStr">
        <is>
          <t>BOAMP</t>
        </is>
      </c>
      <c r="B29" t="inlineStr">
        <is>
          <t>26-71545</t>
        </is>
      </c>
      <c r="C29" t="inlineStr">
        <is>
          <t>Exploitation, maintenance des dispositifs de collecte pneumatique fixes et mobiles des déchets ménagers et transport de ces déchets</t>
        </is>
      </c>
      <c r="D29" t="inlineStr">
        <is>
          <t>Grand Paris Seine Ouest</t>
        </is>
      </c>
      <c r="E29" t="inlineStr">
        <is>
          <t>20005797400012</t>
        </is>
      </c>
      <c r="F29" t="inlineStr">
        <is>
          <t>200057974</t>
        </is>
      </c>
      <c r="G29" t="inlineStr"/>
      <c r="H29" t="inlineStr"/>
      <c r="I29" t="inlineStr">
        <is>
          <t>judith.comminsoli@seineouest.fr</t>
        </is>
      </c>
      <c r="J29" t="inlineStr">
        <is>
          <t>0579740001</t>
        </is>
      </c>
      <c r="K29" t="inlineStr"/>
      <c r="L29" t="inlineStr"/>
      <c r="M29" t="inlineStr"/>
      <c r="N29" t="inlineStr">
        <is>
          <t>92</t>
        </is>
      </c>
      <c r="O29" t="inlineStr"/>
      <c r="P29" t="inlineStr">
        <is>
          <t>Ile-de-France</t>
        </is>
      </c>
      <c r="Q29" s="15" t="n">
        <v>46222</v>
      </c>
      <c r="R29" s="15" t="n">
        <v>46275</v>
      </c>
      <c r="S29" s="14" t="n">
        <v>300000</v>
      </c>
      <c r="T29" t="inlineStr">
        <is>
          <t>BUDGET_EXPLICITE_OK</t>
        </is>
      </c>
      <c r="U29" t="inlineStr">
        <is>
          <t>75000</t>
        </is>
      </c>
      <c r="V29" t="inlineStr">
        <is>
          <t>oui</t>
        </is>
      </c>
      <c r="W29" t="inlineStr">
        <is>
          <t>Mixte/Autre</t>
        </is>
      </c>
      <c r="X29" t="inlineStr">
        <is>
          <t>Autre</t>
        </is>
      </c>
      <c r="Y29" t="inlineStr">
        <is>
          <t>SERVICES</t>
        </is>
      </c>
      <c r="Z29" t="inlineStr">
        <is>
          <t>Procédure Ouverte</t>
        </is>
      </c>
      <c r="AA29" t="inlineStr">
        <is>
          <t>Avis de marché</t>
        </is>
      </c>
      <c r="AB29" t="inlineStr">
        <is>
          <t>Collecte sélective</t>
        </is>
      </c>
      <c r="AC29" t="inlineStr">
        <is>
          <t>['environnementaux']</t>
        </is>
      </c>
      <c r="AD29" s="11" t="inlineStr">
        <is>
          <t>https://www.boamp.fr/pages/avis/?q=idweb:26-71545</t>
        </is>
      </c>
      <c r="AE29" t="inlineStr">
        <is>
          <t>https://marches.maximilien.fr/</t>
        </is>
      </c>
      <c r="AF29" t="inlineStr">
        <is>
          <t>https://marches.maximilien.fr/</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29" t="inlineStr">
        <is>
          <t>Verifier url_avis et DCE si disponible</t>
        </is>
      </c>
      <c r="AV29" t="inlineStr"/>
      <c r="AW29" t="inlineStr"/>
      <c r="AX29" t="inlineStr"/>
      <c r="AY29" t="inlineStr"/>
      <c r="AZ29" t="inlineStr"/>
      <c r="BA29" t="inlineStr"/>
      <c r="BB29" t="inlineStr">
        <is>
          <t>+30 mots-cles nettoyage forts | +20 budget annualise &lt;= 100 000 EUR | +10 delai confortable 44j</t>
        </is>
      </c>
      <c r="BC29"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29"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29"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26-79275</t>
        </is>
      </c>
      <c r="C30" t="inlineStr">
        <is>
          <t>NETTOYAGE, COLLECTE, EVACUATION ET TRAITEMENT DES DECHETS DU MARCHE COMMUNAL</t>
        </is>
      </c>
      <c r="D30" t="inlineStr">
        <is>
          <t>Commune de Chanteloup les Vignes</t>
        </is>
      </c>
      <c r="E30" t="inlineStr">
        <is>
          <t>21780138000015</t>
        </is>
      </c>
      <c r="F30" t="inlineStr">
        <is>
          <t>217801380</t>
        </is>
      </c>
      <c r="G30" t="inlineStr"/>
      <c r="H30" t="inlineStr"/>
      <c r="I30" t="inlineStr">
        <is>
          <t>commandespubliques@chanteloup-les-vignes.fr</t>
        </is>
      </c>
      <c r="J30" t="inlineStr">
        <is>
          <t>0138000015</t>
        </is>
      </c>
      <c r="K30" t="inlineStr"/>
      <c r="L30" t="inlineStr"/>
      <c r="M30" t="inlineStr"/>
      <c r="N30" t="inlineStr">
        <is>
          <t>78</t>
        </is>
      </c>
      <c r="O30" t="inlineStr"/>
      <c r="P30" t="inlineStr">
        <is>
          <t>Ile-de-France</t>
        </is>
      </c>
      <c r="Q30" s="15" t="n">
        <v>46243</v>
      </c>
      <c r="R30" s="15" t="n">
        <v>46283</v>
      </c>
      <c r="S30" t="inlineStr"/>
      <c r="T30" t="inlineStr">
        <is>
          <t>A_VERIFIER_BUDGET</t>
        </is>
      </c>
      <c r="U30" t="inlineStr"/>
      <c r="V30" t="inlineStr">
        <is>
          <t>non</t>
        </is>
      </c>
      <c r="W30" t="inlineStr">
        <is>
          <t>Mixte/Autre</t>
        </is>
      </c>
      <c r="X30" t="inlineStr">
        <is>
          <t>Mairie</t>
        </is>
      </c>
      <c r="Y30" t="inlineStr">
        <is>
          <t>SERVICES</t>
        </is>
      </c>
      <c r="Z30" t="inlineStr">
        <is>
          <t>Procédure Ouverte</t>
        </is>
      </c>
      <c r="AA30" t="inlineStr">
        <is>
          <t>Avis de marché</t>
        </is>
      </c>
      <c r="AB30" t="inlineStr">
        <is>
          <t>Déchets non ménagers (prestations)</t>
        </is>
      </c>
      <c r="AC30" t="inlineStr">
        <is>
          <t>['environnementaux']</t>
        </is>
      </c>
      <c r="AD30" s="11" t="inlineStr">
        <is>
          <t>https://www.boamp.fr/pages/avis/?q=idweb:26-79275</t>
        </is>
      </c>
      <c r="AE30" t="inlineStr">
        <is>
          <t>https://www.achatpublic.com/sdm/ent/gen/ent_detail.do?PCSLID=CSL_2026_-fifweNbVP</t>
        </is>
      </c>
      <c r="AF30" t="inlineStr">
        <is>
          <t>https://www.achatpublic.com/sdm/ent/gen/ent_detail.do?PCSLID=CSL_2026_-fifweNbVP</t>
        </is>
      </c>
      <c r="AG30" t="inlineStr">
        <is>
          <t>nettoyage</t>
        </is>
      </c>
      <c r="AH30" t="inlineStr">
        <is>
          <t>3</t>
        </is>
      </c>
      <c r="AI30" t="inlineStr">
        <is>
          <t>68</t>
        </is>
      </c>
      <c r="AJ30" t="inlineStr">
        <is>
          <t>INFO_PARTIELLE</t>
        </is>
      </c>
      <c r="AK30" t="inlineStr">
        <is>
          <t>57.0</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26-79275. Objet: NETTOYAGE, COLLECTE, EVACUATION ET TRAITEMENT DES DECHETS DU MARCHE COMMUNAL. Acheteur: Commune de Chanteloup les Vignes. Lien: https://www.boamp.fr/pages/avis/?q=idweb:26-79275.</t>
        </is>
      </c>
      <c r="AU30" t="inlineStr">
        <is>
          <t>Verifier url_avis et DCE si disponible</t>
        </is>
      </c>
      <c r="AV30" t="inlineStr">
        <is>
          <t>LIEN_SEUL</t>
        </is>
      </c>
      <c r="AW30" t="inlineStr"/>
      <c r="AX30" t="inlineStr"/>
      <c r="AY30" t="inlineStr"/>
      <c r="AZ30" t="inlineStr"/>
      <c r="BA30" t="inlineStr"/>
      <c r="BB30" t="inlineStr">
        <is>
          <t>+28.5 mots-cles nettoyage forts (1 termes) | +10 budget non affiche (a verifier) | +10 secteur cible Mairie | +7.0 delai 18 j | +1.5 dossier renseigne (3/4)</t>
        </is>
      </c>
      <c r="BC30" t="inlineStr">
        <is>
          <t>Commune de Chanteloup les Vignes publie un AO potentiellement pertinent pour CHRUTH : NETTOYAGE, COLLECTE, EVACUATION ET TRAITEMENT DES DECHETS DU MARCHE COMMUNAL. Zone : 78. Budget a verifier. Verifier le lien source avant contact.</t>
        </is>
      </c>
      <c r="BD30" t="inlineStr">
        <is>
          <t>Bonjour,
Je me permets de vous contacter au sujet de votre appel d'offres : NETTOYAGE, COLLECTE, EVACUATION ET TRAITEMENT DES DECHETS DU MARCHE COMMUNAL.
CHRUTH accompagne les structures publiques et privées sur les besoins de nettoyage, d'entretien des locaux et d'organisation de prestations de service.
Serait-il possible d'échanger rapidement afin de vérifier les modalités de réponse et les attentes de Commune de Chanteloup les Vignes ?
Cordialement,</t>
        </is>
      </c>
      <c r="BE30" t="inlineStr">
        <is>
          <t>Bonjour, je vous appelle concernant un appel d'offres publié par Commune de Chanteloup les Vignes.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2026-W32</t>
        </is>
      </c>
    </row>
    <row r="31">
      <c r="A31" t="inlineStr">
        <is>
          <t>BOAMP</t>
        </is>
      </c>
      <c r="B31" t="inlineStr">
        <is>
          <t>26-83118</t>
        </is>
      </c>
      <c r="C31" t="inlineStr">
        <is>
          <t>2026-61359767 (avis de publicité)  et référence DIPADEST sur Place</t>
        </is>
      </c>
      <c r="D31" t="inlineStr">
        <is>
          <t>DGDDI DI PARIS-AEROPORTS</t>
        </is>
      </c>
      <c r="E31" t="inlineStr">
        <is>
          <t>17950230700053</t>
        </is>
      </c>
      <c r="F31" t="inlineStr">
        <is>
          <t>179502307</t>
        </is>
      </c>
      <c r="G31" t="inlineStr"/>
      <c r="H31" t="inlineStr"/>
      <c r="I31" t="inlineStr">
        <is>
          <t>dipa-immobilier@douane.finances.gouv.fr</t>
        </is>
      </c>
      <c r="J31" t="inlineStr">
        <is>
          <t>0230700053</t>
        </is>
      </c>
      <c r="K31" t="inlineStr"/>
      <c r="L31" t="inlineStr"/>
      <c r="M31" t="inlineStr"/>
      <c r="N31" t="inlineStr">
        <is>
          <t>95,93,94,75,77</t>
        </is>
      </c>
      <c r="O31" t="inlineStr"/>
      <c r="P31" t="inlineStr">
        <is>
          <t>Ile-de-France</t>
        </is>
      </c>
      <c r="Q31" s="15" t="n">
        <v>46261</v>
      </c>
      <c r="R31" s="15" t="n">
        <v>46307</v>
      </c>
      <c r="S31" t="inlineStr"/>
      <c r="T31" t="inlineStr">
        <is>
          <t>A_VERIFIER_BUDGET</t>
        </is>
      </c>
      <c r="U31" t="inlineStr"/>
      <c r="V31" t="inlineStr">
        <is>
          <t>non</t>
        </is>
      </c>
      <c r="W31" t="inlineStr">
        <is>
          <t>Bureaux</t>
        </is>
      </c>
      <c r="X31" t="inlineStr">
        <is>
          <t>Autre</t>
        </is>
      </c>
      <c r="Y31" t="inlineStr">
        <is>
          <t>SERVICES</t>
        </is>
      </c>
      <c r="Z31" t="inlineStr">
        <is>
          <t>Procédure Ouverte</t>
        </is>
      </c>
      <c r="AA31" t="inlineStr">
        <is>
          <t>Avis de marché</t>
        </is>
      </c>
      <c r="AB31" t="inlineStr">
        <is>
          <t>Déchets non ménagers (prestations)</t>
        </is>
      </c>
      <c r="AC31" t="inlineStr">
        <is>
          <t>['sociaux', 'environnementaux']</t>
        </is>
      </c>
      <c r="AD31" s="11" t="inlineStr">
        <is>
          <t>https://www.boamp.fr/pages/avis/?q=idweb:26-83118</t>
        </is>
      </c>
      <c r="AE31" t="inlineStr">
        <is>
          <t>https://www.marches-publics.gouv.fr</t>
        </is>
      </c>
      <c r="AF31" t="inlineStr">
        <is>
          <t>https://www.marches-publics.gouv.fr</t>
        </is>
      </c>
      <c r="AG31" t="inlineStr"/>
      <c r="AH31" t="inlineStr">
        <is>
          <t>3</t>
        </is>
      </c>
      <c r="AI31" t="inlineStr">
        <is>
          <t>60</t>
        </is>
      </c>
      <c r="AJ31" t="inlineStr">
        <is>
          <t>INFO_PARTIELLE</t>
        </is>
      </c>
      <c r="AK31" t="inlineStr">
        <is>
          <t>55.0</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26-83118. Objet: 2026-61359767 (avis de publicité)  et référence DIPADEST sur Place. Acheteur: DGDDI DI PARIS-AEROPORTS. Lien: https://www.boamp.fr/pages/avis/?q=idweb:26-83118.</t>
        </is>
      </c>
      <c r="AU31" t="inlineStr">
        <is>
          <t>Verifier url_avis et DCE si disponible</t>
        </is>
      </c>
      <c r="AV31" t="inlineStr">
        <is>
          <t>LIEN_SEUL</t>
        </is>
      </c>
      <c r="AW31" t="inlineStr"/>
      <c r="AX31" t="inlineStr"/>
      <c r="AY31" t="inlineStr"/>
      <c r="AZ31" t="inlineStr"/>
      <c r="BA31" t="inlineStr"/>
      <c r="BB31" t="inlineStr">
        <is>
          <t>+33.5 nettoyage + categorie claire (1 termes) | +10 budget non affiche (a verifier) | +10.0 delai 42 j | +1.5 dossier renseigne (3/4)</t>
        </is>
      </c>
      <c r="BC31" t="inlineStr">
        <is>
          <t>DGDDI DI PARIS-AEROPORTS publie un AO potentiellement pertinent pour CHRUTH : 2026-61359767 (avis de publicité)  et référence DIPADEST sur Place. Zone : 95,93,94,75,77. Budget a verifier. Verifier le lien source avant contact.</t>
        </is>
      </c>
      <c r="BD31" t="inlineStr">
        <is>
          <t>Bonjour,
Je me permets de vous contacter au sujet de votre appel d'offres : 2026-61359767 (avis de publicité)  et référence DIPADEST sur Place.
CHRUTH accompagne les structures publiques et privées sur les besoins de nettoyage, d'entretien des locaux et d'organisation de prestations de service.
Serait-il possible d'échanger rapidement afin de vérifier les modalités de réponse et les attentes de DGDDI DI PARIS-AEROPORTS ?
Cordialement,</t>
        </is>
      </c>
      <c r="BE31" t="inlineStr">
        <is>
          <t>Bonjour, je vous appelle concernant un appel d'offres publié par DGDDI DI PARIS-AEROPORTS.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2026-W35</t>
        </is>
      </c>
    </row>
    <row r="32">
      <c r="A32" t="inlineStr">
        <is>
          <t>BOAMP</t>
        </is>
      </c>
      <c r="B32" t="inlineStr">
        <is>
          <t>26-73898</t>
        </is>
      </c>
      <c r="C32" t="inlineStr">
        <is>
          <t>Fourniture de petits matériels et de consommables d'entretien et d'hygiène</t>
        </is>
      </c>
      <c r="D32" t="inlineStr">
        <is>
          <t>Département des Hauts-de-Seine</t>
        </is>
      </c>
      <c r="E32" t="inlineStr"/>
      <c r="F32" t="inlineStr"/>
      <c r="G32" t="inlineStr"/>
      <c r="H32" t="inlineStr"/>
      <c r="I32" t="inlineStr">
        <is>
          <t>publications-joue@aws-france.com</t>
        </is>
      </c>
      <c r="J32" t="inlineStr">
        <is>
          <t>+33480041260</t>
        </is>
      </c>
      <c r="K32" t="inlineStr"/>
      <c r="L32" t="inlineStr"/>
      <c r="M32" t="inlineStr"/>
      <c r="N32" t="inlineStr">
        <is>
          <t>92</t>
        </is>
      </c>
      <c r="O32" t="inlineStr"/>
      <c r="P32" t="inlineStr">
        <is>
          <t>Ile-de-France</t>
        </is>
      </c>
      <c r="Q32" s="15" t="n">
        <v>46228</v>
      </c>
      <c r="R32" s="15" t="n">
        <v>46280</v>
      </c>
      <c r="S32" t="inlineStr"/>
      <c r="T32" t="inlineStr">
        <is>
          <t>A_VERIFIER_BUDGET</t>
        </is>
      </c>
      <c r="U32" t="inlineStr"/>
      <c r="V32" t="inlineStr">
        <is>
          <t>non</t>
        </is>
      </c>
      <c r="W32" t="inlineStr">
        <is>
          <t>Batiments</t>
        </is>
      </c>
      <c r="X32" t="inlineStr">
        <is>
          <t>Autre</t>
        </is>
      </c>
      <c r="Y32" t="inlineStr">
        <is>
          <t>FOURNITURES</t>
        </is>
      </c>
      <c r="Z32" t="inlineStr">
        <is>
          <t>Procédure Ouverte</t>
        </is>
      </c>
      <c r="AA32" t="inlineStr">
        <is>
          <t>Avis de marché</t>
        </is>
      </c>
      <c r="AB32" t="inlineStr">
        <is>
          <t>Produits d'entretien</t>
        </is>
      </c>
      <c r="AC32" t="inlineStr">
        <is>
          <t>['sociaux', 'environnementaux']</t>
        </is>
      </c>
      <c r="AD32" s="11" t="inlineStr">
        <is>
          <t>https://www.boamp.fr/pages/avis/?q=idweb:26-73898</t>
        </is>
      </c>
      <c r="AE32" t="inlineStr">
        <is>
          <t>https://www.marches-publics.info/mpiaws/index.cfm?fuseaction=dematEnt.login&amp;amp;type=DCE&amp;amp;IDM=1854121</t>
        </is>
      </c>
      <c r="AF32" t="inlineStr">
        <is>
          <t>https://www.marches-publics.info/mpiaws/index.cfm?fuseaction=dematEnt.login&amp;amp;type=DCE&amp;amp;IDM=1854121</t>
        </is>
      </c>
      <c r="AG32" t="inlineStr">
        <is>
          <t>hygiene des locaux</t>
        </is>
      </c>
      <c r="AH32" t="inlineStr">
        <is>
          <t>2</t>
        </is>
      </c>
      <c r="AI32" t="inlineStr">
        <is>
          <t>58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+10 delai confortable 49j</t>
        </is>
      </c>
      <c r="BC32" t="inlineStr">
        <is>
          <t>Département des Hauts-de-Seine publie un AO potentiellement pertinent pour CHRUTH : Fourniture de petits matériels et de consommables d'entretien et d'hygiène. Zone : 92. Budget a verifier. Verifier le lien source avant contact.</t>
        </is>
      </c>
      <c r="BD32"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32"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26-72955</t>
        </is>
      </c>
      <c r="C33" t="inlineStr">
        <is>
          <t>Prestations de nettoyage courant des locaux du CNRS et de vitreries incluant la fourniture des produits d’entretien et d’hygiène</t>
        </is>
      </c>
      <c r="D33" t="inlineStr">
        <is>
          <t>CNRS Délégation paris-Centre</t>
        </is>
      </c>
      <c r="E33" t="inlineStr">
        <is>
          <t>18008901303282</t>
        </is>
      </c>
      <c r="F33" t="inlineStr">
        <is>
          <t>180089013</t>
        </is>
      </c>
      <c r="G33" t="inlineStr"/>
      <c r="H33" t="inlineStr"/>
      <c r="I33" t="inlineStr">
        <is>
          <t>marchesdr2@dr2.cnrs.fr</t>
        </is>
      </c>
      <c r="J33" t="inlineStr">
        <is>
          <t>0890130328</t>
        </is>
      </c>
      <c r="K33" t="inlineStr"/>
      <c r="L33" t="inlineStr"/>
      <c r="M33" t="inlineStr"/>
      <c r="N33" t="inlineStr">
        <is>
          <t>75,77,78,91,92,93,94,95</t>
        </is>
      </c>
      <c r="O33" t="inlineStr"/>
      <c r="P33" t="inlineStr">
        <is>
          <t>Ile-de-France</t>
        </is>
      </c>
      <c r="Q33" s="15" t="n">
        <v>46225</v>
      </c>
      <c r="R33" s="15" t="n">
        <v>46269</v>
      </c>
      <c r="S33" t="inlineStr"/>
      <c r="T33" t="inlineStr">
        <is>
          <t>A_VERIFIER_BUDGET</t>
        </is>
      </c>
      <c r="U33" t="inlineStr"/>
      <c r="V33" t="inlineStr">
        <is>
          <t>non</t>
        </is>
      </c>
      <c r="W33" t="inlineStr">
        <is>
          <t>Batiments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https://www.boamp.fr/pages/avis/?q=idweb:26-72955</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38j</t>
        </is>
      </c>
      <c r="BC33"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33"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33"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2026-W30</t>
        </is>
      </c>
    </row>
    <row r="34">
      <c r="A34" t="inlineStr">
        <is>
          <t>BOAMP</t>
        </is>
      </c>
      <c r="B34" t="inlineStr">
        <is>
          <t>26-72105</t>
        </is>
      </c>
      <c r="C34" t="inlineStr">
        <is>
          <t>PRESTATIONS DE SERVICES DE NETTOYAGE ET BIONETTOYAGE DES LOCAUX, DE LA VITRERIE ET SERVICES ASSOCIES POUR LE CHIMM</t>
        </is>
      </c>
      <c r="D34" t="inlineStr">
        <is>
          <t>Centre Hospitalier Poissy/Saint-Germain-En-Laye</t>
        </is>
      </c>
      <c r="E34" t="inlineStr">
        <is>
          <t>26780580200316</t>
        </is>
      </c>
      <c r="F34" t="inlineStr">
        <is>
          <t>267805802</t>
        </is>
      </c>
      <c r="G34" t="inlineStr"/>
      <c r="H34" t="inlineStr"/>
      <c r="I34" t="inlineStr">
        <is>
          <t>clementine.hee@ght-yvelinesnord.fr</t>
        </is>
      </c>
      <c r="J34" t="inlineStr">
        <is>
          <t>0580200316</t>
        </is>
      </c>
      <c r="K34" t="inlineStr"/>
      <c r="L34" t="inlineStr"/>
      <c r="M34" t="inlineStr"/>
      <c r="N34" t="inlineStr">
        <is>
          <t>78</t>
        </is>
      </c>
      <c r="O34" t="inlineStr"/>
      <c r="P34" t="inlineStr">
        <is>
          <t>Ile-de-France</t>
        </is>
      </c>
      <c r="Q34" s="15" t="n">
        <v>46224</v>
      </c>
      <c r="R34" s="15" t="n">
        <v>46293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 Vitrerie</t>
        </is>
      </c>
      <c r="AC34" t="inlineStr"/>
      <c r="AD34" s="11" t="inlineStr">
        <is>
          <t>https://www.boamp.fr/pages/avis/?q=idweb:26-72105</t>
        </is>
      </c>
      <c r="AE34" t="inlineStr">
        <is>
          <t>https://marches.maximilien.fr/entreprise/consultation/943757?orgAcronyme=a2k</t>
        </is>
      </c>
      <c r="AF34" t="inlineStr">
        <is>
          <t>https://marches.maximilien.fr/entreprise/consultation/943757?orgAcronyme=a2k</t>
        </is>
      </c>
      <c r="AG34" t="inlineStr">
        <is>
          <t>nettoyage, bionettoyage</t>
        </is>
      </c>
      <c r="AH34" t="inlineStr">
        <is>
          <t>3</t>
        </is>
      </c>
      <c r="AI34" t="inlineStr">
        <is>
          <t>76</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62j</t>
        </is>
      </c>
      <c r="BC34"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34"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34"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26-70522</t>
        </is>
      </c>
      <c r="C35" t="inlineStr">
        <is>
          <t>PRESTATIONS DE COACHING ET D’ACCOMPAGNEMENT DES MEMBRES D’UN CODIR AU PROFIT DE L’EPIDE</t>
        </is>
      </c>
      <c r="D35" t="inlineStr">
        <is>
          <t>EPIDE</t>
        </is>
      </c>
      <c r="E35" t="inlineStr">
        <is>
          <t>18009259500131</t>
        </is>
      </c>
      <c r="F35" t="inlineStr">
        <is>
          <t>180092595</t>
        </is>
      </c>
      <c r="G35" t="inlineStr"/>
      <c r="H35" t="inlineStr"/>
      <c r="I35" t="inlineStr">
        <is>
          <t>achats@epide.fr</t>
        </is>
      </c>
      <c r="J35" t="inlineStr">
        <is>
          <t>0925950013</t>
        </is>
      </c>
      <c r="K35" t="inlineStr"/>
      <c r="L35" t="inlineStr"/>
      <c r="M35" t="inlineStr"/>
      <c r="N35" t="inlineStr">
        <is>
          <t>92,67,68,24,33,40,47,64,3</t>
        </is>
      </c>
      <c r="O35" t="inlineStr"/>
      <c r="P35" t="inlineStr">
        <is>
          <t>Ile-de-France</t>
        </is>
      </c>
      <c r="Q35" s="15" t="n">
        <v>46220</v>
      </c>
      <c r="R35" s="15" t="n">
        <v>46259</v>
      </c>
      <c r="S35" t="inlineStr"/>
      <c r="T35" t="inlineStr">
        <is>
          <t>A_VERIFIER_BUDGET</t>
        </is>
      </c>
      <c r="U35" t="inlineStr"/>
      <c r="V35" t="inlineStr">
        <is>
          <t>non</t>
        </is>
      </c>
      <c r="W35" t="inlineStr">
        <is>
          <t>Batiments</t>
        </is>
      </c>
      <c r="X35" t="inlineStr">
        <is>
          <t>Autre</t>
        </is>
      </c>
      <c r="Y35" t="inlineStr">
        <is>
          <t>SERVICES</t>
        </is>
      </c>
      <c r="Z35" t="inlineStr">
        <is>
          <t>Procédure Ouverte</t>
        </is>
      </c>
      <c r="AA35" t="inlineStr">
        <is>
          <t>Avis de marché</t>
        </is>
      </c>
      <c r="AB35" t="inlineStr">
        <is>
          <t>Nettoyage de locaux</t>
        </is>
      </c>
      <c r="AC35" t="inlineStr"/>
      <c r="AD35" s="11" t="inlineStr">
        <is>
          <t>https://www.boamp.fr/pages/avis/?q=idweb:26-70522</t>
        </is>
      </c>
      <c r="AE35" t="inlineStr">
        <is>
          <t>https://www.epide.fr/</t>
        </is>
      </c>
      <c r="AF35" t="inlineStr"/>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28j</t>
        </is>
      </c>
      <c r="BC35" t="inlineStr">
        <is>
          <t>EPIDE publie un AO potentiellement pertinent pour CHRUTH : PRESTATIONS DE COACHING ET D’ACCOMPAGNEMENT DES MEMBRES D’UN CODIR AU PROFIT DE L’EPIDE. Zone : 92,67,68,24,33,40,47,64,3. Budget a verifier. Verifier le lien source avant contact.</t>
        </is>
      </c>
      <c r="BD35"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35"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2026-W29</t>
        </is>
      </c>
    </row>
    <row r="36">
      <c r="A36" t="inlineStr">
        <is>
          <t>BOAMP</t>
        </is>
      </c>
      <c r="B36" t="inlineStr">
        <is>
          <t>26-70503</t>
        </is>
      </c>
      <c r="C36" t="inlineStr">
        <is>
          <t>Prestations de nettoyage des locaux et de la vitrerie et prestations associées pour les sites du GHT Grand Paris Nord-Est</t>
        </is>
      </c>
      <c r="D36" t="inlineStr">
        <is>
          <t>GHT GPNE</t>
        </is>
      </c>
      <c r="E36" t="inlineStr">
        <is>
          <t>20001803400013</t>
        </is>
      </c>
      <c r="F36" t="inlineStr">
        <is>
          <t>200018034</t>
        </is>
      </c>
      <c r="G36" t="inlineStr"/>
      <c r="H36" t="inlineStr"/>
      <c r="I36" t="inlineStr">
        <is>
          <t>ght.cellule-des-marches@ght-gpne.fr</t>
        </is>
      </c>
      <c r="J36" t="inlineStr">
        <is>
          <t>0180340001</t>
        </is>
      </c>
      <c r="K36" t="inlineStr"/>
      <c r="L36" t="inlineStr"/>
      <c r="M36" t="inlineStr"/>
      <c r="N36" t="inlineStr">
        <is>
          <t>93</t>
        </is>
      </c>
      <c r="O36" t="inlineStr"/>
      <c r="P36" t="inlineStr">
        <is>
          <t>Ile-de-France</t>
        </is>
      </c>
      <c r="Q36" s="15" t="n">
        <v>46220</v>
      </c>
      <c r="R36" s="15" t="n">
        <v>46269</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c r="AD36" s="11" t="inlineStr">
        <is>
          <t>https://www.boamp.fr/pages/avis/?q=idweb:26-70503</t>
        </is>
      </c>
      <c r="AE36" t="inlineStr">
        <is>
          <t>https://marches.maximilien.fr/entreprise/consultation/943277?orgAcronyme=a1j</t>
        </is>
      </c>
      <c r="AF36" t="inlineStr">
        <is>
          <t>https://marches.maximilien.fr/entreprise/consultation/943277?orgAcronyme=a1j</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38j</t>
        </is>
      </c>
      <c r="BC36" t="inlineStr">
        <is>
          <t>GHT GPNE publie un AO potentiellement pertinent pour CHRUTH : Prestations de nettoyage des locaux et de la vitrerie et prestations associées pour les sites du GHT Grand Paris Nord-Est. Zone : 93. Budget a verifier. Verifier le lien source avant contact.</t>
        </is>
      </c>
      <c r="BD36"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36"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26-82245</t>
        </is>
      </c>
      <c r="C37" t="inlineStr">
        <is>
          <t>PRESTATIONS DE NETTOYAGE ET D'ENTRETIEN MENAGER DES BATIMENTS UNIVERSITAIRES</t>
        </is>
      </c>
      <c r="D37" t="inlineStr">
        <is>
          <t>Communauté d'Agglomération Melun Val de Seine</t>
        </is>
      </c>
      <c r="E37" t="inlineStr"/>
      <c r="F37" t="inlineStr"/>
      <c r="G37" t="inlineStr"/>
      <c r="H37" t="inlineStr"/>
      <c r="I37" t="inlineStr">
        <is>
          <t>publications-joue@aws-france.com</t>
        </is>
      </c>
      <c r="J37" t="inlineStr">
        <is>
          <t>+33480041260</t>
        </is>
      </c>
      <c r="K37" t="inlineStr"/>
      <c r="L37" t="inlineStr"/>
      <c r="M37" t="inlineStr"/>
      <c r="N37" t="inlineStr">
        <is>
          <t>77</t>
        </is>
      </c>
      <c r="O37" t="inlineStr"/>
      <c r="P37" t="inlineStr">
        <is>
          <t>Ile-de-France</t>
        </is>
      </c>
      <c r="Q37" s="15" t="n">
        <v>46257</v>
      </c>
      <c r="R37" s="15" t="n">
        <v>46286</v>
      </c>
      <c r="S37" s="14" t="n">
        <v>120000</v>
      </c>
      <c r="T37" t="inlineStr">
        <is>
          <t>BUDGET_EXPLICITE_OK</t>
        </is>
      </c>
      <c r="U37" t="inlineStr">
        <is>
          <t>120000</t>
        </is>
      </c>
      <c r="V37" t="inlineStr">
        <is>
          <t>oui</t>
        </is>
      </c>
      <c r="W37" t="inlineStr">
        <is>
          <t>Batiments</t>
        </is>
      </c>
      <c r="X37" t="inlineStr">
        <is>
          <t>Autre</t>
        </is>
      </c>
      <c r="Y37" t="inlineStr">
        <is>
          <t>SERVICES</t>
        </is>
      </c>
      <c r="Z37" t="inlineStr">
        <is>
          <t>Procédure Ouverte</t>
        </is>
      </c>
      <c r="AA37" t="inlineStr">
        <is>
          <t>Avis de marché</t>
        </is>
      </c>
      <c r="AB37" t="inlineStr">
        <is>
          <t>Nettoyage de locaux, Prestations de services</t>
        </is>
      </c>
      <c r="AC37" t="inlineStr"/>
      <c r="AD37" s="11" t="inlineStr">
        <is>
          <t>https://www.boamp.fr/pages/avis/?q=idweb:26-82245</t>
        </is>
      </c>
      <c r="AE37" t="inlineStr">
        <is>
          <t>https://www.marches-publics.info/mpiaws/index.cfm?fuseaction=dematEnt.login&amp;amp;type=DCE&amp;amp;IDM=1863025</t>
        </is>
      </c>
      <c r="AF37" t="inlineStr">
        <is>
          <t>https://www.marches-publics.info/mpiaws/index.cfm?fuseaction=dematEnt.login&amp;amp;type=DCE&amp;amp;IDM=1863025</t>
        </is>
      </c>
      <c r="AG37" t="inlineStr">
        <is>
          <t>nettoyage, entretien menager</t>
        </is>
      </c>
      <c r="AH37" t="inlineStr">
        <is>
          <t>2</t>
        </is>
      </c>
      <c r="AI37" t="inlineStr">
        <is>
          <t>62</t>
        </is>
      </c>
      <c r="AJ37" t="inlineStr">
        <is>
          <t>INFO_PARTIELLE</t>
        </is>
      </c>
      <c r="AK37" t="inlineStr">
        <is>
          <t>53.8</t>
        </is>
      </c>
      <c r="AL37" t="inlineStr">
        <is>
          <t>TIEDE</t>
        </is>
      </c>
      <c r="AM37" t="inlineStr"/>
      <c r="AN37" t="inlineStr"/>
      <c r="AO37" t="inlineStr"/>
      <c r="AP37" t="inlineStr"/>
      <c r="AQ37" t="inlineStr">
        <is>
          <t>IA_CONTACT_A_COMPLETER</t>
        </is>
      </c>
      <c r="AR37" t="inlineStr">
        <is>
          <t>Completer les champs manquants depuis l'avis source, le site acheteur ou le DCE.</t>
        </is>
      </c>
      <c r="AS37" t="inlineStr">
        <is>
          <t>SIRET, 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26-82245. Objet: PRESTATIONS DE NETTOYAGE ET D'ENTRETIEN MENAGER DES BATIMENTS UNIVERSITAIRES. Acheteur: Communauté d'Agglomération Melun Val de Seine. Lien: https://www.boamp.fr/pages/avis/?q=idweb:26-82245.</t>
        </is>
      </c>
      <c r="AU37" t="inlineStr">
        <is>
          <t>Verifier url_avis et DCE si disponible</t>
        </is>
      </c>
      <c r="AV37" t="inlineStr"/>
      <c r="AW37" t="inlineStr"/>
      <c r="AX37" t="inlineStr"/>
      <c r="AY37" t="inlineStr"/>
      <c r="AZ37" t="inlineStr"/>
      <c r="BA37" t="inlineStr"/>
      <c r="BB37" t="inlineStr">
        <is>
          <t>+33.5 nettoyage + categorie claire (1 termes) | +11.0 budget annualise 120 000 EUR | +7.8 delai 21 j | +1.5 dossier renseigne (3/4)</t>
        </is>
      </c>
      <c r="BC37"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7"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7"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2026-W34</t>
        </is>
      </c>
    </row>
    <row r="38">
      <c r="A38" t="inlineStr">
        <is>
          <t>BOAMP</t>
        </is>
      </c>
      <c r="B38" t="inlineStr">
        <is>
          <t>26-81766</t>
        </is>
      </c>
      <c r="C38" t="inlineStr">
        <is>
          <t>PRESTATIONS DE NETTOYAGE ET D'ENTRETIEN MENAGER DES BATIMENTS UNIVERSITAIRES</t>
        </is>
      </c>
      <c r="D38" t="inlineStr">
        <is>
          <t>Communauté d'Agglomération Melun Val de Seine</t>
        </is>
      </c>
      <c r="E38" t="inlineStr"/>
      <c r="F38" t="inlineStr"/>
      <c r="G38" t="inlineStr"/>
      <c r="H38" t="inlineStr"/>
      <c r="I38" t="inlineStr">
        <is>
          <t>publications-joue@aws-france.com</t>
        </is>
      </c>
      <c r="J38" t="inlineStr">
        <is>
          <t>+33480041260</t>
        </is>
      </c>
      <c r="K38" t="inlineStr"/>
      <c r="L38" t="inlineStr"/>
      <c r="M38" t="inlineStr"/>
      <c r="N38" t="inlineStr">
        <is>
          <t>77</t>
        </is>
      </c>
      <c r="O38" t="inlineStr"/>
      <c r="P38" t="inlineStr">
        <is>
          <t>Ile-de-France</t>
        </is>
      </c>
      <c r="Q38" s="15" t="n">
        <v>46255</v>
      </c>
      <c r="R38" s="15" t="n">
        <v>46286</v>
      </c>
      <c r="S38" s="14" t="n">
        <v>120000</v>
      </c>
      <c r="T38" t="inlineStr">
        <is>
          <t>BUDGET_EXPLICITE_OK</t>
        </is>
      </c>
      <c r="U38" t="inlineStr">
        <is>
          <t>120000</t>
        </is>
      </c>
      <c r="V38" t="inlineStr">
        <is>
          <t>oui</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https://www.boamp.fr/pages/avis/?q=idweb:26-81766</t>
        </is>
      </c>
      <c r="AE38" t="inlineStr">
        <is>
          <t>https://www.marches-publics.info/mpiaws/index.cfm?fuseaction=dematEnt.login&amp;amp;type=DCE&amp;amp;IDM=1863025</t>
        </is>
      </c>
      <c r="AF38" t="inlineStr">
        <is>
          <t>https://www.marches-publics.info/mpiaws/index.cfm?fuseaction=dematEnt.login&amp;amp;type=DCE&amp;amp;IDM=1863025</t>
        </is>
      </c>
      <c r="AG38" t="inlineStr">
        <is>
          <t>nettoyage, entretien menager</t>
        </is>
      </c>
      <c r="AH38" t="inlineStr">
        <is>
          <t>2</t>
        </is>
      </c>
      <c r="AI38" t="inlineStr">
        <is>
          <t>62</t>
        </is>
      </c>
      <c r="AJ38" t="inlineStr">
        <is>
          <t>INFO_PARTIELLE</t>
        </is>
      </c>
      <c r="AK38" t="inlineStr">
        <is>
          <t>53.8</t>
        </is>
      </c>
      <c r="AL38" t="inlineStr">
        <is>
          <t>TIEDE</t>
        </is>
      </c>
      <c r="AM38" t="inlineStr"/>
      <c r="AN38" t="inlineStr"/>
      <c r="AO38" t="inlineStr"/>
      <c r="AP38" t="inlineStr"/>
      <c r="AQ38" t="inlineStr">
        <is>
          <t>IA_CONTACT_A_COMPLETER</t>
        </is>
      </c>
      <c r="AR38" t="inlineStr">
        <is>
          <t>Completer les champs manquants depuis l'avis source, le site acheteur ou le DCE.</t>
        </is>
      </c>
      <c r="AS38" t="inlineStr">
        <is>
          <t>SIRET, 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26-81766. Objet: PRESTATIONS DE NETTOYAGE ET D'ENTRETIEN MENAGER DES BATIMENTS UNIVERSITAIRES. Acheteur: Communauté d'Agglomération Melun Val de Seine. Lien: https://www.boamp.fr/pages/avis/?q=idweb:26-81766.</t>
        </is>
      </c>
      <c r="AU38" t="inlineStr">
        <is>
          <t>Verifier url_avis et DCE si disponible</t>
        </is>
      </c>
      <c r="AV38" t="inlineStr"/>
      <c r="AW38" t="inlineStr"/>
      <c r="AX38" t="inlineStr"/>
      <c r="AY38" t="inlineStr"/>
      <c r="AZ38" t="inlineStr"/>
      <c r="BA38" t="inlineStr"/>
      <c r="BB38" t="inlineStr">
        <is>
          <t>+33.5 nettoyage + categorie claire (1 termes) | +11.0 budget annualise 120 000 EUR | +7.8 delai 21 j | +1.5 dossier renseigne (3/4)</t>
        </is>
      </c>
      <c r="BC38"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8"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8"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2026-W34</t>
        </is>
      </c>
    </row>
    <row r="39">
      <c r="A39" t="inlineStr">
        <is>
          <t>BOAMP</t>
        </is>
      </c>
      <c r="B39" t="inlineStr">
        <is>
          <t>26-77541</t>
        </is>
      </c>
      <c r="C39" t="inlineStr">
        <is>
          <t>Le présent contrat a pour objet la délégation de l'exploitation du Centre Départemental d'initiation au golf de la Poudrerie à Livry-Gargan</t>
        </is>
      </c>
      <c r="D39" t="inlineStr">
        <is>
          <t>Département de la Seine-Saint-Denis</t>
        </is>
      </c>
      <c r="E39" t="inlineStr"/>
      <c r="F39" t="inlineStr"/>
      <c r="G39" t="inlineStr"/>
      <c r="H39" t="inlineStr"/>
      <c r="I39" t="inlineStr">
        <is>
          <t>publications-joue@aws-france.com</t>
        </is>
      </c>
      <c r="J39" t="inlineStr">
        <is>
          <t>+33480041260</t>
        </is>
      </c>
      <c r="K39" t="inlineStr"/>
      <c r="L39" t="inlineStr"/>
      <c r="M39" t="inlineStr"/>
      <c r="N39" t="inlineStr">
        <is>
          <t>93</t>
        </is>
      </c>
      <c r="O39" t="inlineStr"/>
      <c r="P39" t="inlineStr">
        <is>
          <t>Ile-de-France</t>
        </is>
      </c>
      <c r="Q39" s="15" t="n">
        <v>46239</v>
      </c>
      <c r="R39" s="15" t="n">
        <v>46286</v>
      </c>
      <c r="S39" t="inlineStr"/>
      <c r="T39" t="inlineStr">
        <is>
          <t>A_VERIFIER_BUDGET</t>
        </is>
      </c>
      <c r="U39" t="inlineStr"/>
      <c r="V39" t="inlineStr">
        <is>
          <t>non</t>
        </is>
      </c>
      <c r="W39" t="inlineStr">
        <is>
          <t>Personnel</t>
        </is>
      </c>
      <c r="X39" t="inlineStr">
        <is>
          <t>Autre</t>
        </is>
      </c>
      <c r="Y39" t="inlineStr">
        <is>
          <t>SERVICES</t>
        </is>
      </c>
      <c r="Z39" t="inlineStr">
        <is>
          <t>Procédure NC</t>
        </is>
      </c>
      <c r="AA39" t="inlineStr">
        <is>
          <t>Avis de marché</t>
        </is>
      </c>
      <c r="AB39" t="inlineStr">
        <is>
          <t>Equipement sportif, Délégation de service public</t>
        </is>
      </c>
      <c r="AC39" t="inlineStr">
        <is>
          <t>['environnementaux']</t>
        </is>
      </c>
      <c r="AD39" s="11" t="inlineStr">
        <is>
          <t>https://www.boamp.fr/pages/avis/?q=idweb:26-77541</t>
        </is>
      </c>
      <c r="AE39" t="inlineStr">
        <is>
          <t>https://www.marches-publics.info/mpiaws/index.cfm?fuseaction=dematEnt.login&amp;amp;type=DCE&amp;amp;IDM=1858330</t>
        </is>
      </c>
      <c r="AF39" t="inlineStr">
        <is>
          <t>https://www.marches-publics.info/mpiaws/index.cfm?fuseaction=dematEnt.login&amp;amp;type=DCE&amp;amp;IDM=1858330</t>
        </is>
      </c>
      <c r="AG39" t="inlineStr">
        <is>
          <t>nettoyage</t>
        </is>
      </c>
      <c r="AH39" t="inlineStr">
        <is>
          <t>2</t>
        </is>
      </c>
      <c r="AI39" t="inlineStr">
        <is>
          <t>58</t>
        </is>
      </c>
      <c r="AJ39" t="inlineStr">
        <is>
          <t>INFO_PARTIELLE</t>
        </is>
      </c>
      <c r="AK39" t="inlineStr">
        <is>
          <t>52.8</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26-77541. Objet: Le présent contrat a pour objet la délégation de l'exploitation du Centre Départemental d'initiation au golf de la Poudrerie à Livry-Gargan. Acheteur: Département de la Seine-Saint-Denis. Lien: https://www.boamp.fr/pages/avis/?q=idweb:26-77541.</t>
        </is>
      </c>
      <c r="AU39" t="inlineStr">
        <is>
          <t>Verifier url_avis et DCE si disponible</t>
        </is>
      </c>
      <c r="AV39" t="inlineStr">
        <is>
          <t>LIEN_SEUL</t>
        </is>
      </c>
      <c r="AW39" t="inlineStr"/>
      <c r="AX39" t="inlineStr"/>
      <c r="AY39" t="inlineStr"/>
      <c r="AZ39" t="inlineStr"/>
      <c r="BA39" t="inlineStr"/>
      <c r="BB39" t="inlineStr">
        <is>
          <t>+33.5 nettoyage + categorie claire (1 termes) | +10 budget non affiche (a verifier) | +7.8 delai 21 j | +1.5 dossier renseigne (3/4)</t>
        </is>
      </c>
      <c r="BC39" t="inlineStr">
        <is>
          <t>Département de la Seine-Saint-Denis publie un AO potentiellement pertinent pour CHRUTH : Le présent contrat a pour objet la délégation de l'exploitation du Centre Départemental d'initiation au golf de la Poudrerie à Livry-Gargan. Zone : 93. Budget a verifier. Verifier le lien source avant contact.</t>
        </is>
      </c>
      <c r="BD39" t="inlineStr">
        <is>
          <t>Bonjour,
Je me permets de vous contacter au sujet de votre appel d'offres : Le présent contrat a pour objet la délégation de l'exploitation du Centre Départemental d'initiation au golf de la Poudrerie à Livry-Gargan.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9"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2026-W32</t>
        </is>
      </c>
    </row>
    <row r="40">
      <c r="A40" t="inlineStr">
        <is>
          <t>BOAMP</t>
        </is>
      </c>
      <c r="B40" t="inlineStr">
        <is>
          <t>26-77581</t>
        </is>
      </c>
      <c r="C40" t="inlineStr">
        <is>
          <t>Marché de service de nettoyage de divers locaux communaux de la commune de Marcoussis</t>
        </is>
      </c>
      <c r="D40" t="inlineStr">
        <is>
          <t>COMMUNE DE MARCOUSSIS</t>
        </is>
      </c>
      <c r="E40" t="inlineStr">
        <is>
          <t>21910363700019</t>
        </is>
      </c>
      <c r="F40" t="inlineStr">
        <is>
          <t>219103637</t>
        </is>
      </c>
      <c r="G40" t="inlineStr"/>
      <c r="H40" t="inlineStr"/>
      <c r="I40" t="inlineStr">
        <is>
          <t>affairesjuridiques@marcoussis.fr</t>
        </is>
      </c>
      <c r="J40" t="inlineStr">
        <is>
          <t>0363700019</t>
        </is>
      </c>
      <c r="K40" t="inlineStr"/>
      <c r="L40" t="inlineStr"/>
      <c r="M40" t="inlineStr"/>
      <c r="N40" t="inlineStr">
        <is>
          <t>91</t>
        </is>
      </c>
      <c r="O40" t="inlineStr"/>
      <c r="P40" t="inlineStr">
        <is>
          <t>Ile-de-France</t>
        </is>
      </c>
      <c r="Q40" s="15" t="n">
        <v>46239</v>
      </c>
      <c r="R40" s="15" t="n">
        <v>46272</v>
      </c>
      <c r="S40" t="inlineStr"/>
      <c r="T40" t="inlineStr">
        <is>
          <t>A_VERIFIER_BUDGET</t>
        </is>
      </c>
      <c r="U40" t="inlineStr"/>
      <c r="V40" t="inlineStr">
        <is>
          <t>non</t>
        </is>
      </c>
      <c r="W40" t="inlineStr">
        <is>
          <t>Vitres</t>
        </is>
      </c>
      <c r="X40" t="inlineStr">
        <is>
          <t>Mairie</t>
        </is>
      </c>
      <c r="Y40" t="inlineStr">
        <is>
          <t>SERVICES</t>
        </is>
      </c>
      <c r="Z40" t="inlineStr">
        <is>
          <t>Procédure Ouverte</t>
        </is>
      </c>
      <c r="AA40" t="inlineStr">
        <is>
          <t>Avis de marché</t>
        </is>
      </c>
      <c r="AB40" t="inlineStr">
        <is>
          <t>Nettoyage de locaux</t>
        </is>
      </c>
      <c r="AC40" t="inlineStr">
        <is>
          <t>['sociaux', 'environnementaux']</t>
        </is>
      </c>
      <c r="AD40" s="11" t="inlineStr">
        <is>
          <t>https://www.boamp.fr/pages/avis/?q=idweb:26-77581</t>
        </is>
      </c>
      <c r="AE40" t="inlineStr">
        <is>
          <t>https://marcoussis.fr/</t>
        </is>
      </c>
      <c r="AF40" t="inlineStr"/>
      <c r="AG40" t="inlineStr">
        <is>
          <t>nettoyage</t>
        </is>
      </c>
      <c r="AH40" t="inlineStr">
        <is>
          <t>3</t>
        </is>
      </c>
      <c r="AI40" t="inlineStr">
        <is>
          <t>68</t>
        </is>
      </c>
      <c r="AJ40" t="inlineStr">
        <is>
          <t>INFO_PARTIELLE</t>
        </is>
      </c>
      <c r="AK40" t="inlineStr">
        <is>
          <t>52.0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26-77581. Objet: Marché de service de nettoyage de divers locaux communaux de la commune de Marcoussis. Acheteur: COMMUNE DE MARCOUSSIS. Lien: https://www.boamp.fr/pages/avis/?q=idweb:26-77581.</t>
        </is>
      </c>
      <c r="AU40" t="inlineStr">
        <is>
          <t>Verifier url_avis et DCE si disponible</t>
        </is>
      </c>
      <c r="AV40" t="inlineStr">
        <is>
          <t>LIEN_SEUL</t>
        </is>
      </c>
      <c r="AW40" t="inlineStr"/>
      <c r="AX40" t="inlineStr"/>
      <c r="AY40" t="inlineStr"/>
      <c r="AZ40" t="inlineStr"/>
      <c r="BA40" t="inlineStr"/>
      <c r="BB40" t="inlineStr">
        <is>
          <t>+33.5 nettoyage + categorie claire (1 termes) | +10 budget non affiche (a verifier) | +10 secteur cible Mairie | -3.0 delai 7 j | +1.5 dossier renseigne (3/4)</t>
        </is>
      </c>
      <c r="BC40" t="inlineStr">
        <is>
          <t>COMMUNE DE MARCOUSSIS publie un AO potentiellement pertinent pour CHRUTH : Marché de service de nettoyage de divers locaux communaux de la commune de Marcoussis. Zone : 91. Budget a verifier. Verifier le lien source avant contact.</t>
        </is>
      </c>
      <c r="BD40" t="inlineStr">
        <is>
          <t>Bonjour,
Je me permets de vous contacter au sujet de votre appel d'offres : Marché de service de nettoyage de divers locaux communaux de la commune de Marcoussis.
CHRUTH accompagne les structures publiques et privées sur les besoins de nettoyage, d'entretien des locaux et d'organisation de prestations de service.
Serait-il possible d'échanger rapidement afin de vérifier les modalités de réponse et les attentes de COMMUNE DE MARCOUSSIS ?
Cordialement,</t>
        </is>
      </c>
      <c r="BE40" t="inlineStr">
        <is>
          <t>Bonjour, je vous appelle concernant un appel d'offres publié par COMMUNE DE MARCOUSSIS.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2026-W32</t>
        </is>
      </c>
    </row>
    <row r="41">
      <c r="A41" t="inlineStr">
        <is>
          <t>BOAMP</t>
        </is>
      </c>
      <c r="B41" t="inlineStr">
        <is>
          <t>26-72690</t>
        </is>
      </c>
      <c r="C41" t="inlineStr">
        <is>
          <t>Service de mise à disposition de personnel</t>
        </is>
      </c>
      <c r="D41" t="inlineStr">
        <is>
          <t>Mairie d&amp;#039;ANTONY</t>
        </is>
      </c>
      <c r="E41" t="inlineStr">
        <is>
          <t>21920002900011</t>
        </is>
      </c>
      <c r="F41" t="inlineStr">
        <is>
          <t>219200029</t>
        </is>
      </c>
      <c r="G41" t="inlineStr"/>
      <c r="H41" t="inlineStr"/>
      <c r="I41" t="inlineStr">
        <is>
          <t>marchespublics@ville-antony.fr</t>
        </is>
      </c>
      <c r="J41" t="inlineStr">
        <is>
          <t>+33 140966840</t>
        </is>
      </c>
      <c r="K41" t="inlineStr"/>
      <c r="L41" t="inlineStr"/>
      <c r="M41" t="inlineStr"/>
      <c r="N41" t="inlineStr">
        <is>
          <t>92</t>
        </is>
      </c>
      <c r="O41" t="inlineStr"/>
      <c r="P41" t="inlineStr">
        <is>
          <t>Ile-de-France</t>
        </is>
      </c>
      <c r="Q41" s="15" t="n">
        <v>46225</v>
      </c>
      <c r="R41" s="15" t="n">
        <v>46274</v>
      </c>
      <c r="S41" s="14" t="n">
        <v>150000</v>
      </c>
      <c r="T41" t="inlineStr">
        <is>
          <t>BUDGET_EXPLICITE_OK</t>
        </is>
      </c>
      <c r="U41" t="inlineStr">
        <is>
          <t>37500</t>
        </is>
      </c>
      <c r="V41" t="inlineStr">
        <is>
          <t>oui</t>
        </is>
      </c>
      <c r="W41" t="inlineStr">
        <is>
          <t>Personnel</t>
        </is>
      </c>
      <c r="X41" t="inlineStr">
        <is>
          <t>Mairie</t>
        </is>
      </c>
      <c r="Y41" t="inlineStr">
        <is>
          <t>SERVICES</t>
        </is>
      </c>
      <c r="Z41" t="inlineStr">
        <is>
          <t>Procédure Ouverte</t>
        </is>
      </c>
      <c r="AA41" t="inlineStr">
        <is>
          <t>Avis de marché</t>
        </is>
      </c>
      <c r="AB41" t="inlineStr">
        <is>
          <t>Mise à disposition de personnel</t>
        </is>
      </c>
      <c r="AC41" t="inlineStr"/>
      <c r="AD41" s="11" t="inlineStr">
        <is>
          <t>https://www.boamp.fr/pages/avis/?q=idweb:26-72690</t>
        </is>
      </c>
      <c r="AE41" t="inlineStr">
        <is>
          <t>https://marches.maximilien.fr/</t>
        </is>
      </c>
      <c r="AF41" t="inlineStr">
        <is>
          <t>https://marches.maximilien.fr/</t>
        </is>
      </c>
      <c r="AG41" t="inlineStr"/>
      <c r="AH41" t="inlineStr">
        <is>
          <t>3</t>
        </is>
      </c>
      <c r="AI41" t="inlineStr">
        <is>
          <t>60</t>
        </is>
      </c>
      <c r="AJ41" t="inlineStr">
        <is>
          <t>INFO_PARTIELLE</t>
        </is>
      </c>
      <c r="AK41" t="inlineStr">
        <is>
          <t>45</t>
        </is>
      </c>
      <c r="AL41" t="inlineStr">
        <is>
          <t>TIEDE</t>
        </is>
      </c>
      <c r="AM41" t="inlineStr"/>
      <c r="AN41" t="inlineStr"/>
      <c r="AO41" t="inlineStr"/>
      <c r="AP41" t="inlineStr"/>
      <c r="AQ41" t="inlineStr">
        <is>
          <t>IA_CONTACT_A_COMPLETER</t>
        </is>
      </c>
      <c r="AR41" t="inlineStr">
        <is>
          <t>Completer les champs manquants depuis l'avis source, le site acheteur ou le DCE.</t>
        </is>
      </c>
      <c r="AS41" t="inlineStr">
        <is>
          <t>adresse, ville</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41" t="inlineStr">
        <is>
          <t>Verifier url_avis et DCE si disponible</t>
        </is>
      </c>
      <c r="AV41" t="inlineStr"/>
      <c r="AW41" t="inlineStr"/>
      <c r="AX41" t="inlineStr"/>
      <c r="AY41" t="inlineStr"/>
      <c r="AZ41" t="inlineStr"/>
      <c r="BA41" t="inlineStr"/>
      <c r="BB41" t="inlineStr">
        <is>
          <t>0 pertinence metier faible | +25 budget annualise &lt;= 50 000 EUR | +10 secteur cible Mairie | +10 delai confortable 43j</t>
        </is>
      </c>
      <c r="BC41" t="inlineStr">
        <is>
          <t>Mairie d&amp;#039;ANTONY publie un AO potentiellement pertinent pour CHRUTH : Service de mise à disposition de personnel. Zone : 92. Budget detecte environ 150 000 EUR. Verifier le lien source avant contact.</t>
        </is>
      </c>
      <c r="BD41"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41"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2026-W30</t>
        </is>
      </c>
    </row>
    <row r="42">
      <c r="A42" t="inlineStr">
        <is>
          <t>BOAMP</t>
        </is>
      </c>
      <c r="B42" t="inlineStr">
        <is>
          <t>26-70805</t>
        </is>
      </c>
      <c r="C42" t="inlineStr">
        <is>
          <t>Prestation de paie externalisée</t>
        </is>
      </c>
      <c r="D42" t="inlineStr">
        <is>
          <t>Les Eaux de la Confluence</t>
        </is>
      </c>
      <c r="E42" t="inlineStr">
        <is>
          <t>10133050400016</t>
        </is>
      </c>
      <c r="F42" t="inlineStr">
        <is>
          <t>101330504</t>
        </is>
      </c>
      <c r="G42" t="inlineStr">
        <is>
          <t>Service achat</t>
        </is>
      </c>
      <c r="H42" t="inlineStr"/>
      <c r="I42" t="inlineStr">
        <is>
          <t>juliette.gontier@leseauxdelaconfluence.fr</t>
        </is>
      </c>
      <c r="J42" t="inlineStr">
        <is>
          <t>0133050400</t>
        </is>
      </c>
      <c r="K42" t="inlineStr">
        <is>
          <t>(95) Val-d'Oise</t>
        </is>
      </c>
      <c r="L42" t="inlineStr">
        <is>
          <t>95027</t>
        </is>
      </c>
      <c r="M42" t="inlineStr">
        <is>
          <t>Cergy-Pontoise</t>
        </is>
      </c>
      <c r="N42" t="inlineStr">
        <is>
          <t>95</t>
        </is>
      </c>
      <c r="O42" t="inlineStr"/>
      <c r="P42" t="inlineStr">
        <is>
          <t>Ile-de-France</t>
        </is>
      </c>
      <c r="Q42" s="15" t="n">
        <v>46219</v>
      </c>
      <c r="R42" s="15" t="n">
        <v>46240</v>
      </c>
      <c r="S42" s="14" t="n">
        <v>95027</v>
      </c>
      <c r="T42" t="inlineStr">
        <is>
          <t>BUDGET_SOUS_SEUIL</t>
        </is>
      </c>
      <c r="U42" t="inlineStr">
        <is>
          <t>190054</t>
        </is>
      </c>
      <c r="V42" t="inlineStr">
        <is>
          <t>oui</t>
        </is>
      </c>
      <c r="W42" t="inlineStr">
        <is>
          <t>Batiments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https://www.boamp.fr/pages/avis/?q=idweb:26-70805</t>
        </is>
      </c>
      <c r="AE42" t="inlineStr">
        <is>
          <t>https://marches.maximilien.fr/entreprise/consultation/943427?orgAcronyme=a7q</t>
        </is>
      </c>
      <c r="AF42" t="inlineStr">
        <is>
          <t>https://marches.maximilien.fr/entreprise/consultation/943427?orgAcronyme=a7q</t>
        </is>
      </c>
      <c r="AG42" t="inlineStr">
        <is>
          <t>nettoyage</t>
        </is>
      </c>
      <c r="AH42" t="inlineStr">
        <is>
          <t>6</t>
        </is>
      </c>
      <c r="AI42" t="inlineStr">
        <is>
          <t>98</t>
        </is>
      </c>
      <c r="AJ42" t="inlineStr">
        <is>
          <t>INFO_PARTIELLE</t>
        </is>
      </c>
      <c r="AK42" t="inlineStr">
        <is>
          <t>45</t>
        </is>
      </c>
      <c r="AL42" t="inlineStr">
        <is>
          <t>TIEDE</t>
        </is>
      </c>
      <c r="AM42" t="inlineStr"/>
      <c r="AN42" t="inlineStr"/>
      <c r="AO42" t="inlineStr"/>
      <c r="AP42" t="inlineStr"/>
      <c r="AQ42" t="inlineStr">
        <is>
          <t>IA_CONTROLE_SOURCE</t>
        </is>
      </c>
      <c r="AR42" t="inlineStr">
        <is>
          <t>Verifier rapidement la source avant contact.</t>
        </is>
      </c>
      <c r="AS42" t="inlineStr">
        <is>
          <t>Aucun champ critique manquant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42" t="inlineStr">
        <is>
          <t>Verifier url_avis et DCE si disponible</t>
        </is>
      </c>
      <c r="AV42" t="inlineStr"/>
      <c r="AW42" t="inlineStr"/>
      <c r="AX42" t="inlineStr"/>
      <c r="AY42" t="inlineStr"/>
      <c r="AZ42" t="inlineStr"/>
      <c r="BA42" t="inlineStr"/>
      <c r="BB42" t="inlineStr">
        <is>
          <t>+35 nettoyage + categorie claire | +5 budget annualise &lt;= 200 000 EUR | +5 delai court 9j</t>
        </is>
      </c>
      <c r="BC42" t="inlineStr">
        <is>
          <t>Les Eaux de la Confluence publie un AO potentiellement pertinent pour CHRUTH : Prestation de paie externalisée. Zone : Cergy-Pontoise. Budget detecte environ 95 027 EUR. Verifier le lien source avant contact.</t>
        </is>
      </c>
      <c r="BD42"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42"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2026-W29</t>
        </is>
      </c>
    </row>
    <row r="43">
      <c r="A43" t="inlineStr">
        <is>
          <t>BOAMP</t>
        </is>
      </c>
      <c r="B43" t="inlineStr">
        <is>
          <t>26-77150</t>
        </is>
      </c>
      <c r="C43" t="inlineStr">
        <is>
          <t>Maintenance des installations frigorifiques de la patinoire</t>
        </is>
      </c>
      <c r="D43" t="inlineStr">
        <is>
          <t>Ville de Franconville-la-Garenne</t>
        </is>
      </c>
      <c r="E43" t="inlineStr"/>
      <c r="F43" t="inlineStr"/>
      <c r="G43" t="inlineStr"/>
      <c r="H43" t="inlineStr"/>
      <c r="I43" t="inlineStr">
        <is>
          <t>publications-joue@aws-france.com</t>
        </is>
      </c>
      <c r="J43" t="inlineStr">
        <is>
          <t>+33480041260</t>
        </is>
      </c>
      <c r="K43" t="inlineStr"/>
      <c r="L43" t="inlineStr"/>
      <c r="M43" t="inlineStr"/>
      <c r="N43" t="inlineStr">
        <is>
          <t>95</t>
        </is>
      </c>
      <c r="O43" t="inlineStr"/>
      <c r="P43" t="inlineStr">
        <is>
          <t>Ile-de-France</t>
        </is>
      </c>
      <c r="Q43" s="15" t="n">
        <v>46236</v>
      </c>
      <c r="R43" s="15" t="n">
        <v>46269</v>
      </c>
      <c r="S43" t="inlineStr"/>
      <c r="T43" t="inlineStr">
        <is>
          <t>A_VERIFIER_BUDGET</t>
        </is>
      </c>
      <c r="U43" t="inlineStr"/>
      <c r="V43" t="inlineStr">
        <is>
          <t>non</t>
        </is>
      </c>
      <c r="W43" t="inlineStr">
        <is>
          <t>Batiments</t>
        </is>
      </c>
      <c r="X43" t="inlineStr">
        <is>
          <t>Mairie</t>
        </is>
      </c>
      <c r="Y43" t="inlineStr">
        <is>
          <t>SERVICES</t>
        </is>
      </c>
      <c r="Z43" t="inlineStr">
        <is>
          <t>Procédure Ouverte</t>
        </is>
      </c>
      <c r="AA43" t="inlineStr">
        <is>
          <t>Avis de marché</t>
        </is>
      </c>
      <c r="AB43" t="inlineStr">
        <is>
          <t>Chambre froide, Equipement sportif, Maintenance</t>
        </is>
      </c>
      <c r="AC43" t="inlineStr">
        <is>
          <t>['environnementaux']</t>
        </is>
      </c>
      <c r="AD43" s="11" t="inlineStr">
        <is>
          <t>https://www.boamp.fr/pages/avis/?q=idweb:26-77150</t>
        </is>
      </c>
      <c r="AE43" t="inlineStr">
        <is>
          <t>http://agysoft.marches-publics.info/</t>
        </is>
      </c>
      <c r="AF43" t="inlineStr">
        <is>
          <t>http://agysoft.marches-publics.info/</t>
        </is>
      </c>
      <c r="AG43" t="inlineStr">
        <is>
          <t>proprete</t>
        </is>
      </c>
      <c r="AH43" t="inlineStr">
        <is>
          <t>2</t>
        </is>
      </c>
      <c r="AI43" t="inlineStr">
        <is>
          <t>58</t>
        </is>
      </c>
      <c r="AJ43" t="inlineStr">
        <is>
          <t>INFO_PARTIELLE</t>
        </is>
      </c>
      <c r="AK43" t="inlineStr">
        <is>
          <t>44.0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SIRET, 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26-77150. Objet: Maintenance des installations frigorifiques de la patinoire. Acheteur: Ville de Franconville-la-Garenne. Lien: https://www.boamp.fr/pages/avis/?q=idweb:26-77150.</t>
        </is>
      </c>
      <c r="AU43" t="inlineStr">
        <is>
          <t>Verifier url_avis et DCE si disponible</t>
        </is>
      </c>
      <c r="AV43" t="inlineStr">
        <is>
          <t>LIEN_SEUL</t>
        </is>
      </c>
      <c r="AW43" t="inlineStr"/>
      <c r="AX43" t="inlineStr"/>
      <c r="AY43" t="inlineStr"/>
      <c r="AZ43" t="inlineStr"/>
      <c r="BA43" t="inlineStr"/>
      <c r="BB43" t="inlineStr">
        <is>
          <t>+33.5 nettoyage + categorie claire (1 termes) | +10 budget non affiche (a verifier) | +10 secteur cible Mairie | -11.0 delai 4 j | +1.5 dossier renseigne (3/4)</t>
        </is>
      </c>
      <c r="BC43" t="inlineStr">
        <is>
          <t>Ville de Franconville-la-Garenne publie un AO potentiellement pertinent pour CHRUTH : Maintenance des installations frigorifiques de la patinoire. Zone : 95. Budget a verifier. Verifier le lien source avant contact.</t>
        </is>
      </c>
      <c r="BD43" t="inlineStr">
        <is>
          <t>Bonjour,
Je me permets de vous contacter au sujet de votre appel d'offres : Maintenance des installations frigorifiques de la patinoire.
CHRUTH accompagne les structures publiques et privées sur les besoins de nettoyage, d'entretien des locaux et d'organisation de prestations de service.
Serait-il possible d'échanger rapidement afin de vérifier les modalités de réponse et les attentes de Ville de Franconville-la-Garenne ?
Cordialement,</t>
        </is>
      </c>
      <c r="BE43" t="inlineStr">
        <is>
          <t>Bonjour, je vous appelle concernant un appel d'offres publié par Ville de Franconville-la-Garenne.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2026-W31</t>
        </is>
      </c>
    </row>
    <row r="44">
      <c r="A44" t="inlineStr">
        <is>
          <t>BOAMP</t>
        </is>
      </c>
      <c r="B44" t="inlineStr">
        <is>
          <t>26-83490</t>
        </is>
      </c>
      <c r="C44" t="inlineStr">
        <is>
          <t>Nettoyage des bâtiments scolaires élémentaires, des accueils de loisirs et des gymnases intégrés</t>
        </is>
      </c>
      <c r="D44" t="inlineStr">
        <is>
          <t>COMMUNE NOUVELLE DE SAINT-DENIS</t>
        </is>
      </c>
      <c r="E44" t="inlineStr">
        <is>
          <t>92993941100013</t>
        </is>
      </c>
      <c r="F44" t="inlineStr">
        <is>
          <t>929939411</t>
        </is>
      </c>
      <c r="G44" t="inlineStr"/>
      <c r="H44" t="inlineStr"/>
      <c r="I44" t="inlineStr">
        <is>
          <t>mp_achats@saintdenis.fr</t>
        </is>
      </c>
      <c r="J44" t="inlineStr">
        <is>
          <t>0149336611</t>
        </is>
      </c>
      <c r="K44" t="inlineStr"/>
      <c r="L44" t="inlineStr"/>
      <c r="M44" t="inlineStr"/>
      <c r="N44" t="inlineStr">
        <is>
          <t>93,74,75,77</t>
        </is>
      </c>
      <c r="O44" t="inlineStr"/>
      <c r="P44" t="inlineStr">
        <is>
          <t>Ile-de-France</t>
        </is>
      </c>
      <c r="Q44" s="15" t="n">
        <v>46262</v>
      </c>
      <c r="R44" s="15" t="n">
        <v>46293</v>
      </c>
      <c r="S44" s="14" t="n">
        <v>950000</v>
      </c>
      <c r="T44" t="inlineStr">
        <is>
          <t>BUDGET_EXPLICITE_OK</t>
        </is>
      </c>
      <c r="U44" t="inlineStr">
        <is>
          <t>237500</t>
        </is>
      </c>
      <c r="V44" t="inlineStr">
        <is>
          <t>oui</t>
        </is>
      </c>
      <c r="W44" t="inlineStr">
        <is>
          <t>Batiments</t>
        </is>
      </c>
      <c r="X44" t="inlineStr">
        <is>
          <t>Autre</t>
        </is>
      </c>
      <c r="Y44" t="inlineStr">
        <is>
          <t>SERVICES</t>
        </is>
      </c>
      <c r="Z44" t="inlineStr">
        <is>
          <t>Procédure Ouverte</t>
        </is>
      </c>
      <c r="AA44" t="inlineStr">
        <is>
          <t>Avis de marché</t>
        </is>
      </c>
      <c r="AB44" t="inlineStr">
        <is>
          <t>Nettoyage de locaux</t>
        </is>
      </c>
      <c r="AC44" t="inlineStr">
        <is>
          <t>['sociaux', 'environnementaux']</t>
        </is>
      </c>
      <c r="AD44" s="11" t="inlineStr">
        <is>
          <t>https://www.boamp.fr/pages/avis/?q=idweb:26-83490</t>
        </is>
      </c>
      <c r="AE44" t="inlineStr">
        <is>
          <t>https://marches.maximilien.fr/?page=Entreprise.EntrepriseAdvancedSearch&amp;AllCons&amp;id=944212&amp;orgAcronyme=a6q</t>
        </is>
      </c>
      <c r="AF44" t="inlineStr">
        <is>
          <t>https://marches.maximilien.fr/?page=Entreprise.EntrepriseAdvancedSearch&amp;AllCons&amp;id=944212&amp;orgAcronyme=a6q</t>
        </is>
      </c>
      <c r="AG44" t="inlineStr">
        <is>
          <t>nettoyage</t>
        </is>
      </c>
      <c r="AH44" t="inlineStr">
        <is>
          <t>3</t>
        </is>
      </c>
      <c r="AI44" t="inlineStr">
        <is>
          <t>68</t>
        </is>
      </c>
      <c r="AJ44" t="inlineStr">
        <is>
          <t>INFO_PARTIELLE</t>
        </is>
      </c>
      <c r="AK44" t="inlineStr">
        <is>
          <t>42.9</t>
        </is>
      </c>
      <c r="AL44" t="inlineStr">
        <is>
          <t>TIEDE</t>
        </is>
      </c>
      <c r="AM44" t="inlineStr"/>
      <c r="AN44" t="inlineStr"/>
      <c r="AO44" t="inlineStr"/>
      <c r="AP44" t="inlineStr"/>
      <c r="AQ44" t="inlineStr">
        <is>
          <t>IA_CONTACT_A_COMPLETER</t>
        </is>
      </c>
      <c r="AR44" t="inlineStr">
        <is>
          <t>Completer les champs manquants depuis l'avis source, le site acheteur ou le DCE.</t>
        </is>
      </c>
      <c r="AS44" t="inlineStr">
        <is>
          <t>adresse, ville</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26-83490. Objet: Nettoyage des bâtiments scolaires élémentaires, des accueils de loisirs et des gymnases intégrés. Acheteur: COMMUNE NOUVELLE DE SAINT-DENIS. Lien: https://www.boamp.fr/pages/avis/?q=idweb:26-83490.</t>
        </is>
      </c>
      <c r="AU44" t="inlineStr">
        <is>
          <t>Verifier url_avis et DCE si disponible</t>
        </is>
      </c>
      <c r="AV44" t="inlineStr"/>
      <c r="AW44" t="inlineStr"/>
      <c r="AX44" t="inlineStr"/>
      <c r="AY44" t="inlineStr"/>
      <c r="AZ44" t="inlineStr"/>
      <c r="BA44" t="inlineStr"/>
      <c r="BB44" t="inlineStr">
        <is>
          <t>+33.5 nettoyage + categorie claire (1 termes) | -1.6 budget annualise 237 500 EUR | +9.5 delai 28 j | +1.5 dossier renseigne (3/4)</t>
        </is>
      </c>
      <c r="BC44" t="inlineStr">
        <is>
          <t>COMMUNE NOUVELLE DE SAINT-DENIS publie un AO potentiellement pertinent pour CHRUTH : Nettoyage des bâtiments scolaires élémentaires, des accueils de loisirs et des gymnases intégrés. Zone : 93,74,75,77. Budget detecte environ 950 000 EUR. Verifier le lien source avant contact.</t>
        </is>
      </c>
      <c r="BD44" t="inlineStr">
        <is>
          <t>Bonjour,
Je me permets de vous contacter au sujet de votre appel d'offres : Nettoyage des bâtiments scolaires élémentaires, des accueils de loisirs et des gymnases intégrés.
CHRUTH accompagne les structures publiques et privées sur les besoins de nettoyage, d'entretien des locaux et d'organisation de prestations de service.
Serait-il possible d'échanger rapidement afin de vérifier les modalités de réponse et les attentes de COMMUNE NOUVELLE DE SAINT-DENIS ?
Cordialement,</t>
        </is>
      </c>
      <c r="BE44" t="inlineStr">
        <is>
          <t>Bonjour, je vous appelle concernant un appel d'offres publié par COMMUNE NOUVELLE DE SAINT-DENIS. Je souhaite vérifier les informations pratiques : périmètre des prestations, date limite, modalités de visite, contact technique et pièces attendues. Pouvez-vous m'indiquer la bonne personne à contacter ?</t>
        </is>
      </c>
      <c r="BF44" t="inlineStr"/>
      <c r="BG44" t="inlineStr"/>
      <c r="BH44" t="inlineStr"/>
      <c r="BI44" t="inlineStr"/>
      <c r="BJ44" t="inlineStr"/>
      <c r="BK44" t="inlineStr"/>
      <c r="BL44" t="inlineStr"/>
      <c r="BM44" t="inlineStr">
        <is>
          <t>2026-W35</t>
        </is>
      </c>
    </row>
    <row r="45">
      <c r="A45" t="inlineStr">
        <is>
          <t>BOAMP</t>
        </is>
      </c>
      <c r="B45" t="inlineStr">
        <is>
          <t>26-83694</t>
        </is>
      </c>
      <c r="C45" t="inlineStr">
        <is>
          <t>26SF09 - Maintenance du mobilier auto-relevable ou coulissant et du TCSP de la Communauté d'Agglomération de Cergy-Pontoise</t>
        </is>
      </c>
      <c r="D45" t="inlineStr">
        <is>
          <t>Communauté  d'Agglomération de Cergy-Pontoise</t>
        </is>
      </c>
      <c r="E45" t="inlineStr"/>
      <c r="F45" t="inlineStr"/>
      <c r="G45" t="inlineStr"/>
      <c r="H45" t="inlineStr"/>
      <c r="I45" t="inlineStr">
        <is>
          <t>publications-joue@aws-france.com</t>
        </is>
      </c>
      <c r="J45" t="inlineStr">
        <is>
          <t>+33480041260</t>
        </is>
      </c>
      <c r="K45" t="inlineStr"/>
      <c r="L45" t="inlineStr"/>
      <c r="M45" t="inlineStr"/>
      <c r="N45" t="inlineStr">
        <is>
          <t>95</t>
        </is>
      </c>
      <c r="O45" t="inlineStr"/>
      <c r="P45" t="inlineStr">
        <is>
          <t>Ile-de-France</t>
        </is>
      </c>
      <c r="Q45" s="15" t="n">
        <v>46262</v>
      </c>
      <c r="R45" s="15" t="n">
        <v>46295</v>
      </c>
      <c r="S45" s="14" t="n">
        <v>200000</v>
      </c>
      <c r="T45" t="inlineStr">
        <is>
          <t>BUDGET_EXPLICITE_OK</t>
        </is>
      </c>
      <c r="U45" t="inlineStr">
        <is>
          <t>200000</t>
        </is>
      </c>
      <c r="V45" t="inlineStr">
        <is>
          <t>oui</t>
        </is>
      </c>
      <c r="W45" t="inlineStr">
        <is>
          <t>Mixte/Autre</t>
        </is>
      </c>
      <c r="X45" t="inlineStr">
        <is>
          <t>Autre</t>
        </is>
      </c>
      <c r="Y45" t="inlineStr">
        <is>
          <t>SERVICES</t>
        </is>
      </c>
      <c r="Z45" t="inlineStr">
        <is>
          <t>Procédure Ouverte</t>
        </is>
      </c>
      <c r="AA45" t="inlineStr">
        <is>
          <t>Avis de marché</t>
        </is>
      </c>
      <c r="AB45" t="inlineStr">
        <is>
          <t>Maintenance</t>
        </is>
      </c>
      <c r="AC45" t="inlineStr">
        <is>
          <t>['environnementaux']</t>
        </is>
      </c>
      <c r="AD45" s="11" t="inlineStr">
        <is>
          <t>https://www.boamp.fr/pages/avis/?q=idweb:26-83694</t>
        </is>
      </c>
      <c r="AE45" t="inlineStr">
        <is>
          <t>https://www.marches-publics.info/mpiaws/index.cfm?fuseaction=dematEnt.login&amp;amp;type=DCE&amp;amp;IDM=1865399</t>
        </is>
      </c>
      <c r="AF45" t="inlineStr">
        <is>
          <t>https://www.marches-publics.info/mpiaws/index.cfm?fuseaction=dematEnt.login&amp;amp;type=DCE&amp;amp;IDM=1865399</t>
        </is>
      </c>
      <c r="AG45" t="inlineStr">
        <is>
          <t>nettoyage</t>
        </is>
      </c>
      <c r="AH45" t="inlineStr">
        <is>
          <t>2</t>
        </is>
      </c>
      <c r="AI45" t="inlineStr">
        <is>
          <t>58</t>
        </is>
      </c>
      <c r="AJ45" t="inlineStr">
        <is>
          <t>INFO_PARTIELLE</t>
        </is>
      </c>
      <c r="AK45" t="inlineStr">
        <is>
          <t>41.2</t>
        </is>
      </c>
      <c r="AL45" t="inlineStr">
        <is>
          <t>TIEDE</t>
        </is>
      </c>
      <c r="AM45" t="inlineStr"/>
      <c r="AN45" t="inlineStr"/>
      <c r="AO45" t="inlineStr"/>
      <c r="AP45" t="inlineStr"/>
      <c r="AQ45" t="inlineStr">
        <is>
          <t>IA_CONTACT_A_COMPLETER</t>
        </is>
      </c>
      <c r="AR45" t="inlineStr">
        <is>
          <t>Completer les champs manquants depuis l'avis source, le site acheteur ou le DCE.</t>
        </is>
      </c>
      <c r="AS45" t="inlineStr">
        <is>
          <t>SIRET, 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26-83694. Objet: 26SF09 - Maintenance du mobilier auto-relevable ou coulissant et du TCSP de la Communauté d'Agglomération de Cergy-Pontoise. Acheteur: Communauté  d'Agglomération de Cergy-Pontoise. Lien: https://www.boamp.fr/pages/avis/?q=idweb:26-83694.</t>
        </is>
      </c>
      <c r="AU45" t="inlineStr">
        <is>
          <t>Verifier url_avis et DCE si disponible</t>
        </is>
      </c>
      <c r="AV45" t="inlineStr"/>
      <c r="AW45" t="inlineStr"/>
      <c r="AX45" t="inlineStr"/>
      <c r="AY45" t="inlineStr"/>
      <c r="AZ45" t="inlineStr"/>
      <c r="BA45" t="inlineStr"/>
      <c r="BB45" t="inlineStr">
        <is>
          <t>+28.5 mots-cles nettoyage forts (1 termes) | +1.2 budget annualise 200 000 EUR | +10.0 delai 30 j | +1.5 dossier renseigne (3/4)</t>
        </is>
      </c>
      <c r="BC45" t="inlineStr">
        <is>
          <t>Communauté  d'Agglomération de Cergy-Pontoise publie un AO potentiellement pertinent pour CHRUTH : 26SF09 - Maintenance du mobilier auto-relevable ou coulissant et du TCSP de la Communauté d'Agglomération de Cergy-Pontoise. Zone : 95. Budget detecte environ 200 000 EUR. Verifier le lien source avant contact.</t>
        </is>
      </c>
      <c r="BD45" t="inlineStr">
        <is>
          <t>Bonjour,
Je me permets de vous contacter au sujet de votre appel d'offres : 26SF09 - Maintenance du mobilier auto-relevable ou coulissant et du TCSP de la Communauté d'Agglomération de Cergy-Pontoise.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de Cergy-Pontoise ?
Cordialement,</t>
        </is>
      </c>
      <c r="BE45" t="inlineStr">
        <is>
          <t>Bonjour, je vous appelle concernant un appel d'offres publié par Communauté  d'Agglomération de Cergy-Pontoise.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2026-W35</t>
        </is>
      </c>
    </row>
    <row r="46">
      <c r="A46" t="inlineStr">
        <is>
          <t>BOAMP</t>
        </is>
      </c>
      <c r="B46" t="inlineStr">
        <is>
          <t>26-70259</t>
        </is>
      </c>
      <c r="C46" t="inlineStr">
        <is>
          <t>Marché de prestations de gardiennage lors de manifestations sur sites
Le titulaire du présent marché sera capable d'assurer sa mission de gardiennage dans le cadre d'interventions planifiée</t>
        </is>
      </c>
      <c r="D46" t="inlineStr">
        <is>
          <t>Mairie de Sannois</t>
        </is>
      </c>
      <c r="E46" t="inlineStr"/>
      <c r="F46" t="inlineStr"/>
      <c r="G46" t="inlineStr"/>
      <c r="H46" t="inlineStr"/>
      <c r="I46" t="inlineStr">
        <is>
          <t>publications-joue@aws-france.com</t>
        </is>
      </c>
      <c r="J46" t="inlineStr">
        <is>
          <t>+33480041260</t>
        </is>
      </c>
      <c r="K46" t="inlineStr"/>
      <c r="L46" t="inlineStr"/>
      <c r="M46" t="inlineStr"/>
      <c r="N46" t="inlineStr">
        <is>
          <t>95</t>
        </is>
      </c>
      <c r="O46" t="inlineStr"/>
      <c r="P46" t="inlineStr">
        <is>
          <t>Ile-de-France</t>
        </is>
      </c>
      <c r="Q46" s="15" t="n">
        <v>46219</v>
      </c>
      <c r="R46" s="15" t="n">
        <v>46251</v>
      </c>
      <c r="S46" s="14" t="n">
        <v>55000</v>
      </c>
      <c r="T46" t="inlineStr">
        <is>
          <t>BUDGET_SOUS_SEUIL</t>
        </is>
      </c>
      <c r="U46" t="inlineStr">
        <is>
          <t>55000.0</t>
        </is>
      </c>
      <c r="V46" t="inlineStr">
        <is>
          <t>non</t>
        </is>
      </c>
      <c r="W46" t="inlineStr">
        <is>
          <t>Personnel</t>
        </is>
      </c>
      <c r="X46" t="inlineStr">
        <is>
          <t>Mairie</t>
        </is>
      </c>
      <c r="Y46" t="inlineStr">
        <is>
          <t>SERVICES</t>
        </is>
      </c>
      <c r="Z46" t="inlineStr">
        <is>
          <t>Procédure Ouverte</t>
        </is>
      </c>
      <c r="AA46" t="inlineStr">
        <is>
          <t>Avis de marché</t>
        </is>
      </c>
      <c r="AB46" t="inlineStr">
        <is>
          <t>Gardiennage, Prestations de services, Surveillance</t>
        </is>
      </c>
      <c r="AC46" t="inlineStr">
        <is>
          <t>['sociaux', 'environnementaux']</t>
        </is>
      </c>
      <c r="AD46" s="11" t="inlineStr">
        <is>
          <t>https://www.boamp.fr/pages/avis/?q=idweb:26-70259</t>
        </is>
      </c>
      <c r="AE46" t="inlineStr">
        <is>
          <t>https://www.achatpublic.com/</t>
        </is>
      </c>
      <c r="AF46" t="inlineStr">
        <is>
          <t>https://www.achatpublic.com/</t>
        </is>
      </c>
      <c r="AG46" t="inlineStr"/>
      <c r="AH46" t="inlineStr">
        <is>
          <t>2</t>
        </is>
      </c>
      <c r="AI46" t="inlineStr">
        <is>
          <t>50</t>
        </is>
      </c>
      <c r="AJ46" t="inlineStr">
        <is>
          <t>INFO_PARTIELLE</t>
        </is>
      </c>
      <c r="AK46" t="inlineStr">
        <is>
          <t>40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SIRET, 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46" t="inlineStr">
        <is>
          <t>Verifier url_avis et DCE si disponible</t>
        </is>
      </c>
      <c r="AV46" t="inlineStr"/>
      <c r="AW46" t="inlineStr"/>
      <c r="AX46" t="inlineStr"/>
      <c r="AY46" t="inlineStr"/>
      <c r="AZ46" t="inlineStr"/>
      <c r="BA46" t="inlineStr"/>
      <c r="BB46" t="inlineStr">
        <is>
          <t>0 pertinence metier faible | +20 budget annualise &lt;= 100 000 EUR | +10 secteur cible Mairie | +10 delai confortable 20j</t>
        </is>
      </c>
      <c r="BC46"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46"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46"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2026-W29</t>
        </is>
      </c>
    </row>
    <row r="47">
      <c r="A47" t="inlineStr">
        <is>
          <t>BOAMP</t>
        </is>
      </c>
      <c r="B47" t="inlineStr">
        <is>
          <t>26-81405</t>
        </is>
      </c>
      <c r="C47" t="inlineStr">
        <is>
          <t>Fournitures de produits d'entretien, de consommables et d'équipements</t>
        </is>
      </c>
      <c r="D47" t="inlineStr">
        <is>
          <t>CDEF 93</t>
        </is>
      </c>
      <c r="E47" t="inlineStr">
        <is>
          <t>26931400100018</t>
        </is>
      </c>
      <c r="F47" t="inlineStr">
        <is>
          <t>269314001</t>
        </is>
      </c>
      <c r="G47" t="inlineStr"/>
      <c r="H47" t="inlineStr"/>
      <c r="I47" t="inlineStr">
        <is>
          <t>sabrina.perret@cdef93.com</t>
        </is>
      </c>
      <c r="J47" t="inlineStr">
        <is>
          <t>0141505870</t>
        </is>
      </c>
      <c r="K47" t="inlineStr"/>
      <c r="L47" t="inlineStr"/>
      <c r="M47" t="inlineStr"/>
      <c r="N47" t="inlineStr">
        <is>
          <t>93,77,75,95</t>
        </is>
      </c>
      <c r="O47" t="inlineStr"/>
      <c r="P47" t="inlineStr">
        <is>
          <t>Ile-de-France</t>
        </is>
      </c>
      <c r="Q47" s="15" t="n">
        <v>46254</v>
      </c>
      <c r="R47" s="15" t="n">
        <v>46289</v>
      </c>
      <c r="S47" s="14" t="n">
        <v>200000</v>
      </c>
      <c r="T47" t="inlineStr">
        <is>
          <t>BUDGET_EXPLICITE_OK</t>
        </is>
      </c>
      <c r="U47" t="inlineStr">
        <is>
          <t>200000.0</t>
        </is>
      </c>
      <c r="V47" t="inlineStr">
        <is>
          <t>non</t>
        </is>
      </c>
      <c r="W47" t="inlineStr">
        <is>
          <t>Mixte/Autre</t>
        </is>
      </c>
      <c r="X47" t="inlineStr">
        <is>
          <t>Autre</t>
        </is>
      </c>
      <c r="Y47" t="inlineStr">
        <is>
          <t>FOURNITURES</t>
        </is>
      </c>
      <c r="Z47" t="inlineStr">
        <is>
          <t>Procédure Ouverte</t>
        </is>
      </c>
      <c r="AA47" t="inlineStr">
        <is>
          <t>Avis de marché</t>
        </is>
      </c>
      <c r="AB47" t="inlineStr">
        <is>
          <t>Produits d'entretien</t>
        </is>
      </c>
      <c r="AC47" t="inlineStr"/>
      <c r="AD47" s="11" t="inlineStr">
        <is>
          <t>https://www.boamp.fr/pages/avis/?q=idweb:26-81405</t>
        </is>
      </c>
      <c r="AE47" t="inlineStr">
        <is>
          <t>https://www.achatpublic.com</t>
        </is>
      </c>
      <c r="AF47" t="inlineStr">
        <is>
          <t>https://www.achatpublic.com</t>
        </is>
      </c>
      <c r="AG47" t="inlineStr">
        <is>
          <t>nettoyage</t>
        </is>
      </c>
      <c r="AH47" t="inlineStr">
        <is>
          <t>3</t>
        </is>
      </c>
      <c r="AI47" t="inlineStr">
        <is>
          <t>68</t>
        </is>
      </c>
      <c r="AJ47" t="inlineStr">
        <is>
          <t>INFO_PARTIELLE</t>
        </is>
      </c>
      <c r="AK47" t="inlineStr">
        <is>
          <t>39.8</t>
        </is>
      </c>
      <c r="AL47" s="16" t="inlineStr">
        <is>
          <t>FROID</t>
        </is>
      </c>
      <c r="AM47" t="inlineStr"/>
      <c r="AN47" t="inlineStr"/>
      <c r="AO47" t="inlineStr"/>
      <c r="AP47" t="inlineStr"/>
      <c r="AQ47" t="inlineStr">
        <is>
          <t>IA_CONTACT_A_COMPLETER</t>
        </is>
      </c>
      <c r="AR47" t="inlineStr">
        <is>
          <t>Completer les champs manquants depuis l'avis source, le site acheteur ou le DCE.</t>
        </is>
      </c>
      <c r="AS47" t="inlineStr">
        <is>
          <t>adresse, ville</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26-81405. Objet: Fournitures de produits d'entretien, de consommables et d'équipements. Acheteur: CDEF 93. Lien: https://www.boamp.fr/pages/avis/?q=idweb:26-81405.</t>
        </is>
      </c>
      <c r="AU47" t="inlineStr">
        <is>
          <t>Verifier url_avis et DCE si disponible</t>
        </is>
      </c>
      <c r="AV47" t="inlineStr"/>
      <c r="AW47" t="inlineStr"/>
      <c r="AX47" t="inlineStr"/>
      <c r="AY47" t="inlineStr"/>
      <c r="AZ47" t="inlineStr"/>
      <c r="BA47" t="inlineStr"/>
      <c r="BB47" t="inlineStr">
        <is>
          <t>+28.5 mots-cles nettoyage forts (1 termes) | +1.2 budget annualise 200 000 EUR | +8.5 delai 24 j | +1.5 dossier renseigne (3/4)</t>
        </is>
      </c>
      <c r="BC47" t="inlineStr">
        <is>
          <t>CDEF 93 publie un AO potentiellement pertinent pour CHRUTH : Fournitures de produits d'entretien, de consommables et d'équipements. Zone : 93,77,75,95. Budget detecte environ 200 000 EUR. Verifier le lien source avant contact.</t>
        </is>
      </c>
      <c r="BD47" t="inlineStr">
        <is>
          <t>Bonjour,
Je me permets de vous contacter au sujet de votre appel d'offres : Fournitures de produits d'entretien, de consommables et d'équipements.
CHRUTH accompagne les structures publiques et privées sur les besoins de nettoyage, d'entretien des locaux et d'organisation de prestations de service.
Serait-il possible d'échanger rapidement afin de vérifier les modalités de réponse et les attentes de CDEF 93 ?
Cordialement,</t>
        </is>
      </c>
      <c r="BE47" t="inlineStr">
        <is>
          <t>Bonjour, je vous appelle concernant un appel d'offres publié par CDEF 93. Je souhaite vérifier les informations pratiques : périmètre des prestations, date limite, modalités de visite, contact technique et pièces attendues. Pouvez-vous m'indiquer la bonne personne à contacter ?</t>
        </is>
      </c>
      <c r="BF47" t="inlineStr"/>
      <c r="BG47" t="inlineStr"/>
      <c r="BH47" t="inlineStr"/>
      <c r="BI47" t="inlineStr"/>
      <c r="BJ47" t="inlineStr"/>
      <c r="BK47" t="inlineStr"/>
      <c r="BL47" t="inlineStr"/>
      <c r="BM47" t="inlineStr">
        <is>
          <t>2026-W34</t>
        </is>
      </c>
    </row>
    <row r="48">
      <c r="A48" t="inlineStr">
        <is>
          <t>BOAMP</t>
        </is>
      </c>
      <c r="B48" t="inlineStr">
        <is>
          <t>26-81108</t>
        </is>
      </c>
      <c r="C48" t="inlineStr">
        <is>
          <t>Accord-cadre à bons de commande relatif au nettoyage des locaux et des vitres des bâtiments départementaux et au nettoyage partiel de certains collèges du Val d'Oise (8 lots)</t>
        </is>
      </c>
      <c r="D48" t="inlineStr">
        <is>
          <t>Conseil départemental du Val-d'Oise</t>
        </is>
      </c>
      <c r="E48" t="inlineStr"/>
      <c r="F48" t="inlineStr"/>
      <c r="G48" t="inlineStr"/>
      <c r="H48" t="inlineStr"/>
      <c r="I48" t="inlineStr">
        <is>
          <t>publications-joue@aws-france.com</t>
        </is>
      </c>
      <c r="J48" t="inlineStr">
        <is>
          <t>+33480041260</t>
        </is>
      </c>
      <c r="K48" t="inlineStr"/>
      <c r="L48" t="inlineStr"/>
      <c r="M48" t="inlineStr"/>
      <c r="N48" t="inlineStr">
        <is>
          <t>95</t>
        </is>
      </c>
      <c r="O48" t="inlineStr"/>
      <c r="P48" t="inlineStr">
        <is>
          <t>Ile-de-France</t>
        </is>
      </c>
      <c r="Q48" s="15" t="n">
        <v>46253</v>
      </c>
      <c r="R48" s="15" t="n">
        <v>46283</v>
      </c>
      <c r="S48" s="14" t="n">
        <v>4500000</v>
      </c>
      <c r="T48" t="inlineStr">
        <is>
          <t>BUDGET_EXPLICITE_OK</t>
        </is>
      </c>
      <c r="U48" t="inlineStr">
        <is>
          <t>1125000</t>
        </is>
      </c>
      <c r="V48" t="inlineStr">
        <is>
          <t>oui</t>
        </is>
      </c>
      <c r="W48" t="inlineStr">
        <is>
          <t>Vitres</t>
        </is>
      </c>
      <c r="X48" t="inlineStr">
        <is>
          <t>Autre</t>
        </is>
      </c>
      <c r="Y48" t="inlineStr">
        <is>
          <t>SERVICES</t>
        </is>
      </c>
      <c r="Z48" t="inlineStr">
        <is>
          <t>Procédure Ouverte</t>
        </is>
      </c>
      <c r="AA48" t="inlineStr">
        <is>
          <t>Avis de marché</t>
        </is>
      </c>
      <c r="AB48" t="inlineStr">
        <is>
          <t>Nettoyage de locaux</t>
        </is>
      </c>
      <c r="AC48" t="inlineStr">
        <is>
          <t>['sociaux', 'environnementaux']</t>
        </is>
      </c>
      <c r="AD48" s="11" t="inlineStr">
        <is>
          <t>https://www.boamp.fr/pages/avis/?q=idweb:26-81108</t>
        </is>
      </c>
      <c r="AE48" t="inlineStr">
        <is>
          <t>https://www.marches-publics.info/mpiaws/index.cfm?fuseaction=dematEnt.login&amp;amp;type=DCE&amp;amp;IDM=1862248</t>
        </is>
      </c>
      <c r="AF48" t="inlineStr">
        <is>
          <t>https://www.marches-publics.info/mpiaws/index.cfm?fuseaction=dematEnt.login&amp;amp;type=DCE&amp;amp;IDM=1862248</t>
        </is>
      </c>
      <c r="AG48" t="inlineStr">
        <is>
          <t>nettoyage, entretien des locaux</t>
        </is>
      </c>
      <c r="AH48" t="inlineStr">
        <is>
          <t>2</t>
        </is>
      </c>
      <c r="AI48" t="inlineStr">
        <is>
          <t>66</t>
        </is>
      </c>
      <c r="AJ48" t="inlineStr">
        <is>
          <t>INFO_PARTIELLE</t>
        </is>
      </c>
      <c r="AK48" t="inlineStr">
        <is>
          <t>37.5</t>
        </is>
      </c>
      <c r="AL48" s="16" t="inlineStr">
        <is>
          <t>FROID</t>
        </is>
      </c>
      <c r="AM48" t="inlineStr"/>
      <c r="AN48" t="inlineStr"/>
      <c r="AO48" t="inlineStr"/>
      <c r="AP48" t="inlineStr"/>
      <c r="AQ48" t="inlineStr">
        <is>
          <t>IA_CONTACT_A_COMPLETER</t>
        </is>
      </c>
      <c r="AR48" t="inlineStr">
        <is>
          <t>Completer les champs manquants depuis l'avis source, le site acheteur ou le DCE.</t>
        </is>
      </c>
      <c r="AS48" t="inlineStr">
        <is>
          <t>SIRET, adresse, ville</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26-81108. Objet: Accord-cadre à bons de commande relatif au nettoyage des locaux et des vitres des bâtiments départementaux et au nettoyage partiel de certains collèges du Val d'Oise (8 lots). Acheteur: Conseil départemental du Val-d'Oise. Lien: https://www.boamp.fr/pages/avis/?q=idweb:26-81108.</t>
        </is>
      </c>
      <c r="AU48" t="inlineStr">
        <is>
          <t>Verifier url_avis et DCE si disponible</t>
        </is>
      </c>
      <c r="AV48" t="inlineStr"/>
      <c r="AW48" t="inlineStr"/>
      <c r="AX48" t="inlineStr"/>
      <c r="AY48" t="inlineStr"/>
      <c r="AZ48" t="inlineStr"/>
      <c r="BA48" t="inlineStr"/>
      <c r="BB48" t="inlineStr">
        <is>
          <t>+34.0 nettoyage + categorie claire (2 termes) | -20.0 budget annualise 1 125 000 EUR | +15 procedure adaptee / MAPA / allotissement | +7.0 delai 18 j | +1.5 dossier renseigne (3/4)</t>
        </is>
      </c>
      <c r="BC48" t="inlineStr">
        <is>
          <t>Conseil départemental du Val-d'Oise publie un AO potentiellement pertinent pour CHRUTH : Accord-cadre à bons de commande relatif au nettoyage des locaux et des vitres des bâtiments départementaux et au nettoyage partiel de certains collèges du Val d'Oise (8 lots). Zone : 95. Budget detecte environ 4 500 000 EUR. Verifier le lien source avant contact.</t>
        </is>
      </c>
      <c r="BD48" t="inlineStr">
        <is>
          <t>Bonjour,
Je me permets de vous contacter au sujet de votre appel d'offres : Accord-cadre à bons de commande relatif au nettoyage des locaux et des vitres des bâtiments départementaux et au nettoyage partiel de certains collèges du Val d'Oise (8 lots).
CHRUTH accompagne les structures publiques et privées sur les besoins de nettoyage, d'entretien des locaux et d'organisation de prestations de service.
Serait-il possible d'échanger rapidement afin de vérifier les modalités de réponse et les attentes de Conseil départemental du Val-d'Oise ?
Cordialement,</t>
        </is>
      </c>
      <c r="BE48" t="inlineStr">
        <is>
          <t>Bonjour, je vous appelle concernant un appel d'offres publié par Conseil départemental du Val-d'Oise.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2026-W34</t>
        </is>
      </c>
    </row>
    <row r="49">
      <c r="A49" t="inlineStr">
        <is>
          <t>BOAMP</t>
        </is>
      </c>
      <c r="B49" t="inlineStr">
        <is>
          <t>26-77304</t>
        </is>
      </c>
      <c r="C49" t="inlineStr">
        <is>
          <t>Travaux d'aménagement d'une crèche de 15 berceaux - Crèche des bonshommes : Relance lot 1 - Gros oeuvre - carrelage pour cause de liquidation judiciaire</t>
        </is>
      </c>
      <c r="D49" t="inlineStr">
        <is>
          <t>Val d'Europe agglomération</t>
        </is>
      </c>
      <c r="E49" t="inlineStr">
        <is>
          <t>24770033900010</t>
        </is>
      </c>
      <c r="F49" t="inlineStr">
        <is>
          <t>247700339</t>
        </is>
      </c>
      <c r="G49" t="inlineStr">
        <is>
          <t>M. Philippe DESCROUET</t>
        </is>
      </c>
      <c r="H49" t="inlineStr"/>
      <c r="I49" t="inlineStr">
        <is>
          <t>vassilia.bucan@vdeagglo.fr</t>
        </is>
      </c>
      <c r="J49" t="inlineStr">
        <is>
          <t>+33 160436617</t>
        </is>
      </c>
      <c r="K49" t="inlineStr">
        <is>
          <t>Seine-et-Marne</t>
        </is>
      </c>
      <c r="L49" t="inlineStr">
        <is>
          <t>77701</t>
        </is>
      </c>
      <c r="M49" t="inlineStr">
        <is>
          <t>Marne la vallée cedex 4</t>
        </is>
      </c>
      <c r="N49" t="inlineStr">
        <is>
          <t>77</t>
        </is>
      </c>
      <c r="O49" t="inlineStr"/>
      <c r="P49" t="inlineStr">
        <is>
          <t>Ile-de-France</t>
        </is>
      </c>
      <c r="Q49" s="15" t="n">
        <v>46237</v>
      </c>
      <c r="R49" s="15" t="n">
        <v>46261</v>
      </c>
      <c r="S49" s="14" t="n">
        <v>77701</v>
      </c>
      <c r="T49" t="inlineStr">
        <is>
          <t>BUDGET_SOUS_SEUIL</t>
        </is>
      </c>
      <c r="U49" t="inlineStr">
        <is>
          <t>155402</t>
        </is>
      </c>
      <c r="V49" t="inlineStr">
        <is>
          <t>oui</t>
        </is>
      </c>
      <c r="W49" t="inlineStr">
        <is>
          <t>Bureaux</t>
        </is>
      </c>
      <c r="X49" t="inlineStr">
        <is>
          <t>Ecole</t>
        </is>
      </c>
      <c r="Y49" t="inlineStr">
        <is>
          <t>TRAVAUX</t>
        </is>
      </c>
      <c r="Z49" t="inlineStr">
        <is>
          <t>Procédure Ouverte</t>
        </is>
      </c>
      <c r="AA49" t="inlineStr">
        <is>
          <t>Avis de marché</t>
        </is>
      </c>
      <c r="AB49" t="inlineStr">
        <is>
          <t>Gros oeuvre, Carrelage</t>
        </is>
      </c>
      <c r="AC49" t="inlineStr">
        <is>
          <t>['environnementaux']</t>
        </is>
      </c>
      <c r="AD49" s="11" t="inlineStr">
        <is>
          <t>https://www.boamp.fr/pages/avis/?q=idweb:26-77304</t>
        </is>
      </c>
      <c r="AE49" t="inlineStr">
        <is>
          <t>https://www.achatpublic.com/sdm/ent/gen/ent_detail.do?PCSLID=CSL_2026_HfAtl9mcaM</t>
        </is>
      </c>
      <c r="AF49" t="inlineStr">
        <is>
          <t>https://www.achatpublic.com/sdm/ent/gen/ent_detail.do?PCSLID=CSL_2026_HfAtl9mcaM</t>
        </is>
      </c>
      <c r="AG49" t="inlineStr">
        <is>
          <t>proprete</t>
        </is>
      </c>
      <c r="AH49" t="inlineStr">
        <is>
          <t>6</t>
        </is>
      </c>
      <c r="AI49" t="inlineStr">
        <is>
          <t>98</t>
        </is>
      </c>
      <c r="AJ49" t="inlineStr">
        <is>
          <t>INFO_PARTIELLE</t>
        </is>
      </c>
      <c r="AK49" t="inlineStr">
        <is>
          <t>35.1</t>
        </is>
      </c>
      <c r="AL49" s="16" t="inlineStr">
        <is>
          <t>FROID</t>
        </is>
      </c>
      <c r="AM49" t="inlineStr"/>
      <c r="AN49" t="inlineStr"/>
      <c r="AO49" t="inlineStr"/>
      <c r="AP49" t="inlineStr"/>
      <c r="AQ49" t="inlineStr">
        <is>
          <t>IA_CONTROLE_SOURCE</t>
        </is>
      </c>
      <c r="AR49" t="inlineStr">
        <is>
          <t>Verifier rapidement la source avant contact.</t>
        </is>
      </c>
      <c r="AS49" t="inlineStr">
        <is>
          <t>Aucun champ critique manquant</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26-77304. Objet: Travaux d'aménagement d'une crèche de 15 berceaux - Crèche des bonshommes : Relance lot 1 - Gros oeuvre - carrelage pour cause de liquidation judiciaire. Acheteur: Val d'Europe agglomération. Lien: https://www.boamp.fr/pages/avis/?q=idweb:26-77304.</t>
        </is>
      </c>
      <c r="AU49" t="inlineStr">
        <is>
          <t>Verifier url_avis et DCE si disponible</t>
        </is>
      </c>
      <c r="AV49" t="inlineStr"/>
      <c r="AW49" t="inlineStr"/>
      <c r="AX49" t="inlineStr"/>
      <c r="AY49" t="inlineStr"/>
      <c r="AZ49" t="inlineStr"/>
      <c r="BA49" t="inlineStr"/>
      <c r="BB49" t="inlineStr">
        <is>
          <t>+33.5 nettoyage + categorie claire (1 termes) | +4.6 budget annualise 155 402 EUR | +15 procedure adaptee / MAPA / allotissement | +10 secteur cible Ecole | -30 AO expire | +2.0 dossier renseigne (4/4)</t>
        </is>
      </c>
      <c r="BC49" t="inlineStr">
        <is>
          <t>Val d'Europe agglomération publie un AO potentiellement pertinent pour CHRUTH : Travaux d'aménagement d'une crèche de 15 berceaux - Crèche des bonshommes : Relance lot 1 - Gros oeuvre - carrelage pour cause de liquidation judiciaire. Zone : Marne la vallée cedex 4. Budget detecte environ 77 701 EUR. Verifier le lien source avant contact.</t>
        </is>
      </c>
      <c r="BD49" t="inlineStr">
        <is>
          <t>Bonjour,
Je me permets de vous contacter au sujet de votre appel d'offres : Travaux d'aménagement d'une crèche de 15 berceaux - Crèche des bonshommes : Relance lot 1 - Gros oeuvre - carrelage pour cause de liquidation judiciaire.
CHRUTH accompagne les structures publiques et privées sur les besoins de nettoyage, d'entretien des locaux et d'organisation de prestations de service.
Serait-il possible d'échanger rapidement afin de vérifier les modalités de réponse et les attentes de Val d'Europe agglomération ?
Cordialement,</t>
        </is>
      </c>
      <c r="BE49" t="inlineStr">
        <is>
          <t>Bonjour, je vous appelle concernant un appel d'offres publié par Val d'Europe agglomération.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2026-W32</t>
        </is>
      </c>
    </row>
    <row r="50">
      <c r="A50" t="inlineStr">
        <is>
          <t>BOAMP</t>
        </is>
      </c>
      <c r="B50" t="inlineStr">
        <is>
          <t>26-74504</t>
        </is>
      </c>
      <c r="C50" t="inlineStr">
        <is>
          <t>chalet DGAC pour le salon du Bourget</t>
        </is>
      </c>
      <c r="D50" t="inlineStr">
        <is>
          <t>SG / SDF2</t>
        </is>
      </c>
      <c r="E50" t="inlineStr">
        <is>
          <t>12006401900074</t>
        </is>
      </c>
      <c r="F50" t="inlineStr">
        <is>
          <t>120064019</t>
        </is>
      </c>
      <c r="G50" t="inlineStr">
        <is>
          <t>SDF2 - Pole achats et marchés</t>
        </is>
      </c>
      <c r="H50" t="inlineStr"/>
      <c r="I50" t="inlineStr">
        <is>
          <t>pmi-dgac@aviation-civile.gouv.fr</t>
        </is>
      </c>
      <c r="J50" t="inlineStr">
        <is>
          <t>0640190007</t>
        </is>
      </c>
      <c r="K50" t="inlineStr">
        <is>
          <t>Le parc des expositions de Paris-Le Bourget, aéroport Paris-Le Bourget, 93 350 Le Bourget</t>
        </is>
      </c>
      <c r="L50" t="inlineStr">
        <is>
          <t>75720</t>
        </is>
      </c>
      <c r="M50" t="inlineStr">
        <is>
          <t>Paris Cedex 15</t>
        </is>
      </c>
      <c r="N50" t="inlineStr">
        <is>
          <t>75,93</t>
        </is>
      </c>
      <c r="O50" t="inlineStr"/>
      <c r="P50" t="inlineStr">
        <is>
          <t>Ile-de-France</t>
        </is>
      </c>
      <c r="Q50" s="15" t="n">
        <v>46227</v>
      </c>
      <c r="R50" s="15" t="n">
        <v>46279</v>
      </c>
      <c r="S50" s="14" t="n">
        <v>570000</v>
      </c>
      <c r="T50" t="inlineStr">
        <is>
          <t>BUDGET_EXPLICITE_OK</t>
        </is>
      </c>
      <c r="U50" t="inlineStr">
        <is>
          <t>285000</t>
        </is>
      </c>
      <c r="V50" t="inlineStr">
        <is>
          <t>oui</t>
        </is>
      </c>
      <c r="W50" t="inlineStr">
        <is>
          <t>Personnel</t>
        </is>
      </c>
      <c r="X50" t="inlineStr">
        <is>
          <t>Autre</t>
        </is>
      </c>
      <c r="Y50" t="inlineStr">
        <is>
          <t>TRAVAUX</t>
        </is>
      </c>
      <c r="Z50" t="inlineStr">
        <is>
          <t>Procédure Ouverte</t>
        </is>
      </c>
      <c r="AA50" t="inlineStr">
        <is>
          <t>Avis de marché</t>
        </is>
      </c>
      <c r="AB50" t="inlineStr">
        <is>
          <t>Stand, Evénementiel</t>
        </is>
      </c>
      <c r="AC50" t="inlineStr">
        <is>
          <t>['environnementaux']</t>
        </is>
      </c>
      <c r="AD50" s="11" t="inlineStr">
        <is>
          <t>https://www.boamp.fr/pages/avis/?q=idweb:26-74504</t>
        </is>
      </c>
      <c r="AE50" t="inlineStr">
        <is>
          <t>https://www.marches-publics.gouv.fr/entreprise/consultation/3043184?orgAcronyme=d4t</t>
        </is>
      </c>
      <c r="AF50" t="inlineStr">
        <is>
          <t>https://www.marches-publics.gouv.fr/entreprise/consultation/3043184?orgAcronyme=d4t</t>
        </is>
      </c>
      <c r="AG50" t="inlineStr">
        <is>
          <t>nettoyage</t>
        </is>
      </c>
      <c r="AH50" t="inlineStr">
        <is>
          <t>6</t>
        </is>
      </c>
      <c r="AI50" t="inlineStr">
        <is>
          <t>98</t>
        </is>
      </c>
      <c r="AJ50" t="inlineStr">
        <is>
          <t>INFO_COMPLETE</t>
        </is>
      </c>
      <c r="AK50" t="inlineStr">
        <is>
          <t>35</t>
        </is>
      </c>
      <c r="AL50" s="16" t="inlineStr">
        <is>
          <t>FROID</t>
        </is>
      </c>
      <c r="AM50" t="inlineStr"/>
      <c r="AN50" t="inlineStr"/>
      <c r="AO50" t="inlineStr"/>
      <c r="AP50" t="inlineStr"/>
      <c r="AQ50" t="inlineStr">
        <is>
          <t>IA_CONTROLE_SOURCE</t>
        </is>
      </c>
      <c r="AR50" t="inlineStr">
        <is>
          <t>Verifier rapidement la source avant contact.</t>
        </is>
      </c>
      <c r="AS50" t="inlineStr">
        <is>
          <t>Aucun champ critique manquant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50" t="inlineStr">
        <is>
          <t>Verifier url_avis et DCE si disponible</t>
        </is>
      </c>
      <c r="AV50" t="inlineStr"/>
      <c r="AW50" t="inlineStr"/>
      <c r="AX50" t="inlineStr"/>
      <c r="AY50" t="inlineStr"/>
      <c r="AZ50" t="inlineStr"/>
      <c r="BA50" t="inlineStr"/>
      <c r="BB50" t="inlineStr">
        <is>
          <t>+35 nettoyage + categorie claire | -10 budget annualise &lt;= 500 000 EUR | +10 delai confortable 48j</t>
        </is>
      </c>
      <c r="BC50" t="inlineStr">
        <is>
          <t>SG / SDF2 publie un AO potentiellement pertinent pour CHRUTH : chalet DGAC pour le salon du Bourget. Zone : Paris Cedex 15. Budget detecte environ 570 000 EUR. Verifier le lien source avant contact.</t>
        </is>
      </c>
      <c r="BD50"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50"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2026-W30</t>
        </is>
      </c>
    </row>
    <row r="51">
      <c r="A51" t="inlineStr">
        <is>
          <t>BOAMP</t>
        </is>
      </c>
      <c r="B51" t="inlineStr">
        <is>
          <t>26-73442</t>
        </is>
      </c>
      <c r="C51" t="inlineStr">
        <is>
          <t>Travaux de menuiseries extérieures et de vitrerie dans les bâtiments communaux</t>
        </is>
      </c>
      <c r="D51" t="inlineStr">
        <is>
          <t>Ville de Montrouge
Direction des bâtiments, énergie et propreté 
43 avenue de la République
92120 MONTROUGE</t>
        </is>
      </c>
      <c r="E51" t="inlineStr">
        <is>
          <t>21920049000015</t>
        </is>
      </c>
      <c r="F51" t="inlineStr">
        <is>
          <t>219200490</t>
        </is>
      </c>
      <c r="G51" t="inlineStr"/>
      <c r="H51" t="inlineStr"/>
      <c r="I51" t="inlineStr">
        <is>
          <t>o.satouri@ville-montrouge.fr</t>
        </is>
      </c>
      <c r="J51" t="inlineStr">
        <is>
          <t>0146127540</t>
        </is>
      </c>
      <c r="K51" t="inlineStr"/>
      <c r="L51" t="inlineStr"/>
      <c r="M51" t="inlineStr"/>
      <c r="N51" t="inlineStr">
        <is>
          <t>92,75</t>
        </is>
      </c>
      <c r="O51" t="inlineStr"/>
      <c r="P51" t="inlineStr">
        <is>
          <t>Ile-de-France</t>
        </is>
      </c>
      <c r="Q51" s="15" t="n">
        <v>46227</v>
      </c>
      <c r="R51" s="15" t="n">
        <v>46293</v>
      </c>
      <c r="S51" s="14" t="n">
        <v>3200000</v>
      </c>
      <c r="T51" t="inlineStr">
        <is>
          <t>BUDGET_EXPLICITE_OK</t>
        </is>
      </c>
      <c r="U51" t="inlineStr">
        <is>
          <t>3200000.0</t>
        </is>
      </c>
      <c r="V51" t="inlineStr">
        <is>
          <t>non</t>
        </is>
      </c>
      <c r="W51" t="inlineStr">
        <is>
          <t>Vitres</t>
        </is>
      </c>
      <c r="X51" t="inlineStr">
        <is>
          <t>Mairie</t>
        </is>
      </c>
      <c r="Y51" t="inlineStr">
        <is>
          <t>TRAVAUX</t>
        </is>
      </c>
      <c r="Z51" t="inlineStr">
        <is>
          <t>Procédure Ouverte</t>
        </is>
      </c>
      <c r="AA51" t="inlineStr">
        <is>
          <t>Avis de marché</t>
        </is>
      </c>
      <c r="AB51" t="inlineStr">
        <is>
          <t>Menuiserie</t>
        </is>
      </c>
      <c r="AC51" t="inlineStr">
        <is>
          <t>['environnementaux']</t>
        </is>
      </c>
      <c r="AD51" s="11" t="inlineStr">
        <is>
          <t>https://www.boamp.fr/pages/avis/?q=idweb:26-73442</t>
        </is>
      </c>
      <c r="AE51" t="inlineStr">
        <is>
          <t>https://www.achatpublic.com/sdm/ent/gen/ent_detail.do?PCSLID=CSL_2026_YLyiWdUZqH</t>
        </is>
      </c>
      <c r="AF51" t="inlineStr">
        <is>
          <t>https://www.achatpublic.com/sdm/ent/gen/ent_detail.do?PCSLID=CSL_2026_YLyiWdUZqH</t>
        </is>
      </c>
      <c r="AG51" t="inlineStr">
        <is>
          <t>proprete</t>
        </is>
      </c>
      <c r="AH51" t="inlineStr">
        <is>
          <t>3</t>
        </is>
      </c>
      <c r="AI51" t="inlineStr">
        <is>
          <t>68</t>
        </is>
      </c>
      <c r="AJ51" t="inlineStr">
        <is>
          <t>INFO_PARTIELLE</t>
        </is>
      </c>
      <c r="AK51" t="inlineStr">
        <is>
          <t>35</t>
        </is>
      </c>
      <c r="AL51" s="16" t="inlineStr">
        <is>
          <t>FROID</t>
        </is>
      </c>
      <c r="AM51" t="inlineStr"/>
      <c r="AN51" t="inlineStr"/>
      <c r="AO51" t="inlineStr"/>
      <c r="AP51" t="inlineStr"/>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62j</t>
        </is>
      </c>
      <c r="BC51"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51"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51"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2026-W30</t>
        </is>
      </c>
    </row>
    <row r="52">
      <c r="A52" t="inlineStr">
        <is>
          <t>BOAMP</t>
        </is>
      </c>
      <c r="B52" t="inlineStr">
        <is>
          <t>26-78377</t>
        </is>
      </c>
      <c r="C52" t="inlineStr">
        <is>
          <t>Prestation de balayage et nettoyage du domaine public et privé de la collectivité</t>
        </is>
      </c>
      <c r="D52" t="inlineStr">
        <is>
          <t>Mairie de Paray-Vieille-Poste</t>
        </is>
      </c>
      <c r="E52" t="inlineStr">
        <is>
          <t>21910479100013</t>
        </is>
      </c>
      <c r="F52" t="inlineStr">
        <is>
          <t>219104791</t>
        </is>
      </c>
      <c r="G52" t="inlineStr"/>
      <c r="H52" t="inlineStr"/>
      <c r="I52" t="inlineStr">
        <is>
          <t>christine.goncalves@grandorlyseinebievre.fr</t>
        </is>
      </c>
      <c r="J52" t="inlineStr">
        <is>
          <t>0479100013</t>
        </is>
      </c>
      <c r="K52" t="inlineStr"/>
      <c r="L52" t="inlineStr"/>
      <c r="M52" t="inlineStr"/>
      <c r="N52" t="inlineStr">
        <is>
          <t>91</t>
        </is>
      </c>
      <c r="O52" t="inlineStr"/>
      <c r="P52" t="inlineStr">
        <is>
          <t>Ile-de-France</t>
        </is>
      </c>
      <c r="Q52" s="15" t="n">
        <v>46241</v>
      </c>
      <c r="R52" s="15" t="n">
        <v>46281</v>
      </c>
      <c r="S52" s="14" t="n">
        <v>440000</v>
      </c>
      <c r="T52" t="inlineStr">
        <is>
          <t>BUDGET_EXPLICITE_OK</t>
        </is>
      </c>
      <c r="U52" t="inlineStr">
        <is>
          <t>440000</t>
        </is>
      </c>
      <c r="V52" t="inlineStr">
        <is>
          <t>oui</t>
        </is>
      </c>
      <c r="W52" t="inlineStr">
        <is>
          <t>Mixte/Autre</t>
        </is>
      </c>
      <c r="X52" t="inlineStr">
        <is>
          <t>Mairie</t>
        </is>
      </c>
      <c r="Y52" t="inlineStr">
        <is>
          <t>SERVICES</t>
        </is>
      </c>
      <c r="Z52" t="inlineStr">
        <is>
          <t>Procédure Ouverte</t>
        </is>
      </c>
      <c r="AA52" t="inlineStr">
        <is>
          <t>Avis de marché</t>
        </is>
      </c>
      <c r="AB52" t="inlineStr">
        <is>
          <t>Nettoyage urbain</t>
        </is>
      </c>
      <c r="AC52" t="inlineStr">
        <is>
          <t>['environnementaux']</t>
        </is>
      </c>
      <c r="AD52" s="11" t="inlineStr">
        <is>
          <t>https://www.boamp.fr/pages/avis/?q=idweb:26-78377</t>
        </is>
      </c>
      <c r="AE52" t="inlineStr">
        <is>
          <t>https://marches.maximilien.fr</t>
        </is>
      </c>
      <c r="AF52" t="inlineStr">
        <is>
          <t>https://marches.maximilien.fr</t>
        </is>
      </c>
      <c r="AG52" t="inlineStr">
        <is>
          <t>nettoyage</t>
        </is>
      </c>
      <c r="AH52" t="inlineStr">
        <is>
          <t>3</t>
        </is>
      </c>
      <c r="AI52" t="inlineStr">
        <is>
          <t>68</t>
        </is>
      </c>
      <c r="AJ52" t="inlineStr">
        <is>
          <t>INFO_PARTIELLE</t>
        </is>
      </c>
      <c r="AK52" t="inlineStr">
        <is>
          <t>34.2</t>
        </is>
      </c>
      <c r="AL52" s="16" t="inlineStr">
        <is>
          <t>FROID</t>
        </is>
      </c>
      <c r="AM52" t="inlineStr"/>
      <c r="AN52" t="inlineStr"/>
      <c r="AO52" t="inlineStr"/>
      <c r="AP52" t="inlineStr"/>
      <c r="AQ52" t="inlineStr">
        <is>
          <t>IA_CONTACT_A_COMPLETER</t>
        </is>
      </c>
      <c r="AR52" t="inlineStr">
        <is>
          <t>Completer les champs manquants depuis l'avis source, le site acheteur ou le DCE.</t>
        </is>
      </c>
      <c r="AS52" t="inlineStr">
        <is>
          <t>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26-78377. Objet: Prestation de balayage et nettoyage du domaine public et privé de la collectivité. Acheteur: Mairie de Paray-Vieille-Poste. Lien: https://www.boamp.fr/pages/avis/?q=idweb:26-78377.</t>
        </is>
      </c>
      <c r="AU52" t="inlineStr">
        <is>
          <t>Verifier url_avis et DCE si disponible</t>
        </is>
      </c>
      <c r="AV52" t="inlineStr"/>
      <c r="AW52" t="inlineStr"/>
      <c r="AX52" t="inlineStr"/>
      <c r="AY52" t="inlineStr"/>
      <c r="AZ52" t="inlineStr"/>
      <c r="BA52" t="inlineStr"/>
      <c r="BB52" t="inlineStr">
        <is>
          <t>+28.5 mots-cles nettoyage forts (1 termes) | -12.2 budget annualise 440 000 EUR | +10 secteur cible Mairie | +6.5 delai 16 j | +1.5 dossier renseigne (3/4)</t>
        </is>
      </c>
      <c r="BC52" t="inlineStr">
        <is>
          <t>Mairie de Paray-Vieille-Poste publie un AO potentiellement pertinent pour CHRUTH : Prestation de balayage et nettoyage du domaine public et privé de la collectivité. Zone : 91. Budget detecte environ 440 000 EUR. Verifier le lien source avant contact.</t>
        </is>
      </c>
      <c r="BD52" t="inlineStr">
        <is>
          <t>Bonjour,
Je me permets de vous contacter au sujet de votre appel d'offres : Prestation de balayage et nettoyage du domaine public et privé de la collectivité.
CHRUTH accompagne les structures publiques et privées sur les besoins de nettoyage, d'entretien des locaux et d'organisation de prestations de service.
Serait-il possible d'échanger rapidement afin de vérifier les modalités de réponse et les attentes de Mairie de Paray-Vieille-Poste ?
Cordialement,</t>
        </is>
      </c>
      <c r="BE52" t="inlineStr">
        <is>
          <t>Bonjour, je vous appelle concernant un appel d'offres publié par Mairie de Paray-Vieille-Poste. Je souhaite vérifier les informations pratiques : périmètre des prestations, date limite, modalités de visite, contact technique et pièces attendues. Pouvez-vous m'indiquer la bonne personne à contacter ?</t>
        </is>
      </c>
      <c r="BF52" t="inlineStr"/>
      <c r="BG52" t="inlineStr"/>
      <c r="BH52" t="inlineStr"/>
      <c r="BI52" t="inlineStr"/>
      <c r="BJ52" t="inlineStr"/>
      <c r="BK52" t="inlineStr"/>
      <c r="BL52" t="inlineStr"/>
      <c r="BM52" t="inlineStr">
        <is>
          <t>2026-W32</t>
        </is>
      </c>
    </row>
    <row r="53">
      <c r="A53" t="inlineStr">
        <is>
          <t>BOAMP</t>
        </is>
      </c>
      <c r="B53" t="inlineStr">
        <is>
          <t>26-82637</t>
        </is>
      </c>
      <c r="C53" t="inlineStr">
        <is>
          <t>Service de balayage mécanique des espaces publics de la Commune de Montmagny</t>
        </is>
      </c>
      <c r="D53" t="inlineStr">
        <is>
          <t>Commune de Montmagny</t>
        </is>
      </c>
      <c r="E53" t="inlineStr">
        <is>
          <t>21950427100012</t>
        </is>
      </c>
      <c r="F53" t="inlineStr">
        <is>
          <t>219504271</t>
        </is>
      </c>
      <c r="G53" t="inlineStr"/>
      <c r="H53" t="inlineStr"/>
      <c r="I53" t="inlineStr">
        <is>
          <t>moussa.dia@ville-montmagny.fr</t>
        </is>
      </c>
      <c r="J53" t="inlineStr">
        <is>
          <t>0427100012</t>
        </is>
      </c>
      <c r="K53" t="inlineStr"/>
      <c r="L53" t="inlineStr"/>
      <c r="M53" t="inlineStr"/>
      <c r="N53" t="inlineStr">
        <is>
          <t>95</t>
        </is>
      </c>
      <c r="O53" t="inlineStr"/>
      <c r="P53" t="inlineStr">
        <is>
          <t>Ile-de-France</t>
        </is>
      </c>
      <c r="Q53" s="15" t="n">
        <v>46259</v>
      </c>
      <c r="R53" s="15" t="n">
        <v>46293</v>
      </c>
      <c r="S53" s="14" t="n">
        <v>640000</v>
      </c>
      <c r="T53" t="inlineStr">
        <is>
          <t>BUDGET_EXPLICITE_OK</t>
        </is>
      </c>
      <c r="U53" t="inlineStr">
        <is>
          <t>640000.0</t>
        </is>
      </c>
      <c r="V53" t="inlineStr">
        <is>
          <t>non</t>
        </is>
      </c>
      <c r="W53" t="inlineStr">
        <is>
          <t>Mixte/Autre</t>
        </is>
      </c>
      <c r="X53" t="inlineStr">
        <is>
          <t>Mairie</t>
        </is>
      </c>
      <c r="Y53" t="inlineStr">
        <is>
          <t>SERVICES</t>
        </is>
      </c>
      <c r="Z53" t="inlineStr">
        <is>
          <t>Procédure Ouverte</t>
        </is>
      </c>
      <c r="AA53" t="inlineStr">
        <is>
          <t>Avis de marché</t>
        </is>
      </c>
      <c r="AB53" t="inlineStr">
        <is>
          <t>Nettoyage urbain</t>
        </is>
      </c>
      <c r="AC53" t="inlineStr">
        <is>
          <t>['sociaux', 'environnementaux']</t>
        </is>
      </c>
      <c r="AD53" s="11" t="inlineStr">
        <is>
          <t>https://www.boamp.fr/pages/avis/?q=idweb:26-82637</t>
        </is>
      </c>
      <c r="AE53" t="inlineStr">
        <is>
          <t>https://www.achatpublic.com/sdm/ent/gen/ent_detail.do?PCSLID=CSL_2026_tRFCblH-Fv</t>
        </is>
      </c>
      <c r="AF53" t="inlineStr">
        <is>
          <t>https://www.achatpublic.com/sdm/ent/gen/ent_detail.do?PCSLID=CSL_2026_tRFCblH-Fv</t>
        </is>
      </c>
      <c r="AG53" t="inlineStr">
        <is>
          <t>nettoyage, proprete</t>
        </is>
      </c>
      <c r="AH53" t="inlineStr">
        <is>
          <t>3</t>
        </is>
      </c>
      <c r="AI53" t="inlineStr">
        <is>
          <t>76</t>
        </is>
      </c>
      <c r="AJ53" t="inlineStr">
        <is>
          <t>INFO_PARTIELLE</t>
        </is>
      </c>
      <c r="AK53" t="inlineStr">
        <is>
          <t>32.8</t>
        </is>
      </c>
      <c r="AL53" s="16" t="inlineStr">
        <is>
          <t>FROID</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26-82637. Objet: Service de balayage mécanique des espaces publics de la Commune de Montmagny. Acheteur: Commune de Montmagny. Lien: https://www.boamp.fr/pages/avis/?q=idweb:26-82637.</t>
        </is>
      </c>
      <c r="AU53" t="inlineStr">
        <is>
          <t>Verifier url_avis et DCE si disponible</t>
        </is>
      </c>
      <c r="AV53" t="inlineStr"/>
      <c r="AW53" t="inlineStr"/>
      <c r="AX53" t="inlineStr"/>
      <c r="AY53" t="inlineStr"/>
      <c r="AZ53" t="inlineStr"/>
      <c r="BA53" t="inlineStr"/>
      <c r="BB53" t="inlineStr">
        <is>
          <t>+29.0 mots-cles nettoyage forts (2 termes) | -17.2 budget annualise 640 000 EUR | +10 secteur cible Mairie | +9.5 delai 28 j | +1.5 dossier renseigne (3/4)</t>
        </is>
      </c>
      <c r="BC53" t="inlineStr">
        <is>
          <t>Commune de Montmagny publie un AO potentiellement pertinent pour CHRUTH : Service de balayage mécanique des espaces publics de la Commune de Montmagny. Zone : 95. Budget detecte environ 640 000 EUR. Verifier le lien source avant contact.</t>
        </is>
      </c>
      <c r="BD53" t="inlineStr">
        <is>
          <t>Bonjour,
Je me permets de vous contacter au sujet de votre appel d'offres : Service de balayage mécanique des espaces publics de la Commune de Montmagny.
CHRUTH accompagne les structures publiques et privées sur les besoins de nettoyage, d'entretien des locaux et d'organisation de prestations de service.
Serait-il possible d'échanger rapidement afin de vérifier les modalités de réponse et les attentes de Commune de Montmagny ?
Cordialement,</t>
        </is>
      </c>
      <c r="BE53" t="inlineStr">
        <is>
          <t>Bonjour, je vous appelle concernant un appel d'offres publié par Commune de Montmagny.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2026-W35</t>
        </is>
      </c>
    </row>
    <row r="54">
      <c r="A54" t="inlineStr">
        <is>
          <t>BOAMP</t>
        </is>
      </c>
      <c r="B54" t="inlineStr">
        <is>
          <t>26-83350</t>
        </is>
      </c>
      <c r="C54" t="inlineStr">
        <is>
          <t>Sécurité des évènements</t>
        </is>
      </c>
      <c r="D54" t="inlineStr">
        <is>
          <t>Ville de Vitry-sur-Seine</t>
        </is>
      </c>
      <c r="E54" t="inlineStr">
        <is>
          <t>21940081900575</t>
        </is>
      </c>
      <c r="F54" t="inlineStr">
        <is>
          <t>219400819</t>
        </is>
      </c>
      <c r="G54" t="inlineStr"/>
      <c r="H54" t="inlineStr"/>
      <c r="I54" t="inlineStr">
        <is>
          <t>sebastien.guillot@mairie-vitry94.fr</t>
        </is>
      </c>
      <c r="J54" t="inlineStr">
        <is>
          <t>+33 146828378</t>
        </is>
      </c>
      <c r="K54" t="inlineStr"/>
      <c r="L54" t="inlineStr"/>
      <c r="M54" t="inlineStr"/>
      <c r="N54" t="inlineStr">
        <is>
          <t>94</t>
        </is>
      </c>
      <c r="O54" t="inlineStr"/>
      <c r="P54" t="inlineStr">
        <is>
          <t>Ile-de-France</t>
        </is>
      </c>
      <c r="Q54" s="15" t="n">
        <v>46261</v>
      </c>
      <c r="R54" s="15" t="n">
        <v>46300</v>
      </c>
      <c r="S54" t="inlineStr"/>
      <c r="T54" t="inlineStr">
        <is>
          <t>A_VERIFIER_BUDGET</t>
        </is>
      </c>
      <c r="U54" t="inlineStr"/>
      <c r="V54" t="inlineStr">
        <is>
          <t>non</t>
        </is>
      </c>
      <c r="W54" t="inlineStr">
        <is>
          <t>Personnel</t>
        </is>
      </c>
      <c r="X54" t="inlineStr">
        <is>
          <t>Mairie</t>
        </is>
      </c>
      <c r="Y54" t="inlineStr">
        <is>
          <t>SERVICES</t>
        </is>
      </c>
      <c r="Z54" t="inlineStr">
        <is>
          <t>Procédure NC</t>
        </is>
      </c>
      <c r="AA54" t="inlineStr">
        <is>
          <t>Avis de marché</t>
        </is>
      </c>
      <c r="AB54" t="inlineStr">
        <is>
          <t>Gardiennage</t>
        </is>
      </c>
      <c r="AC54" t="inlineStr"/>
      <c r="AD54" s="11" t="inlineStr">
        <is>
          <t>https://www.boamp.fr/pages/avis/?q=idweb:26-83350</t>
        </is>
      </c>
      <c r="AE54" t="inlineStr">
        <is>
          <t>https://marches.maximilien.fr</t>
        </is>
      </c>
      <c r="AF54" t="inlineStr">
        <is>
          <t>https://marches.maximilien.fr</t>
        </is>
      </c>
      <c r="AG54" t="inlineStr"/>
      <c r="AH54" t="inlineStr">
        <is>
          <t>3</t>
        </is>
      </c>
      <c r="AI54" t="inlineStr">
        <is>
          <t>60</t>
        </is>
      </c>
      <c r="AJ54" t="inlineStr">
        <is>
          <t>INFO_PARTIELLE</t>
        </is>
      </c>
      <c r="AK54" t="inlineStr">
        <is>
          <t>31.5</t>
        </is>
      </c>
      <c r="AL54" s="16" t="inlineStr">
        <is>
          <t>FROID</t>
        </is>
      </c>
      <c r="AM54" t="inlineStr"/>
      <c r="AN54" t="inlineStr"/>
      <c r="AO54" t="inlineStr"/>
      <c r="AP54" t="inlineStr"/>
      <c r="AQ54" t="inlineStr">
        <is>
          <t>IA_BUDGET_A_VERIFIER</t>
        </is>
      </c>
      <c r="AR54" t="inlineStr">
        <is>
          <t>Verifier le budget dans l'avis source ou le DCE avant decision commerciale.</t>
        </is>
      </c>
      <c r="AS54" t="inlineStr">
        <is>
          <t>adresse, ville, budget</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26-83350. Objet: Sécurité des évènements. Acheteur: Ville de Vitry-sur-Seine. Lien: https://www.boamp.fr/pages/avis/?q=idweb:26-83350.</t>
        </is>
      </c>
      <c r="AU54" t="inlineStr">
        <is>
          <t>Verifier url_avis et DCE si disponible</t>
        </is>
      </c>
      <c r="AV54" t="inlineStr">
        <is>
          <t>LIEN_SEUL</t>
        </is>
      </c>
      <c r="AW54" t="inlineStr"/>
      <c r="AX54" t="inlineStr"/>
      <c r="AY54" t="inlineStr"/>
      <c r="AZ54" t="inlineStr"/>
      <c r="BA54" t="inlineStr"/>
      <c r="BB54" t="inlineStr">
        <is>
          <t>0 pertinence metier faible | +10 budget non affiche (a verifier) | +10 secteur cible Mairie | +10.0 delai 35 j | +1.5 dossier renseigne (3/4)</t>
        </is>
      </c>
      <c r="BC54" t="inlineStr">
        <is>
          <t>Ville de Vitry-sur-Seine publie un AO potentiellement pertinent pour CHRUTH : Sécurité des évènements. Zone : 94. Budget a verifier. Verifier le lien source avant contact.</t>
        </is>
      </c>
      <c r="BD54" t="inlineStr">
        <is>
          <t>Bonjour,
Je me permets de vous contacter au sujet de votre appel d'offres : Sécurité des évènements.
CHRUTH accompagne les structures publiques et privées sur les besoins de nettoyage, d'entretien des locaux et d'organisation de prestations de service.
Serait-il possible d'échanger rapidement afin de vérifier les modalités de réponse et les attentes de Ville de Vitry-sur-Seine ?
Cordialement,</t>
        </is>
      </c>
      <c r="BE54" t="inlineStr">
        <is>
          <t>Bonjour, je vous appelle concernant un appel d'offres publié par Ville de Vitry-sur-Seine.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2026-W35</t>
        </is>
      </c>
    </row>
    <row r="55">
      <c r="A55" t="inlineStr">
        <is>
          <t>BOAMP</t>
        </is>
      </c>
      <c r="B55" t="inlineStr">
        <is>
          <t>26-82779</t>
        </is>
      </c>
      <c r="C55" t="inlineStr">
        <is>
          <t>GESTION ET NETTOYAGE DE BASE VIE ET DE STRUCTURES MODULAIRES</t>
        </is>
      </c>
      <c r="D55" t="inlineStr">
        <is>
          <t>ETBT du Château de Versailles</t>
        </is>
      </c>
      <c r="E55" t="inlineStr">
        <is>
          <t>18004626000014</t>
        </is>
      </c>
      <c r="F55" t="inlineStr">
        <is>
          <t>180046260</t>
        </is>
      </c>
      <c r="G55" t="inlineStr"/>
      <c r="H55" t="inlineStr"/>
      <c r="I55" t="inlineStr">
        <is>
          <t>bmdpj@chateauversailles.fr</t>
        </is>
      </c>
      <c r="J55" t="inlineStr">
        <is>
          <t>0462600001</t>
        </is>
      </c>
      <c r="K55" t="inlineStr"/>
      <c r="L55" t="inlineStr"/>
      <c r="M55" t="inlineStr"/>
      <c r="N55" t="inlineStr">
        <is>
          <t>78</t>
        </is>
      </c>
      <c r="O55" t="inlineStr"/>
      <c r="P55" t="inlineStr">
        <is>
          <t>Ile-de-France</t>
        </is>
      </c>
      <c r="Q55" s="15" t="n">
        <v>46260</v>
      </c>
      <c r="R55" s="15" t="n">
        <v>46307</v>
      </c>
      <c r="S55" s="14" t="n">
        <v>350000</v>
      </c>
      <c r="T55" t="inlineStr">
        <is>
          <t>BUDGET_EXPLICITE_OK</t>
        </is>
      </c>
      <c r="U55" t="inlineStr">
        <is>
          <t>350000.0</t>
        </is>
      </c>
      <c r="V55" t="inlineStr">
        <is>
          <t>non</t>
        </is>
      </c>
      <c r="W55" t="inlineStr">
        <is>
          <t>Mixte/Autre</t>
        </is>
      </c>
      <c r="X55" t="inlineStr">
        <is>
          <t>Autre</t>
        </is>
      </c>
      <c r="Y55" t="inlineStr">
        <is>
          <t>SERVICES</t>
        </is>
      </c>
      <c r="Z55" t="inlineStr">
        <is>
          <t>Procédure Ouverte</t>
        </is>
      </c>
      <c r="AA55" t="inlineStr">
        <is>
          <t>Avis de marché</t>
        </is>
      </c>
      <c r="AB55" t="inlineStr">
        <is>
          <t>Prestations de services</t>
        </is>
      </c>
      <c r="AC55" t="inlineStr"/>
      <c r="AD55" s="11" t="inlineStr">
        <is>
          <t>https://www.boamp.fr/pages/avis/?q=idweb:26-82779</t>
        </is>
      </c>
      <c r="AE55" t="inlineStr">
        <is>
          <t>https://www.achatpublic.com/sdm/ent/gen/ent_detail.do?PCSLID=CSL_2026_K0GSdVTAwn</t>
        </is>
      </c>
      <c r="AF55" t="inlineStr">
        <is>
          <t>https://www.achatpublic.com/sdm/ent/gen/ent_detail.do?PCSLID=CSL_2026_K0GSdVTAwn</t>
        </is>
      </c>
      <c r="AG55" t="inlineStr">
        <is>
          <t>nettoyage</t>
        </is>
      </c>
      <c r="AH55" t="inlineStr">
        <is>
          <t>3</t>
        </is>
      </c>
      <c r="AI55" t="inlineStr">
        <is>
          <t>68</t>
        </is>
      </c>
      <c r="AJ55" t="inlineStr">
        <is>
          <t>INFO_PARTIELLE</t>
        </is>
      </c>
      <c r="AK55" t="inlineStr">
        <is>
          <t>30.0</t>
        </is>
      </c>
      <c r="AL55" s="16"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26-82779. Objet: GESTION ET NETTOYAGE DE BASE VIE ET DE STRUCTURES MODULAIRES. Acheteur: ETBT du Château de Versailles. Lien: https://www.boamp.fr/pages/avis/?q=idweb:26-82779.</t>
        </is>
      </c>
      <c r="AU55" t="inlineStr">
        <is>
          <t>Verifier url_avis et DCE si disponible</t>
        </is>
      </c>
      <c r="AV55" t="inlineStr"/>
      <c r="AW55" t="inlineStr"/>
      <c r="AX55" t="inlineStr"/>
      <c r="AY55" t="inlineStr"/>
      <c r="AZ55" t="inlineStr"/>
      <c r="BA55" t="inlineStr"/>
      <c r="BB55" t="inlineStr">
        <is>
          <t>+28.5 mots-cles nettoyage forts (1 termes) | -10.0 budget annualise 350 000 EUR | +10.0 delai 42 j | +1.5 dossier renseigne (3/4)</t>
        </is>
      </c>
      <c r="BC55" t="inlineStr">
        <is>
          <t>ETBT du Château de Versailles publie un AO potentiellement pertinent pour CHRUTH : GESTION ET NETTOYAGE DE BASE VIE ET DE STRUCTURES MODULAIRES. Zone : 78. Budget detecte environ 350 000 EUR. Verifier le lien source avant contact.</t>
        </is>
      </c>
      <c r="BD55" t="inlineStr">
        <is>
          <t>Bonjour,
Je me permets de vous contacter au sujet de votre appel d'offres : GESTION ET NETTOYAGE DE BASE VIE ET DE STRUCTURES MODULAIRES.
CHRUTH accompagne les structures publiques et privées sur les besoins de nettoyage, d'entretien des locaux et d'organisation de prestations de service.
Serait-il possible d'échanger rapidement afin de vérifier les modalités de réponse et les attentes de ETBT du Château de Versailles ?
Cordialement,</t>
        </is>
      </c>
      <c r="BE55" t="inlineStr">
        <is>
          <t>Bonjour, je vous appelle concernant un appel d'offres publié par ETBT du Château de Versailles.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2026-W35</t>
        </is>
      </c>
    </row>
    <row r="56">
      <c r="A56" t="inlineStr">
        <is>
          <t>BOAMP</t>
        </is>
      </c>
      <c r="B56" t="inlineStr">
        <is>
          <t>26-73389</t>
        </is>
      </c>
      <c r="C56" t="inlineStr">
        <is>
          <t>PRESTATIONS DE SECURITE, GARDIENNAGE ET SURETE DES ARENES DE GRAND PARIS SUD</t>
        </is>
      </c>
      <c r="D56" t="inlineStr">
        <is>
          <t>CA GRAND PARIS SUD SEINE ESSONNE SENART</t>
        </is>
      </c>
      <c r="E56" t="inlineStr">
        <is>
          <t>20005922800011</t>
        </is>
      </c>
      <c r="F56" t="inlineStr">
        <is>
          <t>200059228</t>
        </is>
      </c>
      <c r="G56" t="inlineStr"/>
      <c r="H56" t="inlineStr"/>
      <c r="I56" t="inlineStr">
        <is>
          <t>commande.publique@grandparissud.fr</t>
        </is>
      </c>
      <c r="J56" t="inlineStr">
        <is>
          <t>0592280001</t>
        </is>
      </c>
      <c r="K56" t="inlineStr"/>
      <c r="L56" t="inlineStr"/>
      <c r="M56" t="inlineStr"/>
      <c r="N56" t="inlineStr">
        <is>
          <t>91,77</t>
        </is>
      </c>
      <c r="O56" t="inlineStr"/>
      <c r="P56" t="inlineStr">
        <is>
          <t>Ile-de-France</t>
        </is>
      </c>
      <c r="Q56" s="15" t="n">
        <v>46227</v>
      </c>
      <c r="R56" s="15" t="n">
        <v>46293</v>
      </c>
      <c r="S56" s="14" t="n">
        <v>300000</v>
      </c>
      <c r="T56" t="inlineStr">
        <is>
          <t>BUDGET_EXPLICITE_OK</t>
        </is>
      </c>
      <c r="U56" t="inlineStr">
        <is>
          <t>75000</t>
        </is>
      </c>
      <c r="V56" t="inlineStr">
        <is>
          <t>oui</t>
        </is>
      </c>
      <c r="W56" t="inlineStr">
        <is>
          <t>Personnel</t>
        </is>
      </c>
      <c r="X56" t="inlineStr">
        <is>
          <t>Autre</t>
        </is>
      </c>
      <c r="Y56" t="inlineStr">
        <is>
          <t>SERVICES</t>
        </is>
      </c>
      <c r="Z56" t="inlineStr">
        <is>
          <t>Procédure Ouverte</t>
        </is>
      </c>
      <c r="AA56" t="inlineStr">
        <is>
          <t>Avis de marché</t>
        </is>
      </c>
      <c r="AB56" t="inlineStr">
        <is>
          <t>Surveillance</t>
        </is>
      </c>
      <c r="AC56" t="inlineStr">
        <is>
          <t>['sociaux', 'environnementaux']</t>
        </is>
      </c>
      <c r="AD56" s="11" t="inlineStr">
        <is>
          <t>https://www.boamp.fr/pages/avis/?q=idweb:26-73389</t>
        </is>
      </c>
      <c r="AE56" t="inlineStr">
        <is>
          <t>https://www.achatpublic.com/sdm/ent/gen/ent_detail.do?PCSLID=CSL_2026_drUDYVSvmp</t>
        </is>
      </c>
      <c r="AF56" t="inlineStr">
        <is>
          <t>https://www.achatpublic.com/sdm/ent/gen/ent_detail.do?PCSLID=CSL_2026_drUDYVSvmp</t>
        </is>
      </c>
      <c r="AG56" t="inlineStr"/>
      <c r="AH56" t="inlineStr">
        <is>
          <t>3</t>
        </is>
      </c>
      <c r="AI56" t="inlineStr">
        <is>
          <t>60</t>
        </is>
      </c>
      <c r="AJ56" t="inlineStr">
        <is>
          <t>INFO_PARTIELLE</t>
        </is>
      </c>
      <c r="AK56" t="inlineStr">
        <is>
          <t>30</t>
        </is>
      </c>
      <c r="AL56" s="16" t="inlineStr">
        <is>
          <t>FROID</t>
        </is>
      </c>
      <c r="AM56" t="inlineStr"/>
      <c r="AN56" t="inlineStr"/>
      <c r="AO56" t="inlineStr"/>
      <c r="AP56" t="inlineStr"/>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56" t="inlineStr">
        <is>
          <t>Verifier url_avis et DCE si disponible</t>
        </is>
      </c>
      <c r="AV56" t="inlineStr"/>
      <c r="AW56" t="inlineStr"/>
      <c r="AX56" t="inlineStr"/>
      <c r="AY56" t="inlineStr"/>
      <c r="AZ56" t="inlineStr"/>
      <c r="BA56" t="inlineStr"/>
      <c r="BB56" t="inlineStr">
        <is>
          <t>0 pertinence metier faible | +20 budget annualise &lt;= 100 000 EUR | +10 delai confortable 62j</t>
        </is>
      </c>
      <c r="BC56" t="inlineStr">
        <is>
          <t>CA GRAND PARIS SUD SEINE ESSONNE SENART publie un AO potentiellement pertinent pour CHRUTH : PRESTATIONS DE SECURITE, GARDIENNAGE ET SURETE DES ARENES DE GRAND PARIS SUD. Zone : 91,77. Budget detecte environ 300 000 EUR. Verifier le lien source avant contact.</t>
        </is>
      </c>
      <c r="BD56"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6"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2026-W30</t>
        </is>
      </c>
    </row>
    <row r="57">
      <c r="A57" t="inlineStr">
        <is>
          <t>BOAMP</t>
        </is>
      </c>
      <c r="B57" t="inlineStr">
        <is>
          <t>26-74661</t>
        </is>
      </c>
      <c r="C57" t="inlineStr">
        <is>
          <t>Services de mise à disposition de personnels temporaires pour le Ccca-Btp</t>
        </is>
      </c>
      <c r="D57" t="inlineStr">
        <is>
          <t>Comité de concertation et de coordination de l'apprentissage du Btp</t>
        </is>
      </c>
      <c r="E57" t="inlineStr">
        <is>
          <t>77568322000104</t>
        </is>
      </c>
      <c r="F57" t="inlineStr">
        <is>
          <t>775683220</t>
        </is>
      </c>
      <c r="G57" t="inlineStr">
        <is>
          <t>cm.pragma9@ccca-btp.fr</t>
        </is>
      </c>
      <c r="H57" t="inlineStr"/>
      <c r="I57" t="inlineStr">
        <is>
          <t>cm.pragma9@ccca-btp.fr</t>
        </is>
      </c>
      <c r="J57" t="inlineStr">
        <is>
          <t>07-24 2026-09</t>
        </is>
      </c>
      <c r="K57" t="inlineStr">
        <is>
          <t>rue du Père Corentin 75014 - PARIS</t>
        </is>
      </c>
      <c r="L57" t="inlineStr">
        <is>
          <t>75014</t>
        </is>
      </c>
      <c r="M57" t="inlineStr">
        <is>
          <t>Paris</t>
        </is>
      </c>
      <c r="N57" t="inlineStr">
        <is>
          <t>75</t>
        </is>
      </c>
      <c r="O57" t="inlineStr"/>
      <c r="P57" t="inlineStr">
        <is>
          <t>Ile-de-France</t>
        </is>
      </c>
      <c r="Q57" s="15" t="n">
        <v>46227</v>
      </c>
      <c r="R57" s="15" t="n">
        <v>46269</v>
      </c>
      <c r="S57" s="14" t="n">
        <v>75014</v>
      </c>
      <c r="T57" t="inlineStr">
        <is>
          <t>BUDGET_SOUS_SEUIL</t>
        </is>
      </c>
      <c r="U57" t="inlineStr">
        <is>
          <t>75014.0</t>
        </is>
      </c>
      <c r="V57" t="inlineStr">
        <is>
          <t>non</t>
        </is>
      </c>
      <c r="W57" t="inlineStr">
        <is>
          <t>Personnel</t>
        </is>
      </c>
      <c r="X57" t="inlineStr">
        <is>
          <t>Autre</t>
        </is>
      </c>
      <c r="Y57" t="inlineStr">
        <is>
          <t>SERVICES</t>
        </is>
      </c>
      <c r="Z57" t="inlineStr">
        <is>
          <t>Procédure Ouverte</t>
        </is>
      </c>
      <c r="AA57" t="inlineStr">
        <is>
          <t>Avis de marché</t>
        </is>
      </c>
      <c r="AB57" t="inlineStr">
        <is>
          <t>Mise à disposition de personnel</t>
        </is>
      </c>
      <c r="AC57" t="inlineStr">
        <is>
          <t>['environnementaux']</t>
        </is>
      </c>
      <c r="AD57" s="11" t="inlineStr">
        <is>
          <t>https://www.boamp.fr/pages/avis/?q=idweb:26-74661</t>
        </is>
      </c>
      <c r="AE57" t="inlineStr">
        <is>
          <t>https://www.marches-publics.info/mpiaws/index.cfm?fuseaction=dematent.login&amp;type=Dce&amp;Idm=1855311</t>
        </is>
      </c>
      <c r="AF57" t="inlineStr">
        <is>
          <t>https://www.marches-publics.info/mpiaws/index.cfm?fuseaction=dematent.login&amp;type=Dce&amp;Idm=1855311</t>
        </is>
      </c>
      <c r="AG57" t="inlineStr"/>
      <c r="AH57" t="inlineStr">
        <is>
          <t>6</t>
        </is>
      </c>
      <c r="AI57" t="inlineStr">
        <is>
          <t>90</t>
        </is>
      </c>
      <c r="AJ57" t="inlineStr">
        <is>
          <t>INFO_PARTIELLE</t>
        </is>
      </c>
      <c r="AK57" t="inlineStr">
        <is>
          <t>30</t>
        </is>
      </c>
      <c r="AL57" s="16" t="inlineStr">
        <is>
          <t>FROID</t>
        </is>
      </c>
      <c r="AM57" t="inlineStr"/>
      <c r="AN57" t="inlineStr"/>
      <c r="AO57" t="inlineStr"/>
      <c r="AP57" t="inlineStr"/>
      <c r="AQ57" t="inlineStr">
        <is>
          <t>IA_CONTROLE_SOURCE</t>
        </is>
      </c>
      <c r="AR57" t="inlineStr">
        <is>
          <t>Verifier rapidement la source avant contact.</t>
        </is>
      </c>
      <c r="AS57" t="inlineStr">
        <is>
          <t>Aucun champ critique manquant</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57" t="inlineStr">
        <is>
          <t>Verifier url_avis et DCE si disponible</t>
        </is>
      </c>
      <c r="AV57" t="inlineStr"/>
      <c r="AW57" t="inlineStr"/>
      <c r="AX57" t="inlineStr"/>
      <c r="AY57" t="inlineStr"/>
      <c r="AZ57" t="inlineStr"/>
      <c r="BA57" t="inlineStr"/>
      <c r="BB57" t="inlineStr">
        <is>
          <t>0 pertinence metier faible | +20 budget annualise &lt;= 100 000 EUR | +10 delai confortable 38j</t>
        </is>
      </c>
      <c r="BC57"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57"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57"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57" t="inlineStr"/>
      <c r="BG57" t="inlineStr"/>
      <c r="BH57" t="inlineStr"/>
      <c r="BI57" t="inlineStr"/>
      <c r="BJ57" t="inlineStr"/>
      <c r="BK57" t="inlineStr"/>
      <c r="BL57" t="inlineStr"/>
      <c r="BM57" t="inlineStr">
        <is>
          <t>2026-W30</t>
        </is>
      </c>
    </row>
    <row r="58">
      <c r="A58" t="inlineStr">
        <is>
          <t>BOAMP</t>
        </is>
      </c>
      <c r="B58" t="inlineStr">
        <is>
          <t>26-78332</t>
        </is>
      </c>
      <c r="C58" t="inlineStr">
        <is>
          <t>ENTRETIEN DES ESPACES VERTS</t>
        </is>
      </c>
      <c r="D58" t="inlineStr">
        <is>
          <t>COMMUNE DE FONTENAY-SOUS-BOIS</t>
        </is>
      </c>
      <c r="E58" t="inlineStr">
        <is>
          <t>21940033000011</t>
        </is>
      </c>
      <c r="F58" t="inlineStr">
        <is>
          <t>219400330</t>
        </is>
      </c>
      <c r="G58" t="inlineStr"/>
      <c r="H58" t="inlineStr"/>
      <c r="I58" t="inlineStr">
        <is>
          <t>achats@fontenay-sous-bois.fr</t>
        </is>
      </c>
      <c r="J58" t="inlineStr">
        <is>
          <t>+33 149747474</t>
        </is>
      </c>
      <c r="K58" t="inlineStr"/>
      <c r="L58" t="inlineStr"/>
      <c r="M58" t="inlineStr"/>
      <c r="N58" t="inlineStr">
        <is>
          <t>94</t>
        </is>
      </c>
      <c r="O58" t="inlineStr"/>
      <c r="P58" t="inlineStr">
        <is>
          <t>Ile-de-France</t>
        </is>
      </c>
      <c r="Q58" s="15" t="n">
        <v>46241</v>
      </c>
      <c r="R58" s="15" t="n">
        <v>46283</v>
      </c>
      <c r="S58" t="inlineStr"/>
      <c r="T58" t="inlineStr">
        <is>
          <t>A_VERIFIER_BUDGET</t>
        </is>
      </c>
      <c r="U58" t="inlineStr"/>
      <c r="V58" t="inlineStr">
        <is>
          <t>non</t>
        </is>
      </c>
      <c r="W58" t="inlineStr">
        <is>
          <t>Personnel</t>
        </is>
      </c>
      <c r="X58" t="inlineStr">
        <is>
          <t>Mairie</t>
        </is>
      </c>
      <c r="Y58" t="inlineStr">
        <is>
          <t>SERVICES</t>
        </is>
      </c>
      <c r="Z58" t="inlineStr">
        <is>
          <t>Procédure Ouverte</t>
        </is>
      </c>
      <c r="AA58" t="inlineStr">
        <is>
          <t>Avis de marché</t>
        </is>
      </c>
      <c r="AB58" t="inlineStr">
        <is>
          <t>Espaces verts</t>
        </is>
      </c>
      <c r="AC58" t="inlineStr"/>
      <c r="AD58" s="11" t="inlineStr">
        <is>
          <t>https://www.boamp.fr/pages/avis/?q=idweb:26-78332</t>
        </is>
      </c>
      <c r="AE58" t="inlineStr">
        <is>
          <t>https://www.fontenay.fr/index.html</t>
        </is>
      </c>
      <c r="AF58" t="inlineStr"/>
      <c r="AG58" t="inlineStr"/>
      <c r="AH58" t="inlineStr">
        <is>
          <t>3</t>
        </is>
      </c>
      <c r="AI58" t="inlineStr">
        <is>
          <t>60</t>
        </is>
      </c>
      <c r="AJ58" t="inlineStr">
        <is>
          <t>INFO_PARTIELLE</t>
        </is>
      </c>
      <c r="AK58" t="inlineStr">
        <is>
          <t>28.5</t>
        </is>
      </c>
      <c r="AL58" s="16" t="inlineStr">
        <is>
          <t>FROID</t>
        </is>
      </c>
      <c r="AM58" t="inlineStr"/>
      <c r="AN58" t="inlineStr"/>
      <c r="AO58" t="inlineStr"/>
      <c r="AP58" t="inlineStr"/>
      <c r="AQ58" t="inlineStr">
        <is>
          <t>IA_BUDGET_A_VERIFIER</t>
        </is>
      </c>
      <c r="AR58" t="inlineStr">
        <is>
          <t>Verifier le budget dans l'avis source ou le DCE avant decision commerciale.</t>
        </is>
      </c>
      <c r="AS58" t="inlineStr">
        <is>
          <t>adresse, ville, budget</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26-78332. Objet: ENTRETIEN DES ESPACES VERTS. Acheteur: COMMUNE DE FONTENAY-SOUS-BOIS. Lien: https://www.boamp.fr/pages/avis/?q=idweb:26-78332.</t>
        </is>
      </c>
      <c r="AU58" t="inlineStr">
        <is>
          <t>Verifier url_avis et DCE si disponible</t>
        </is>
      </c>
      <c r="AV58" t="inlineStr">
        <is>
          <t>LIEN_SEUL</t>
        </is>
      </c>
      <c r="AW58" t="inlineStr"/>
      <c r="AX58" t="inlineStr"/>
      <c r="AY58" t="inlineStr"/>
      <c r="AZ58" t="inlineStr"/>
      <c r="BA58" t="inlineStr"/>
      <c r="BB58" t="inlineStr">
        <is>
          <t>0 pertinence metier faible | +10 budget non affiche (a verifier) | +10 secteur cible Mairie | +7.0 delai 18 j | +1.5 dossier renseigne (3/4)</t>
        </is>
      </c>
      <c r="BC58" t="inlineStr">
        <is>
          <t>COMMUNE DE FONTENAY-SOUS-BOIS publie un AO potentiellement pertinent pour CHRUTH : ENTRETIEN DES ESPACES VERTS. Zone : 94. Budget a verifier. Verifier le lien source avant contact.</t>
        </is>
      </c>
      <c r="BD58"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58"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2026-W32</t>
        </is>
      </c>
    </row>
    <row r="59">
      <c r="A59" t="inlineStr">
        <is>
          <t>BOAMP</t>
        </is>
      </c>
      <c r="B59" t="inlineStr">
        <is>
          <t>26-81749</t>
        </is>
      </c>
      <c r="C59" t="inlineStr">
        <is>
          <t>Blanchissage et nettoyage d'effets de travail et de couchage au profit des organismes soutenus par le GSC IdF - BRD PEM</t>
        </is>
      </c>
      <c r="D59" t="inlineStr">
        <is>
          <t>PFC Paris</t>
        </is>
      </c>
      <c r="E59" t="inlineStr">
        <is>
          <t>13001534000016</t>
        </is>
      </c>
      <c r="F59" t="inlineStr">
        <is>
          <t>130015340</t>
        </is>
      </c>
      <c r="G59" t="inlineStr"/>
      <c r="H59" t="inlineStr"/>
      <c r="I59" t="inlineStr">
        <is>
          <t>pfc-paris-bap.ach.fct@intradef.gouv.fr</t>
        </is>
      </c>
      <c r="J59" t="inlineStr">
        <is>
          <t>0153400001</t>
        </is>
      </c>
      <c r="K59" t="inlineStr"/>
      <c r="L59" t="inlineStr"/>
      <c r="M59" t="inlineStr"/>
      <c r="N59" t="inlineStr">
        <is>
          <t>78,75,94</t>
        </is>
      </c>
      <c r="O59" t="inlineStr"/>
      <c r="P59" t="inlineStr">
        <is>
          <t>Ile-de-France</t>
        </is>
      </c>
      <c r="Q59" s="15" t="n">
        <v>46255</v>
      </c>
      <c r="R59" s="15" t="n">
        <v>46287</v>
      </c>
      <c r="S59" s="14" t="n">
        <v>600000</v>
      </c>
      <c r="T59" t="inlineStr">
        <is>
          <t>BUDGET_EXPLICITE_OK</t>
        </is>
      </c>
      <c r="U59" t="inlineStr">
        <is>
          <t>600000.0</t>
        </is>
      </c>
      <c r="V59" t="inlineStr">
        <is>
          <t>non</t>
        </is>
      </c>
      <c r="W59" t="inlineStr">
        <is>
          <t>Bureaux</t>
        </is>
      </c>
      <c r="X59" t="inlineStr">
        <is>
          <t>Autre</t>
        </is>
      </c>
      <c r="Y59" t="inlineStr">
        <is>
          <t>SERVICES</t>
        </is>
      </c>
      <c r="Z59" t="inlineStr">
        <is>
          <t>Procédure Ouverte</t>
        </is>
      </c>
      <c r="AA59" t="inlineStr">
        <is>
          <t>Avis de marché</t>
        </is>
      </c>
      <c r="AB59" t="inlineStr">
        <is>
          <t>Blanchissage</t>
        </is>
      </c>
      <c r="AC59" t="inlineStr">
        <is>
          <t>['sociaux', 'environnementaux']</t>
        </is>
      </c>
      <c r="AD59" s="11" t="inlineStr">
        <is>
          <t>https://www.boamp.fr/pages/avis/?q=idweb:26-81749</t>
        </is>
      </c>
      <c r="AE59" t="inlineStr">
        <is>
          <t>https://marches-publics.gouv.fr</t>
        </is>
      </c>
      <c r="AF59" t="inlineStr">
        <is>
          <t>https://marches-publics.gouv.fr</t>
        </is>
      </c>
      <c r="AG59" t="inlineStr">
        <is>
          <t>nettoyage</t>
        </is>
      </c>
      <c r="AH59" t="inlineStr">
        <is>
          <t>3</t>
        </is>
      </c>
      <c r="AI59" t="inlineStr">
        <is>
          <t>68</t>
        </is>
      </c>
      <c r="AJ59" t="inlineStr">
        <is>
          <t>INFO_PARTIELLE</t>
        </is>
      </c>
      <c r="AK59" t="inlineStr">
        <is>
          <t>26.8</t>
        </is>
      </c>
      <c r="AL59" s="16" t="inlineStr">
        <is>
          <t>FROID</t>
        </is>
      </c>
      <c r="AM59" t="inlineStr"/>
      <c r="AN59" t="inlineStr"/>
      <c r="AO59" t="inlineStr"/>
      <c r="AP59" t="inlineStr"/>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26-81749. Objet: Blanchissage et nettoyage d'effets de travail et de couchage au profit des organismes soutenus par le GSC IdF - BRD PEM. Acheteur: PFC Paris. Lien: https://www.boamp.fr/pages/avis/?q=idweb:26-81749.</t>
        </is>
      </c>
      <c r="AU59" t="inlineStr">
        <is>
          <t>Verifier url_avis et DCE si disponible</t>
        </is>
      </c>
      <c r="AV59" t="inlineStr"/>
      <c r="AW59" t="inlineStr"/>
      <c r="AX59" t="inlineStr"/>
      <c r="AY59" t="inlineStr"/>
      <c r="AZ59" t="inlineStr"/>
      <c r="BA59" t="inlineStr"/>
      <c r="BB59" t="inlineStr">
        <is>
          <t>+33.5 nettoyage + categorie claire (1 termes) | -16.2 budget annualise 600 000 EUR | +8.0 delai 22 j | +1.5 dossier renseigne (3/4)</t>
        </is>
      </c>
      <c r="BC59" t="inlineStr">
        <is>
          <t>PFC Paris publie un AO potentiellement pertinent pour CHRUTH : Blanchissage et nettoyage d'effets de travail et de couchage au profit des organismes soutenus par le GSC IdF - BRD PEM. Zone : 78,75,94. Budget detecte environ 600 000 EUR. Verifier le lien source avant contact.</t>
        </is>
      </c>
      <c r="BD59" t="inlineStr">
        <is>
          <t>Bonjour,
Je me permets de vous contacter au sujet de votre appel d'offres : Blanchissage et nettoyage d'effets de travail et de couchage au profit des organismes soutenus par le GSC IdF - BRD PEM.
CHRUTH accompagne les structures publiques et privées sur les besoins de nettoyage, d'entretien des locaux et d'organisation de prestations de service.
Serait-il possible d'échanger rapidement afin de vérifier les modalités de réponse et les attentes de PFC Paris ?
Cordialement,</t>
        </is>
      </c>
      <c r="BE59" t="inlineStr">
        <is>
          <t>Bonjour, je vous appelle concernant un appel d'offres publié par PFC Paris. Je souhaite vérifier les informations pratiques : périmètre des prestations, date limite, modalités de visite, contact technique et pièces attendues. Pouvez-vous m'indiquer la bonne personne à contacter ?</t>
        </is>
      </c>
      <c r="BF59" t="inlineStr"/>
      <c r="BG59" t="inlineStr"/>
      <c r="BH59" t="inlineStr"/>
      <c r="BI59" t="inlineStr"/>
      <c r="BJ59" t="inlineStr"/>
      <c r="BK59" t="inlineStr"/>
      <c r="BL59" t="inlineStr"/>
      <c r="BM59" t="inlineStr">
        <is>
          <t>2026-W34</t>
        </is>
      </c>
    </row>
    <row r="60">
      <c r="A60" t="inlineStr">
        <is>
          <t>BOAMP</t>
        </is>
      </c>
      <c r="B60" t="inlineStr">
        <is>
          <t>26-76493</t>
        </is>
      </c>
      <c r="C60" t="inlineStr">
        <is>
          <t>Nettoyage des parties communes, remplacement du personnel d’entretien et prestations de proximité, de continuité d’exploitation et de contrôle qualité du patrimoine de la SEM SOHP</t>
        </is>
      </c>
      <c r="D60" t="inlineStr">
        <is>
          <t>SEM SEINE OUEST HABITAT ET PATRIMOINE</t>
        </is>
      </c>
      <c r="E60" t="inlineStr">
        <is>
          <t>99864030400015</t>
        </is>
      </c>
      <c r="F60" t="inlineStr">
        <is>
          <t>998640304</t>
        </is>
      </c>
      <c r="G60" t="inlineStr"/>
      <c r="H60" t="inlineStr"/>
      <c r="I60" t="inlineStr">
        <is>
          <t>Infos@sohp.fr</t>
        </is>
      </c>
      <c r="J60" t="inlineStr">
        <is>
          <t>0146444190</t>
        </is>
      </c>
      <c r="K60" t="inlineStr"/>
      <c r="L60" t="inlineStr"/>
      <c r="M60" t="inlineStr"/>
      <c r="N60" t="inlineStr">
        <is>
          <t>92</t>
        </is>
      </c>
      <c r="O60" t="inlineStr"/>
      <c r="P60" t="inlineStr">
        <is>
          <t>Ile-de-France</t>
        </is>
      </c>
      <c r="Q60" s="15" t="n">
        <v>46235</v>
      </c>
      <c r="R60" s="15" t="n">
        <v>46297</v>
      </c>
      <c r="S60" s="14" t="n">
        <v>14000000</v>
      </c>
      <c r="T60" t="inlineStr">
        <is>
          <t>BUDGET_EXPLICITE_OK</t>
        </is>
      </c>
      <c r="U60" t="inlineStr">
        <is>
          <t>3500000</t>
        </is>
      </c>
      <c r="V60" t="inlineStr">
        <is>
          <t>oui</t>
        </is>
      </c>
      <c r="W60" t="inlineStr">
        <is>
          <t>Batiments</t>
        </is>
      </c>
      <c r="X60" t="inlineStr">
        <is>
          <t>Autre</t>
        </is>
      </c>
      <c r="Y60" t="inlineStr">
        <is>
          <t>SERVICES</t>
        </is>
      </c>
      <c r="Z60" t="inlineStr">
        <is>
          <t>Procédure Ouverte</t>
        </is>
      </c>
      <c r="AA60" t="inlineStr">
        <is>
          <t>Avis de marché</t>
        </is>
      </c>
      <c r="AB60" t="inlineStr">
        <is>
          <t>Nettoyage de locaux, Prestations de services</t>
        </is>
      </c>
      <c r="AC60" t="inlineStr">
        <is>
          <t>['sociaux', 'environnementaux']</t>
        </is>
      </c>
      <c r="AD60" s="11" t="inlineStr">
        <is>
          <t>https://www.boamp.fr/pages/avis/?q=idweb:26-76493</t>
        </is>
      </c>
      <c r="AE60" t="inlineStr">
        <is>
          <t>http://www.achatpublic.com/sdm/ent/gen/index.jsp</t>
        </is>
      </c>
      <c r="AF60" t="inlineStr">
        <is>
          <t>http://www.achatpublic.com/sdm/ent/gen/index.jsp</t>
        </is>
      </c>
      <c r="AG60" t="inlineStr">
        <is>
          <t>nettoyage</t>
        </is>
      </c>
      <c r="AH60" t="inlineStr">
        <is>
          <t>3</t>
        </is>
      </c>
      <c r="AI60" t="inlineStr">
        <is>
          <t>68</t>
        </is>
      </c>
      <c r="AJ60" t="inlineStr">
        <is>
          <t>INFO_PARTIELLE</t>
        </is>
      </c>
      <c r="AK60" t="inlineStr">
        <is>
          <t>25.0</t>
        </is>
      </c>
      <c r="AL60" s="16" t="inlineStr">
        <is>
          <t>FROID</t>
        </is>
      </c>
      <c r="AM60" t="inlineStr"/>
      <c r="AN60" t="inlineStr"/>
      <c r="AO60" t="inlineStr"/>
      <c r="AP60" t="inlineStr"/>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26-76493. Objet: Nettoyage des parties communes, remplacement du personnel d’entretien et prestations de proximité, de continuité d’exploitation et de contrôle qualité du patrimoine de la SEM SOHP. Acheteur: SEM SEINE OUEST HABITAT ET PATRIMOINE. Lien: https://www.boamp.fr/pages/avis/?q=idweb:26-76493.</t>
        </is>
      </c>
      <c r="AU60" t="inlineStr">
        <is>
          <t>Verifier url_avis et DCE si disponible</t>
        </is>
      </c>
      <c r="AV60" t="inlineStr"/>
      <c r="AW60" t="inlineStr"/>
      <c r="AX60" t="inlineStr"/>
      <c r="AY60" t="inlineStr"/>
      <c r="AZ60" t="inlineStr"/>
      <c r="BA60" t="inlineStr"/>
      <c r="BB60" t="inlineStr">
        <is>
          <t>+33.5 nettoyage + categorie claire (1 termes) | -20.0 budget annualise 3 500 000 EUR | +10.0 delai 32 j | +1.5 dossier renseigne (3/4)</t>
        </is>
      </c>
      <c r="BC60" t="inlineStr">
        <is>
          <t>SEM SEINE OUEST HABITAT ET PATRIMOINE publie un AO potentiellement pertinent pour CHRUTH : Nettoyage des parties communes, remplacement du personnel d’entretien et prestations de proximité, de continuité d’exploitation et de contrôle qualité du patrimoine de la SEM SOHP. Zone : 92. Budget detecte environ 14 000 000 EUR. Verifier le lien source avant contact.</t>
        </is>
      </c>
      <c r="BD60" t="inlineStr">
        <is>
          <t>Bonjour,
Je me permets de vous contacter au sujet de votre appel d'offres : Nettoyage des parties communes, remplacement du personnel d’entretien et prestations de proximité, de continuité d’exploitation et de contrôle qualité du patrimoine de la SEM SOHP.
CHRUTH accompagne les structures publiques et privées sur les besoins de nettoyage, d'entretien des locaux et d'organisation de prestations de service.
Serait-il possible d'échanger rapidement afin de vérifier les modalités de réponse et les attentes de SEM SEINE OUEST HABITAT ET PATRIMOINE ?
Cordialement,</t>
        </is>
      </c>
      <c r="BE60" t="inlineStr">
        <is>
          <t>Bonjour, je vous appelle concernant un appel d'offres publié par SEM SEINE OUEST HABITAT ET PATRIMOINE.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2026-W31</t>
        </is>
      </c>
    </row>
    <row r="61">
      <c r="A61" t="inlineStr">
        <is>
          <t>BOAMP</t>
        </is>
      </c>
      <c r="B61" t="inlineStr">
        <is>
          <t>26-74239</t>
        </is>
      </c>
      <c r="C61" t="inlineStr">
        <is>
          <t>Prestations de nettoyage des loacux et de la vitrerie de la grande chancellerie de la Légion d'honneur et de la maison d'éducation de Saint-Denis</t>
        </is>
      </c>
      <c r="D61" t="inlineStr">
        <is>
          <t>GCLH.</t>
        </is>
      </c>
      <c r="E61" t="inlineStr">
        <is>
          <t>18000001000017</t>
        </is>
      </c>
      <c r="F61" t="inlineStr">
        <is>
          <t>180000010</t>
        </is>
      </c>
      <c r="G61" t="inlineStr"/>
      <c r="H61" t="inlineStr"/>
      <c r="I61" t="inlineStr">
        <is>
          <t>marches@legiondhonneur.fr</t>
        </is>
      </c>
      <c r="J61" t="inlineStr">
        <is>
          <t>0140628348</t>
        </is>
      </c>
      <c r="K61" t="inlineStr"/>
      <c r="L61" t="inlineStr"/>
      <c r="M61" t="inlineStr"/>
      <c r="N61" t="inlineStr">
        <is>
          <t>75,93,78</t>
        </is>
      </c>
      <c r="O61" t="inlineStr"/>
      <c r="P61" t="inlineStr">
        <is>
          <t>Ile-de-France</t>
        </is>
      </c>
      <c r="Q61" s="15" t="n">
        <v>46229</v>
      </c>
      <c r="R61" s="15" t="n">
        <v>46280</v>
      </c>
      <c r="S61" s="14" t="n">
        <v>17750005500013</v>
      </c>
      <c r="T61" t="inlineStr">
        <is>
          <t>BUDGET_EXPLICITE_OK</t>
        </is>
      </c>
      <c r="U61" t="inlineStr">
        <is>
          <t>17750005500013.0</t>
        </is>
      </c>
      <c r="V61" t="inlineStr">
        <is>
          <t>non</t>
        </is>
      </c>
      <c r="W61" t="inlineStr">
        <is>
          <t>Vitres</t>
        </is>
      </c>
      <c r="X61" t="inlineStr">
        <is>
          <t>Autre</t>
        </is>
      </c>
      <c r="Y61" t="inlineStr">
        <is>
          <t>SERVICES</t>
        </is>
      </c>
      <c r="Z61" t="inlineStr">
        <is>
          <t>Procédure Ouverte</t>
        </is>
      </c>
      <c r="AA61" t="inlineStr">
        <is>
          <t>Avis de marché</t>
        </is>
      </c>
      <c r="AB61" t="inlineStr">
        <is>
          <t>Nettoyage de locaux, Vitrerie</t>
        </is>
      </c>
      <c r="AC61" t="inlineStr"/>
      <c r="AD61" s="11" t="inlineStr">
        <is>
          <t>https://www.boamp.fr/pages/avis/?q=idweb:26-74239</t>
        </is>
      </c>
      <c r="AE61" t="inlineStr">
        <is>
          <t>https://www.marches-publics.gouv.fr/entreprise</t>
        </is>
      </c>
      <c r="AF61" t="inlineStr">
        <is>
          <t>https://www.marches-publics.gouv.fr/entreprise</t>
        </is>
      </c>
      <c r="AG61" t="inlineStr">
        <is>
          <t>nettoyage, entretien des locaux</t>
        </is>
      </c>
      <c r="AH61" t="inlineStr">
        <is>
          <t>3</t>
        </is>
      </c>
      <c r="AI61" t="inlineStr">
        <is>
          <t>76</t>
        </is>
      </c>
      <c r="AJ61" t="inlineStr">
        <is>
          <t>INFO_PARTIELLE</t>
        </is>
      </c>
      <c r="AK61" t="inlineStr">
        <is>
          <t>25</t>
        </is>
      </c>
      <c r="AL61" s="16" t="inlineStr">
        <is>
          <t>FROID</t>
        </is>
      </c>
      <c r="AM61" t="inlineStr"/>
      <c r="AN61" t="inlineStr"/>
      <c r="AO61" t="inlineStr"/>
      <c r="AP61" t="inlineStr"/>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61" t="inlineStr">
        <is>
          <t>Verifier url_avis et DCE si disponible</t>
        </is>
      </c>
      <c r="AV61" t="inlineStr"/>
      <c r="AW61" t="inlineStr"/>
      <c r="AX61" t="inlineStr"/>
      <c r="AY61" t="inlineStr"/>
      <c r="AZ61" t="inlineStr"/>
      <c r="BA61" t="inlineStr"/>
      <c r="BB61" t="inlineStr">
        <is>
          <t>+35 nettoyage + categorie claire | -20 gros budget (&gt; 500 000 EUR) | +10 delai confortable 49j</t>
        </is>
      </c>
      <c r="BC61"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61"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61"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61" t="inlineStr"/>
      <c r="BG61" t="inlineStr"/>
      <c r="BH61" t="inlineStr"/>
      <c r="BI61" t="inlineStr"/>
      <c r="BJ61" t="inlineStr"/>
      <c r="BK61" t="inlineStr"/>
      <c r="BL61" t="inlineStr"/>
      <c r="BM61" t="inlineStr">
        <is>
          <t>2026-W30</t>
        </is>
      </c>
    </row>
    <row r="62">
      <c r="A62" t="inlineStr">
        <is>
          <t>BOAMP</t>
        </is>
      </c>
      <c r="B62" t="inlineStr">
        <is>
          <t>26-73266</t>
        </is>
      </c>
      <c r="C62" t="inlineStr">
        <is>
          <t>PRESTATIONS DE NETTOYAGE DES SITES DE L'ENFANCE</t>
        </is>
      </c>
      <c r="D62" t="inlineStr">
        <is>
          <t>Département du Val-de-Marne</t>
        </is>
      </c>
      <c r="E62" t="inlineStr">
        <is>
          <t>22940028800010</t>
        </is>
      </c>
      <c r="F62" t="inlineStr">
        <is>
          <t>229400288</t>
        </is>
      </c>
      <c r="G62" t="inlineStr"/>
      <c r="H62" t="inlineStr"/>
      <c r="I62" t="inlineStr">
        <is>
          <t>dl@valdemarne.fr</t>
        </is>
      </c>
      <c r="J62" t="inlineStr">
        <is>
          <t>0704900017</t>
        </is>
      </c>
      <c r="K62" t="inlineStr"/>
      <c r="L62" t="inlineStr"/>
      <c r="M62" t="inlineStr"/>
      <c r="N62" t="inlineStr">
        <is>
          <t>94</t>
        </is>
      </c>
      <c r="O62" t="inlineStr"/>
      <c r="P62" t="inlineStr">
        <is>
          <t>Ile-de-France</t>
        </is>
      </c>
      <c r="Q62" s="15" t="n">
        <v>46227</v>
      </c>
      <c r="R62" s="15" t="n">
        <v>46289</v>
      </c>
      <c r="S62" s="14" t="n">
        <v>15520000</v>
      </c>
      <c r="T62" t="inlineStr">
        <is>
          <t>BUDGET_EXPLICITE_OK</t>
        </is>
      </c>
      <c r="U62" t="inlineStr">
        <is>
          <t>93120000</t>
        </is>
      </c>
      <c r="V62" t="inlineStr">
        <is>
          <t>oui</t>
        </is>
      </c>
      <c r="W62" t="inlineStr">
        <is>
          <t>Batiments</t>
        </is>
      </c>
      <c r="X62" t="inlineStr">
        <is>
          <t>Autre</t>
        </is>
      </c>
      <c r="Y62" t="inlineStr">
        <is>
          <t>SERVICES</t>
        </is>
      </c>
      <c r="Z62" t="inlineStr">
        <is>
          <t>Procédure Ouverte</t>
        </is>
      </c>
      <c r="AA62" t="inlineStr">
        <is>
          <t>Avis de marché</t>
        </is>
      </c>
      <c r="AB62" t="inlineStr">
        <is>
          <t>Nettoyage de locaux</t>
        </is>
      </c>
      <c r="AC62" t="inlineStr">
        <is>
          <t>['sociaux', 'environnementaux']</t>
        </is>
      </c>
      <c r="AD62" s="11" t="inlineStr">
        <is>
          <t>https://www.boamp.fr/pages/avis/?q=idweb:26-73266</t>
        </is>
      </c>
      <c r="AE62" t="inlineStr">
        <is>
          <t>http://www.maximilien.fr</t>
        </is>
      </c>
      <c r="AF62" t="inlineStr">
        <is>
          <t>http://www.maximilien.fr</t>
        </is>
      </c>
      <c r="AG62" t="inlineStr">
        <is>
          <t>nettoyage, proprete, proprete des locaux</t>
        </is>
      </c>
      <c r="AH62" t="inlineStr">
        <is>
          <t>3</t>
        </is>
      </c>
      <c r="AI62" t="inlineStr">
        <is>
          <t>80</t>
        </is>
      </c>
      <c r="AJ62" t="inlineStr">
        <is>
          <t>INFO_PARTIELLE</t>
        </is>
      </c>
      <c r="AK62" t="inlineStr">
        <is>
          <t>25</t>
        </is>
      </c>
      <c r="AL62" s="16" t="inlineStr">
        <is>
          <t>FROID</t>
        </is>
      </c>
      <c r="AM62" t="inlineStr"/>
      <c r="AN62" t="inlineStr"/>
      <c r="AO62" t="inlineStr"/>
      <c r="AP62" t="inlineStr"/>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62" t="inlineStr">
        <is>
          <t>Verifier url_avis et DCE si disponible</t>
        </is>
      </c>
      <c r="AV62" t="inlineStr"/>
      <c r="AW62" t="inlineStr"/>
      <c r="AX62" t="inlineStr"/>
      <c r="AY62" t="inlineStr"/>
      <c r="AZ62" t="inlineStr"/>
      <c r="BA62" t="inlineStr"/>
      <c r="BB62" t="inlineStr">
        <is>
          <t>+35 nettoyage + categorie claire | -20 gros budget (&gt; 500 000 EUR) | +10 delai confortable 58j</t>
        </is>
      </c>
      <c r="BC62" t="inlineStr">
        <is>
          <t>Département du Val-de-Marne publie un AO potentiellement pertinent pour CHRUTH : PRESTATIONS DE NETTOYAGE DES SITES DE L'ENFANCE. Zone : 94. Budget detecte environ 15 520 000 EUR. Verifier le lien source avant contact.</t>
        </is>
      </c>
      <c r="BD62"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62"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62" t="inlineStr"/>
      <c r="BG62" t="inlineStr"/>
      <c r="BH62" t="inlineStr"/>
      <c r="BI62" t="inlineStr"/>
      <c r="BJ62" t="inlineStr"/>
      <c r="BK62" t="inlineStr"/>
      <c r="BL62" t="inlineStr"/>
      <c r="BM62" t="inlineStr">
        <is>
          <t>2026-W30</t>
        </is>
      </c>
    </row>
    <row r="63">
      <c r="A63" t="inlineStr">
        <is>
          <t>BOAMP</t>
        </is>
      </c>
      <c r="B63" t="inlineStr">
        <is>
          <t>26-70752</t>
        </is>
      </c>
      <c r="C63" t="inlineStr">
        <is>
          <t>Nettoyage des locaux et de la vitrerie des bâtiments intercommunaux de l'agglomération Roissy Pays de France</t>
        </is>
      </c>
      <c r="D63" t="inlineStr">
        <is>
          <t>Agglomération Roissy Pays de France</t>
        </is>
      </c>
      <c r="E63" t="inlineStr"/>
      <c r="F63" t="inlineStr"/>
      <c r="G63" t="inlineStr"/>
      <c r="H63" t="inlineStr"/>
      <c r="I63" t="inlineStr">
        <is>
          <t>publications-joue@aws-france.com</t>
        </is>
      </c>
      <c r="J63" t="inlineStr">
        <is>
          <t>+33480041260</t>
        </is>
      </c>
      <c r="K63" t="inlineStr"/>
      <c r="L63" t="inlineStr"/>
      <c r="M63" t="inlineStr"/>
      <c r="N63" t="inlineStr">
        <is>
          <t>95</t>
        </is>
      </c>
      <c r="O63" t="inlineStr"/>
      <c r="P63" t="inlineStr">
        <is>
          <t>Ile-de-France</t>
        </is>
      </c>
      <c r="Q63" s="15" t="n">
        <v>46220</v>
      </c>
      <c r="R63" s="15" t="n">
        <v>46280</v>
      </c>
      <c r="S63" s="14" t="n">
        <v>4000000</v>
      </c>
      <c r="T63" t="inlineStr">
        <is>
          <t>BUDGET_EXPLICITE_OK</t>
        </is>
      </c>
      <c r="U63" t="inlineStr">
        <is>
          <t>1333333</t>
        </is>
      </c>
      <c r="V63" t="inlineStr">
        <is>
          <t>oui</t>
        </is>
      </c>
      <c r="W63" t="inlineStr">
        <is>
          <t>Vitres</t>
        </is>
      </c>
      <c r="X63" t="inlineStr">
        <is>
          <t>Autre</t>
        </is>
      </c>
      <c r="Y63" t="inlineStr">
        <is>
          <t>SERVICES</t>
        </is>
      </c>
      <c r="Z63" t="inlineStr">
        <is>
          <t>Procédure Ouverte</t>
        </is>
      </c>
      <c r="AA63" t="inlineStr">
        <is>
          <t>Avis de marché</t>
        </is>
      </c>
      <c r="AB63" t="inlineStr">
        <is>
          <t>Nettoyage de locaux, Vitrerie</t>
        </is>
      </c>
      <c r="AC63" t="inlineStr">
        <is>
          <t>['sociaux', 'environnementaux']</t>
        </is>
      </c>
      <c r="AD63" s="11" t="inlineStr">
        <is>
          <t>https://www.boamp.fr/pages/avis/?q=idweb:26-70752</t>
        </is>
      </c>
      <c r="AE63" t="inlineStr">
        <is>
          <t>https://www.marches-publics.info/mpiaws/index.cfm?fuseaction=dematEnt.login&amp;amp;type=DCE&amp;amp;IDM=1850945</t>
        </is>
      </c>
      <c r="AF63" t="inlineStr">
        <is>
          <t>https://www.marches-publics.info/mpiaws/index.cfm?fuseaction=dematEnt.login&amp;amp;type=DCE&amp;amp;IDM=1850945</t>
        </is>
      </c>
      <c r="AG63" t="inlineStr">
        <is>
          <t>nettoyage</t>
        </is>
      </c>
      <c r="AH63" t="inlineStr">
        <is>
          <t>2</t>
        </is>
      </c>
      <c r="AI63" t="inlineStr">
        <is>
          <t>58</t>
        </is>
      </c>
      <c r="AJ63" t="inlineStr">
        <is>
          <t>INFO_PARTIELLE</t>
        </is>
      </c>
      <c r="AK63" t="inlineStr">
        <is>
          <t>25</t>
        </is>
      </c>
      <c r="AL63" s="16" t="inlineStr">
        <is>
          <t>FROID</t>
        </is>
      </c>
      <c r="AM63" t="inlineStr"/>
      <c r="AN63" t="inlineStr"/>
      <c r="AO63" t="inlineStr"/>
      <c r="AP63" t="inlineStr"/>
      <c r="AQ63" t="inlineStr">
        <is>
          <t>IA_CONTACT_A_COMPLETER</t>
        </is>
      </c>
      <c r="AR63" t="inlineStr">
        <is>
          <t>Completer les champs manquants depuis l'avis source, le site acheteur ou le DCE.</t>
        </is>
      </c>
      <c r="AS63" t="inlineStr">
        <is>
          <t>SIRET, adresse, ville</t>
        </is>
      </c>
      <c r="AT6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63" t="inlineStr">
        <is>
          <t>Verifier url_avis et DCE si disponible</t>
        </is>
      </c>
      <c r="AV63" t="inlineStr"/>
      <c r="AW63" t="inlineStr"/>
      <c r="AX63" t="inlineStr"/>
      <c r="AY63" t="inlineStr"/>
      <c r="AZ63" t="inlineStr"/>
      <c r="BA63" t="inlineStr"/>
      <c r="BB63" t="inlineStr">
        <is>
          <t>+35 nettoyage + categorie claire | -20 gros budget (&gt; 500 000 EUR) | +10 delai confortable 49j</t>
        </is>
      </c>
      <c r="BC63"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63"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63"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63" t="inlineStr"/>
      <c r="BG63" t="inlineStr"/>
      <c r="BH63" t="inlineStr"/>
      <c r="BI63" t="inlineStr"/>
      <c r="BJ63" t="inlineStr"/>
      <c r="BK63" t="inlineStr"/>
      <c r="BL63" t="inlineStr"/>
      <c r="BM63" t="inlineStr">
        <is>
          <t>2026-W29</t>
        </is>
      </c>
    </row>
    <row r="64">
      <c r="A64" t="inlineStr">
        <is>
          <t>BOAMP</t>
        </is>
      </c>
      <c r="B64" t="inlineStr">
        <is>
          <t>26-80530</t>
        </is>
      </c>
      <c r="C64" t="inlineStr">
        <is>
          <t>Acquisition et maintenance de soudeuses de tubulures, mobiles, mono-têtes et multi-têtes compatibles PVC et/ou EVA</t>
        </is>
      </c>
      <c r="D64" t="inlineStr">
        <is>
          <t>Etablissement français du sang</t>
        </is>
      </c>
      <c r="E64" t="inlineStr">
        <is>
          <t>42882285202140</t>
        </is>
      </c>
      <c r="F64" t="inlineStr">
        <is>
          <t>428822852</t>
        </is>
      </c>
      <c r="G64" t="inlineStr"/>
      <c r="H64" t="inlineStr"/>
      <c r="I64" t="inlineStr">
        <is>
          <t>Stde.marches.publics@efs.sante.fr</t>
        </is>
      </c>
      <c r="J64" t="inlineStr">
        <is>
          <t>0155939500</t>
        </is>
      </c>
      <c r="K64" t="inlineStr"/>
      <c r="L64" t="inlineStr"/>
      <c r="M64" t="inlineStr"/>
      <c r="N64" t="inlineStr">
        <is>
          <t>93</t>
        </is>
      </c>
      <c r="O64" t="inlineStr"/>
      <c r="P64" t="inlineStr">
        <is>
          <t>Ile-de-France</t>
        </is>
      </c>
      <c r="Q64" s="15" t="n">
        <v>46250</v>
      </c>
      <c r="R64" s="15" t="n">
        <v>46288</v>
      </c>
      <c r="S64" s="14" t="n">
        <v>1500000</v>
      </c>
      <c r="T64" t="inlineStr">
        <is>
          <t>BUDGET_EXPLICITE_OK</t>
        </is>
      </c>
      <c r="U64" t="inlineStr">
        <is>
          <t>3000000</t>
        </is>
      </c>
      <c r="V64" t="inlineStr">
        <is>
          <t>oui</t>
        </is>
      </c>
      <c r="W64" t="inlineStr">
        <is>
          <t>Batiments</t>
        </is>
      </c>
      <c r="X64" t="inlineStr">
        <is>
          <t>Autre</t>
        </is>
      </c>
      <c r="Y64" t="inlineStr">
        <is>
          <t>FOURNITURES</t>
        </is>
      </c>
      <c r="Z64" t="inlineStr">
        <is>
          <t>Procédure Ouverte</t>
        </is>
      </c>
      <c r="AA64" t="inlineStr">
        <is>
          <t>Avis de marché</t>
        </is>
      </c>
      <c r="AB64" t="inlineStr">
        <is>
          <t>Matériel médical</t>
        </is>
      </c>
      <c r="AC64" t="inlineStr">
        <is>
          <t>['environnementaux']</t>
        </is>
      </c>
      <c r="AD64" s="11" t="inlineStr">
        <is>
          <t>https://www.boamp.fr/pages/avis/?q=idweb:26-80530</t>
        </is>
      </c>
      <c r="AE64" t="inlineStr">
        <is>
          <t>https://www.marches-publics.gouv.fr/</t>
        </is>
      </c>
      <c r="AF64" t="inlineStr">
        <is>
          <t>https://www.marches-publics.gouv.fr/</t>
        </is>
      </c>
      <c r="AG64" t="inlineStr">
        <is>
          <t>nettoyage</t>
        </is>
      </c>
      <c r="AH64" t="inlineStr">
        <is>
          <t>3</t>
        </is>
      </c>
      <c r="AI64" t="inlineStr">
        <is>
          <t>68</t>
        </is>
      </c>
      <c r="AJ64" t="inlineStr">
        <is>
          <t>INFO_PARTIELLE</t>
        </is>
      </c>
      <c r="AK64" t="inlineStr">
        <is>
          <t>23.2</t>
        </is>
      </c>
      <c r="AL64" s="16" t="inlineStr">
        <is>
          <t>FROID</t>
        </is>
      </c>
      <c r="AM64" t="inlineStr"/>
      <c r="AN64" t="inlineStr"/>
      <c r="AO64" t="inlineStr"/>
      <c r="AP64" t="inlineStr"/>
      <c r="AQ64" t="inlineStr">
        <is>
          <t>IA_CONTACT_A_COMPLETER</t>
        </is>
      </c>
      <c r="AR64" t="inlineStr">
        <is>
          <t>Completer les champs manquants depuis l'avis source, le site acheteur ou le DCE.</t>
        </is>
      </c>
      <c r="AS64" t="inlineStr">
        <is>
          <t>adresse, ville</t>
        </is>
      </c>
      <c r="AT6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26-80530. Objet: Acquisition et maintenance de soudeuses de tubulures, mobiles, mono-têtes et multi-têtes compatibles PVC et/ou EVA. Acheteur: Etablissement français du sang. Lien: https://www.boamp.fr/pages/avis/?q=idweb:26-80530.</t>
        </is>
      </c>
      <c r="AU64" t="inlineStr">
        <is>
          <t>Verifier url_avis et DCE si disponible</t>
        </is>
      </c>
      <c r="AV64" t="inlineStr"/>
      <c r="AW64" t="inlineStr"/>
      <c r="AX64" t="inlineStr"/>
      <c r="AY64" t="inlineStr"/>
      <c r="AZ64" t="inlineStr"/>
      <c r="BA64" t="inlineStr"/>
      <c r="BB64" t="inlineStr">
        <is>
          <t>+33.5 nettoyage + categorie claire (1 termes) | -20.0 budget annualise 3 000 000 EUR | +8.2 delai 23 j | +1.5 dossier renseigne (3/4)</t>
        </is>
      </c>
      <c r="BC64" t="inlineStr">
        <is>
          <t>Etablissement français du sang publie un AO potentiellement pertinent pour CHRUTH : Acquisition et maintenance de soudeuses de tubulures, mobiles, mono-têtes et multi-têtes compatibles PVC et/ou EVA. Zone : 93. Budget detecte environ 1 500 000 EUR. Verifier le lien source avant contact.</t>
        </is>
      </c>
      <c r="BD64" t="inlineStr">
        <is>
          <t>Bonjour,
Je me permets de vous contacter au sujet de votre appel d'offres : Acquisition et maintenance de soudeuses de tubulures, mobiles, mono-têtes et multi-têtes compatibles PVC et/ou EVA.
CHRUTH accompagne les structures publiques et privées sur les besoins de nettoyage, d'entretien des locaux et d'organisation de prestations de service.
Serait-il possible d'échanger rapidement afin de vérifier les modalités de réponse et les attentes de Etablissement français du sang ?
Cordialement,</t>
        </is>
      </c>
      <c r="BE64" t="inlineStr">
        <is>
          <t>Bonjour, je vous appelle concernant un appel d'offres publié par Etablissement français du sang. Je souhaite vérifier les informations pratiques : périmètre des prestations, date limite, modalités de visite, contact technique et pièces attendues. Pouvez-vous m'indiquer la bonne personne à contacter ?</t>
        </is>
      </c>
      <c r="BF64" t="inlineStr"/>
      <c r="BG64" t="inlineStr"/>
      <c r="BH64" t="inlineStr"/>
      <c r="BI64" t="inlineStr"/>
      <c r="BJ64" t="inlineStr"/>
      <c r="BK64" t="inlineStr"/>
      <c r="BL64" t="inlineStr"/>
      <c r="BM64" t="inlineStr">
        <is>
          <t>2026-W33</t>
        </is>
      </c>
    </row>
    <row r="65">
      <c r="A65" t="inlineStr">
        <is>
          <t>BOAMP</t>
        </is>
      </c>
      <c r="B65" t="inlineStr">
        <is>
          <t>26-79741</t>
        </is>
      </c>
      <c r="C65" t="inlineStr">
        <is>
          <t>Le présent marché a pour objet la réalisation des prestations de bionettoyage, de nettoyage, ainsi que de la collecte interne des déchets et de la collecte interne du linge.</t>
        </is>
      </c>
      <c r="D65" t="inlineStr">
        <is>
          <t>GHU APHP Université Paris Saclay.</t>
        </is>
      </c>
      <c r="E65" t="inlineStr">
        <is>
          <t>26750045201928</t>
        </is>
      </c>
      <c r="F65" t="inlineStr">
        <is>
          <t>267500452</t>
        </is>
      </c>
      <c r="G65" t="inlineStr"/>
      <c r="H65" t="inlineStr"/>
      <c r="I65" t="inlineStr">
        <is>
          <t>chrisanderson.bakoumassensikou@aphp.fr</t>
        </is>
      </c>
      <c r="J65" t="inlineStr">
        <is>
          <t>0145212163</t>
        </is>
      </c>
      <c r="K65" t="inlineStr"/>
      <c r="L65" t="inlineStr"/>
      <c r="M65" t="inlineStr"/>
      <c r="N65" t="inlineStr">
        <is>
          <t>75,77,78,89,91,92,93,94,95</t>
        </is>
      </c>
      <c r="O65" t="inlineStr"/>
      <c r="P65" t="inlineStr">
        <is>
          <t>Ile-de-France</t>
        </is>
      </c>
      <c r="Q65" s="15" t="n">
        <v>46246</v>
      </c>
      <c r="R65" s="15" t="n">
        <v>46286</v>
      </c>
      <c r="S65" s="14" t="n">
        <v>12000000</v>
      </c>
      <c r="T65" t="inlineStr">
        <is>
          <t>BUDGET_EXPLICITE_OK</t>
        </is>
      </c>
      <c r="U65" t="inlineStr">
        <is>
          <t>12000000.0</t>
        </is>
      </c>
      <c r="V65" t="inlineStr">
        <is>
          <t>non</t>
        </is>
      </c>
      <c r="W65" t="inlineStr">
        <is>
          <t>Batiments</t>
        </is>
      </c>
      <c r="X65" t="inlineStr">
        <is>
          <t>Autre</t>
        </is>
      </c>
      <c r="Y65" t="inlineStr">
        <is>
          <t>SERVICES</t>
        </is>
      </c>
      <c r="Z65" t="inlineStr">
        <is>
          <t>Procédure Ouverte</t>
        </is>
      </c>
      <c r="AA65" t="inlineStr">
        <is>
          <t>Avis de marché</t>
        </is>
      </c>
      <c r="AB65" t="inlineStr">
        <is>
          <t>Déchets non ménagers (prestations), Nettoyage de locaux</t>
        </is>
      </c>
      <c r="AC65" t="inlineStr">
        <is>
          <t>['environnementaux']</t>
        </is>
      </c>
      <c r="AD65" s="11" t="inlineStr">
        <is>
          <t>https://www.boamp.fr/pages/avis/?q=idweb:26-79741</t>
        </is>
      </c>
      <c r="AE65" t="inlineStr">
        <is>
          <t>https://www.marches-publics.gouv.fr/?page=Entreprise.EntrepriseAdvancedSearch&amp;AllCons&amp;id=3053094&amp;orgAcronyme=x7c</t>
        </is>
      </c>
      <c r="AF65" t="inlineStr">
        <is>
          <t>https://www.marches-publics.gouv.fr/?page=Entreprise.EntrepriseAdvancedSearch&amp;AllCons&amp;id=3053094&amp;orgAcronyme=x7c</t>
        </is>
      </c>
      <c r="AG65" t="inlineStr">
        <is>
          <t>nettoyage, bionettoyage</t>
        </is>
      </c>
      <c r="AH65" t="inlineStr">
        <is>
          <t>3</t>
        </is>
      </c>
      <c r="AI65" t="inlineStr">
        <is>
          <t>76</t>
        </is>
      </c>
      <c r="AJ65" t="inlineStr">
        <is>
          <t>INFO_PARTIELLE</t>
        </is>
      </c>
      <c r="AK65" t="inlineStr">
        <is>
          <t>23.2</t>
        </is>
      </c>
      <c r="AL65" s="16" t="inlineStr">
        <is>
          <t>FROID</t>
        </is>
      </c>
      <c r="AM65" t="inlineStr"/>
      <c r="AN65" t="inlineStr"/>
      <c r="AO65" t="inlineStr"/>
      <c r="AP65" t="inlineStr"/>
      <c r="AQ65" t="inlineStr">
        <is>
          <t>IA_CONTACT_A_COMPLETER</t>
        </is>
      </c>
      <c r="AR65" t="inlineStr">
        <is>
          <t>Completer les champs manquants depuis l'avis source, le site acheteur ou le DCE.</t>
        </is>
      </c>
      <c r="AS65" t="inlineStr">
        <is>
          <t>adresse, ville</t>
        </is>
      </c>
      <c r="AT6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26-79741. Objet: Le présent marché a pour objet la réalisation des prestations de bionettoyage, de nettoyage, ainsi que de la collecte interne des déchets et de la collecte interne du linge.. Acheteur: GHU APHP Université Paris Saclay.. Lien: https://www.boamp.fr/pages/avis/?q=idweb:26-79741.</t>
        </is>
      </c>
      <c r="AU65" t="inlineStr">
        <is>
          <t>Verifier url_avis et DCE si disponible</t>
        </is>
      </c>
      <c r="AV65" t="inlineStr"/>
      <c r="AW65" t="inlineStr"/>
      <c r="AX65" t="inlineStr"/>
      <c r="AY65" t="inlineStr"/>
      <c r="AZ65" t="inlineStr"/>
      <c r="BA65" t="inlineStr"/>
      <c r="BB65" t="inlineStr">
        <is>
          <t>+34.0 nettoyage + categorie claire (2 termes) | -20.0 budget annualise 12 000 000 EUR | +7.8 delai 21 j | +1.5 dossier renseigne (3/4)</t>
        </is>
      </c>
      <c r="BC65" t="inlineStr">
        <is>
          <t>GHU APHP Université Paris Saclay. publie un AO potentiellement pertinent pour CHRUTH : Le présent marché a pour objet la réalisation des prestations de bionettoyage, de nettoyage, ainsi que de la collecte interne des déchets et de la collecte interne du linge.. Zone : 75,77,78,89,91,92,93,94,95. Budget detecte environ 12 000 000 EUR. Verifier le lien source avant contact.</t>
        </is>
      </c>
      <c r="BD65" t="inlineStr">
        <is>
          <t>Bonjour,
Je me permets de vous contacter au sujet de votre appel d'offres : Le présent marché a pour objet la réalisation des prestations de bionettoyage, de nettoyage, ainsi que de la collecte interne des déchets et de la collecte interne du linge..
CHRUTH accompagne les structures publiques et privées sur les besoins de nettoyage, d'entretien des locaux et d'organisation de prestations de service.
Serait-il possible d'échanger rapidement afin de vérifier les modalités de réponse et les attentes de GHU APHP Université Paris Saclay. ?
Cordialement,</t>
        </is>
      </c>
      <c r="BE65" t="inlineStr">
        <is>
          <t>Bonjour, je vous appelle concernant un appel d'offres publié par GHU APHP Université Paris Saclay.. Je souhaite vérifier les informations pratiques : périmètre des prestations, date limite, modalités de visite, contact technique et pièces attendues. Pouvez-vous m'indiquer la bonne personne à contacter ?</t>
        </is>
      </c>
      <c r="BF65" t="inlineStr"/>
      <c r="BG65" t="inlineStr"/>
      <c r="BH65" t="inlineStr"/>
      <c r="BI65" t="inlineStr"/>
      <c r="BJ65" t="inlineStr"/>
      <c r="BK65" t="inlineStr"/>
      <c r="BL65" t="inlineStr"/>
      <c r="BM65" t="inlineStr">
        <is>
          <t>2026-W33</t>
        </is>
      </c>
    </row>
    <row r="66">
      <c r="A66" t="inlineStr">
        <is>
          <t>BOAMP</t>
        </is>
      </c>
      <c r="B66" t="inlineStr">
        <is>
          <t>26-79241</t>
        </is>
      </c>
      <c r="C66" t="inlineStr">
        <is>
          <t>Prestations de suppléance dans les collèges publics du département de Seine-et-Marne via l’insertion par l’activité économique</t>
        </is>
      </c>
      <c r="D66" t="inlineStr">
        <is>
          <t>Département de Seine-et-Marne</t>
        </is>
      </c>
      <c r="E66" t="inlineStr">
        <is>
          <t>22770001000019</t>
        </is>
      </c>
      <c r="F66" t="inlineStr">
        <is>
          <t>227700010</t>
        </is>
      </c>
      <c r="G66" t="inlineStr"/>
      <c r="H66" t="inlineStr"/>
      <c r="I66" t="inlineStr">
        <is>
          <t>youblehoue.zionto@departement77.fr</t>
        </is>
      </c>
      <c r="J66" t="inlineStr">
        <is>
          <t>+33 164147467</t>
        </is>
      </c>
      <c r="K66" t="inlineStr"/>
      <c r="L66" t="inlineStr"/>
      <c r="M66" t="inlineStr"/>
      <c r="N66" t="inlineStr">
        <is>
          <t>77</t>
        </is>
      </c>
      <c r="O66" t="inlineStr"/>
      <c r="P66" t="inlineStr">
        <is>
          <t>Ile-de-France</t>
        </is>
      </c>
      <c r="Q66" s="15" t="n">
        <v>46243</v>
      </c>
      <c r="R66" s="15" t="n">
        <v>46290</v>
      </c>
      <c r="S66" t="inlineStr"/>
      <c r="T66" t="inlineStr">
        <is>
          <t>A_VERIFIER_BUDGET</t>
        </is>
      </c>
      <c r="U66" t="inlineStr"/>
      <c r="V66" t="inlineStr">
        <is>
          <t>non</t>
        </is>
      </c>
      <c r="W66" t="inlineStr">
        <is>
          <t>Personnel</t>
        </is>
      </c>
      <c r="X66" t="inlineStr">
        <is>
          <t>Autre</t>
        </is>
      </c>
      <c r="Y66" t="inlineStr">
        <is>
          <t>SERVICES</t>
        </is>
      </c>
      <c r="Z66" t="inlineStr">
        <is>
          <t>Procédure Ouverte</t>
        </is>
      </c>
      <c r="AA66" t="inlineStr">
        <is>
          <t>Avis de marché</t>
        </is>
      </c>
      <c r="AB66" t="inlineStr">
        <is>
          <t>Mise à disposition de personnel</t>
        </is>
      </c>
      <c r="AC66" t="inlineStr"/>
      <c r="AD66" s="11" t="inlineStr">
        <is>
          <t>https://www.boamp.fr/pages/avis/?q=idweb:26-79241</t>
        </is>
      </c>
      <c r="AE66" t="inlineStr">
        <is>
          <t>https://marches.maximilien.fr/entreprise/consultation/944928?orgAcronyme=g3h</t>
        </is>
      </c>
      <c r="AF66" t="inlineStr">
        <is>
          <t>https://marches.maximilien.fr/entreprise/consultation/944928?orgAcronyme=g3h</t>
        </is>
      </c>
      <c r="AG66" t="inlineStr"/>
      <c r="AH66" t="inlineStr">
        <is>
          <t>3</t>
        </is>
      </c>
      <c r="AI66" t="inlineStr">
        <is>
          <t>60</t>
        </is>
      </c>
      <c r="AJ66" t="inlineStr">
        <is>
          <t>INFO_PARTIELLE</t>
        </is>
      </c>
      <c r="AK66" t="inlineStr">
        <is>
          <t>20.2</t>
        </is>
      </c>
      <c r="AL66" s="16" t="inlineStr">
        <is>
          <t>FROID</t>
        </is>
      </c>
      <c r="AM66" t="inlineStr"/>
      <c r="AN66" t="inlineStr"/>
      <c r="AO66" t="inlineStr"/>
      <c r="AP66" t="inlineStr"/>
      <c r="AQ66" t="inlineStr">
        <is>
          <t>IA_BUDGET_A_VERIFIER</t>
        </is>
      </c>
      <c r="AR66" t="inlineStr">
        <is>
          <t>Verifier le budget dans l'avis source ou le DCE avant decision commerciale.</t>
        </is>
      </c>
      <c r="AS66" t="inlineStr">
        <is>
          <t>adresse, ville, budget</t>
        </is>
      </c>
      <c r="AT6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26-79241. Objet: Prestations de suppléance dans les collèges publics du département de Seine-et-Marne via l’insertion par l’activité économique. Acheteur: Département de Seine-et-Marne. Lien: https://www.boamp.fr/pages/avis/?q=idweb:26-79241.</t>
        </is>
      </c>
      <c r="AU66" t="inlineStr">
        <is>
          <t>Verifier url_avis et DCE si disponible</t>
        </is>
      </c>
      <c r="AV66" t="inlineStr">
        <is>
          <t>LIEN_SEUL</t>
        </is>
      </c>
      <c r="AW66" t="inlineStr"/>
      <c r="AX66" t="inlineStr"/>
      <c r="AY66" t="inlineStr"/>
      <c r="AZ66" t="inlineStr"/>
      <c r="BA66" t="inlineStr"/>
      <c r="BB66" t="inlineStr">
        <is>
          <t>0 pertinence metier faible | +10 budget non affiche (a verifier) | +8.8 delai 25 j | +1.5 dossier renseigne (3/4)</t>
        </is>
      </c>
      <c r="BC66" t="inlineStr">
        <is>
          <t>Département de Seine-et-Marne publie un AO potentiellement pertinent pour CHRUTH : Prestations de suppléance dans les collèges publics du département de Seine-et-Marne via l’insertion par l’activité économique. Zone : 77. Budget a verifier. Verifier le lien source avant contact.</t>
        </is>
      </c>
      <c r="BD66" t="inlineStr">
        <is>
          <t>Bonjour,
Je me permets de vous contacter au sujet de votre appel d'offres : Prestations de suppléance dans les collèges publics du département de Seine-et-Marne via l’insertion par l’activité économique.
CHRUTH accompagne les structures publiques et privées sur les besoins de nettoyage, d'entretien des locaux et d'organisation de prestations de service.
Serait-il possible d'échanger rapidement afin de vérifier les modalités de réponse et les attentes de Département de Seine-et-Marne ?
Cordialement,</t>
        </is>
      </c>
      <c r="BE66" t="inlineStr">
        <is>
          <t>Bonjour, je vous appelle concernant un appel d'offres publié par Département de Seine-et-Marne. Je souhaite vérifier les informations pratiques : périmètre des prestations, date limite, modalités de visite, contact technique et pièces attendues. Pouvez-vous m'indiquer la bonne personne à contacter ?</t>
        </is>
      </c>
      <c r="BF66" t="inlineStr"/>
      <c r="BG66" t="inlineStr"/>
      <c r="BH66" t="inlineStr"/>
      <c r="BI66" t="inlineStr"/>
      <c r="BJ66" t="inlineStr"/>
      <c r="BK66" t="inlineStr"/>
      <c r="BL66" t="inlineStr"/>
      <c r="BM66" t="inlineStr">
        <is>
          <t>2026-W32</t>
        </is>
      </c>
    </row>
    <row r="67">
      <c r="A67" t="inlineStr">
        <is>
          <t>BOAMP</t>
        </is>
      </c>
      <c r="B67" t="inlineStr">
        <is>
          <t>26-70841</t>
        </is>
      </c>
      <c r="C67" t="inlineStr">
        <is>
          <t>Prestations d'hébergement de l'Espace d'exposition faisant partie du pavillon Occitanie pour le 56e Salon International de l'Aéronautique et de l'Espace Paris - Relance consultation 26OCC09L</t>
        </is>
      </c>
      <c r="D67" t="inlineStr">
        <is>
          <t>CCI OCCITANIE PYRENEES-MEDITERRANEE</t>
        </is>
      </c>
      <c r="E67" t="inlineStr"/>
      <c r="F67" t="inlineStr"/>
      <c r="G67" t="inlineStr"/>
      <c r="H67" t="inlineStr"/>
      <c r="I67" t="inlineStr">
        <is>
          <t>publications-joue@aws-france.com</t>
        </is>
      </c>
      <c r="J67" t="inlineStr">
        <is>
          <t>+33480041260</t>
        </is>
      </c>
      <c r="K67" t="inlineStr"/>
      <c r="L67" t="inlineStr"/>
      <c r="M67" t="inlineStr"/>
      <c r="N67" t="inlineStr">
        <is>
          <t>75</t>
        </is>
      </c>
      <c r="O67" t="inlineStr"/>
      <c r="P67" t="inlineStr">
        <is>
          <t>Ile-de-France</t>
        </is>
      </c>
      <c r="Q67" s="15" t="n">
        <v>46220</v>
      </c>
      <c r="R67" s="15" t="n">
        <v>46251</v>
      </c>
      <c r="S67" t="inlineStr"/>
      <c r="T67" t="inlineStr">
        <is>
          <t>A_VERIFIER_BUDGET</t>
        </is>
      </c>
      <c r="U67" t="inlineStr"/>
      <c r="V67" t="inlineStr">
        <is>
          <t>non</t>
        </is>
      </c>
      <c r="W67" t="inlineStr">
        <is>
          <t>Personnel</t>
        </is>
      </c>
      <c r="X67" t="inlineStr">
        <is>
          <t>Autre</t>
        </is>
      </c>
      <c r="Y67" t="inlineStr">
        <is>
          <t>SERVICES</t>
        </is>
      </c>
      <c r="Z67" t="inlineStr">
        <is>
          <t>Procédure Ouverte</t>
        </is>
      </c>
      <c r="AA67" t="inlineStr">
        <is>
          <t>Avis de marché</t>
        </is>
      </c>
      <c r="AB67" t="inlineStr">
        <is>
          <t>Evénementiel</t>
        </is>
      </c>
      <c r="AC67" t="inlineStr"/>
      <c r="AD67" s="11" t="inlineStr">
        <is>
          <t>https://www.boamp.fr/pages/avis/?q=idweb:26-70841</t>
        </is>
      </c>
      <c r="AE67" t="inlineStr">
        <is>
          <t>https://www.marches-publics.gouv.fr/entreprise</t>
        </is>
      </c>
      <c r="AF67" t="inlineStr">
        <is>
          <t>https://www.marches-publics.gouv.fr/entreprise</t>
        </is>
      </c>
      <c r="AG67" t="inlineStr"/>
      <c r="AH67" t="inlineStr">
        <is>
          <t>2</t>
        </is>
      </c>
      <c r="AI67" t="inlineStr">
        <is>
          <t>50</t>
        </is>
      </c>
      <c r="AJ67" t="inlineStr">
        <is>
          <t>INFO_PARTIELLE</t>
        </is>
      </c>
      <c r="AK67" t="inlineStr">
        <is>
          <t>20</t>
        </is>
      </c>
      <c r="AL67" s="16" t="inlineStr">
        <is>
          <t>FROID</t>
        </is>
      </c>
      <c r="AM67" t="inlineStr"/>
      <c r="AN67" t="inlineStr"/>
      <c r="AO67" t="inlineStr"/>
      <c r="AP67" t="inlineStr"/>
      <c r="AQ67" t="inlineStr">
        <is>
          <t>IA_BUDGET_A_VERIFIER</t>
        </is>
      </c>
      <c r="AR67" t="inlineStr">
        <is>
          <t>Verifier le budget dans l'avis source ou le DCE avant decision commerciale.</t>
        </is>
      </c>
      <c r="AS67" t="inlineStr">
        <is>
          <t>SIRET, adresse, ville, budget</t>
        </is>
      </c>
      <c r="AT6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67" t="inlineStr">
        <is>
          <t>Verifier url_avis et DCE si disponible</t>
        </is>
      </c>
      <c r="AV67" t="inlineStr">
        <is>
          <t>LIEN_SEUL</t>
        </is>
      </c>
      <c r="AW67" t="inlineStr"/>
      <c r="AX67" t="inlineStr"/>
      <c r="AY67" t="inlineStr"/>
      <c r="AZ67" t="inlineStr"/>
      <c r="BA67" t="inlineStr"/>
      <c r="BB67" t="inlineStr">
        <is>
          <t>0 pertinence metier faible | +10 budget non affiche (a verifier) | +10 delai confortable 20j</t>
        </is>
      </c>
      <c r="BC67"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67"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67"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67" t="inlineStr"/>
      <c r="BG67" t="inlineStr"/>
      <c r="BH67" t="inlineStr"/>
      <c r="BI67" t="inlineStr"/>
      <c r="BJ67" t="inlineStr"/>
      <c r="BK67" t="inlineStr"/>
      <c r="BL67" t="inlineStr"/>
      <c r="BM67" t="inlineStr">
        <is>
          <t>2026-W29</t>
        </is>
      </c>
    </row>
    <row r="68">
      <c r="A68" t="inlineStr">
        <is>
          <t>BOAMP</t>
        </is>
      </c>
      <c r="B68" t="inlineStr">
        <is>
          <t>26-70040</t>
        </is>
      </c>
      <c r="C68" t="inlineStr">
        <is>
          <t>Prestations de gardiennage et sécurité incendie pour le campus HEC Paris</t>
        </is>
      </c>
      <c r="D68" t="inlineStr">
        <is>
          <t>HEC Paris</t>
        </is>
      </c>
      <c r="E68" t="inlineStr"/>
      <c r="F68" t="inlineStr"/>
      <c r="G68" t="inlineStr"/>
      <c r="H68" t="inlineStr"/>
      <c r="I68" t="inlineStr">
        <is>
          <t>publications-joue@aws-france.com</t>
        </is>
      </c>
      <c r="J68" t="inlineStr">
        <is>
          <t>+33480041260</t>
        </is>
      </c>
      <c r="K68" t="inlineStr"/>
      <c r="L68" t="inlineStr"/>
      <c r="M68" t="inlineStr"/>
      <c r="N68" t="inlineStr">
        <is>
          <t>78</t>
        </is>
      </c>
      <c r="O68" t="inlineStr"/>
      <c r="P68" t="inlineStr">
        <is>
          <t>Ile-de-France</t>
        </is>
      </c>
      <c r="Q68" s="15" t="n">
        <v>46218</v>
      </c>
      <c r="R68" s="15" t="n">
        <v>46282</v>
      </c>
      <c r="S68" t="inlineStr"/>
      <c r="T68" t="inlineStr">
        <is>
          <t>A_VERIFIER_BUDGET</t>
        </is>
      </c>
      <c r="U68" t="inlineStr"/>
      <c r="V68" t="inlineStr">
        <is>
          <t>non</t>
        </is>
      </c>
      <c r="W68" t="inlineStr">
        <is>
          <t>Personnel</t>
        </is>
      </c>
      <c r="X68" t="inlineStr">
        <is>
          <t>Autre</t>
        </is>
      </c>
      <c r="Y68" t="inlineStr">
        <is>
          <t>SERVICES</t>
        </is>
      </c>
      <c r="Z68" t="inlineStr">
        <is>
          <t>Procédure Ouverte</t>
        </is>
      </c>
      <c r="AA68" t="inlineStr">
        <is>
          <t>Avis de marché</t>
        </is>
      </c>
      <c r="AB68" t="inlineStr">
        <is>
          <t>Sécurité incendie, Gardiennage</t>
        </is>
      </c>
      <c r="AC68" t="inlineStr">
        <is>
          <t>['sociaux', 'environnementaux']</t>
        </is>
      </c>
      <c r="AD68" s="11" t="inlineStr">
        <is>
          <t>https://www.boamp.fr/pages/avis/?q=idweb:26-70040</t>
        </is>
      </c>
      <c r="AE68" t="inlineStr">
        <is>
          <t>https://www.marches-publics.info/mpiaws/index.cfm?fuseaction=dematEnt.login&amp;amp;type=DCE&amp;amp;IDM=1850314</t>
        </is>
      </c>
      <c r="AF68" t="inlineStr">
        <is>
          <t>https://www.marches-publics.info/mpiaws/index.cfm?fuseaction=dematEnt.login&amp;amp;type=DCE&amp;amp;IDM=1850314</t>
        </is>
      </c>
      <c r="AG68" t="inlineStr"/>
      <c r="AH68" t="inlineStr">
        <is>
          <t>2</t>
        </is>
      </c>
      <c r="AI68" t="inlineStr">
        <is>
          <t>50</t>
        </is>
      </c>
      <c r="AJ68" t="inlineStr">
        <is>
          <t>INFO_PARTIELLE</t>
        </is>
      </c>
      <c r="AK68" t="inlineStr">
        <is>
          <t>20</t>
        </is>
      </c>
      <c r="AL68" s="16" t="inlineStr">
        <is>
          <t>FROID</t>
        </is>
      </c>
      <c r="AM68" t="inlineStr"/>
      <c r="AN68" t="inlineStr"/>
      <c r="AO68" t="inlineStr"/>
      <c r="AP68" t="inlineStr"/>
      <c r="AQ68" t="inlineStr">
        <is>
          <t>IA_BUDGET_A_VERIFIER</t>
        </is>
      </c>
      <c r="AR68" t="inlineStr">
        <is>
          <t>Verifier le budget dans l'avis source ou le DCE avant decision commerciale.</t>
        </is>
      </c>
      <c r="AS68" t="inlineStr">
        <is>
          <t>SIRET, adresse, ville, budget</t>
        </is>
      </c>
      <c r="AT6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68" t="inlineStr">
        <is>
          <t>Verifier url_avis et DCE si disponible</t>
        </is>
      </c>
      <c r="AV68" t="inlineStr">
        <is>
          <t>LIEN_SEUL</t>
        </is>
      </c>
      <c r="AW68" t="inlineStr"/>
      <c r="AX68" t="inlineStr"/>
      <c r="AY68" t="inlineStr"/>
      <c r="AZ68" t="inlineStr"/>
      <c r="BA68" t="inlineStr"/>
      <c r="BB68" t="inlineStr">
        <is>
          <t>0 pertinence metier faible | +10 budget non affiche (a verifier) | +10 delai confortable 51j</t>
        </is>
      </c>
      <c r="BC68" t="inlineStr">
        <is>
          <t>HEC Paris publie un AO potentiellement pertinent pour CHRUTH : Prestations de gardiennage et sécurité incendie pour le campus HEC Paris. Zone : 78. Budget a verifier. Verifier le lien source avant contact.</t>
        </is>
      </c>
      <c r="BD68"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68"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68" t="inlineStr"/>
      <c r="BG68" t="inlineStr"/>
      <c r="BH68" t="inlineStr"/>
      <c r="BI68" t="inlineStr"/>
      <c r="BJ68" t="inlineStr"/>
      <c r="BK68" t="inlineStr"/>
      <c r="BL68" t="inlineStr"/>
      <c r="BM68" t="inlineStr">
        <is>
          <t>2026-W29</t>
        </is>
      </c>
    </row>
    <row r="69">
      <c r="A69" t="inlineStr">
        <is>
          <t>BOAMP</t>
        </is>
      </c>
      <c r="B69" t="inlineStr">
        <is>
          <t>26-74389</t>
        </is>
      </c>
      <c r="C69" t="inlineStr">
        <is>
          <t>Prestations de conseil et assistance en UX/UI, en développement, intégration et maintenance des projets numériques en 2 lots</t>
        </is>
      </c>
      <c r="D69" t="inlineStr">
        <is>
          <t>VILLE de PARIS - DFA - SDA</t>
        </is>
      </c>
      <c r="E69" t="inlineStr">
        <is>
          <t>21750001600019</t>
        </is>
      </c>
      <c r="F69" t="inlineStr">
        <is>
          <t>217500016</t>
        </is>
      </c>
      <c r="G69" t="inlineStr"/>
      <c r="H69" t="inlineStr"/>
      <c r="I69" t="inlineStr">
        <is>
          <t>dfa-bm1@paris.fr</t>
        </is>
      </c>
      <c r="J69" t="inlineStr">
        <is>
          <t>+33 171270264</t>
        </is>
      </c>
      <c r="K69" t="inlineStr"/>
      <c r="L69" t="inlineStr"/>
      <c r="M69" t="inlineStr"/>
      <c r="N69" t="inlineStr">
        <is>
          <t>75</t>
        </is>
      </c>
      <c r="O69" t="inlineStr"/>
      <c r="P69" t="inlineStr">
        <is>
          <t>Ile-de-France</t>
        </is>
      </c>
      <c r="Q69" s="15" t="n">
        <v>46229</v>
      </c>
      <c r="R69" s="15" t="n">
        <v>46287</v>
      </c>
      <c r="S69" s="14" t="n">
        <v>600000</v>
      </c>
      <c r="T69" t="inlineStr">
        <is>
          <t>BUDGET_EXPLICITE_OK</t>
        </is>
      </c>
      <c r="U69" t="inlineStr">
        <is>
          <t>1028571</t>
        </is>
      </c>
      <c r="V69" t="inlineStr">
        <is>
          <t>oui</t>
        </is>
      </c>
      <c r="W69" t="inlineStr">
        <is>
          <t>Personnel</t>
        </is>
      </c>
      <c r="X69" t="inlineStr">
        <is>
          <t>Mairie</t>
        </is>
      </c>
      <c r="Y69" t="inlineStr">
        <is>
          <t>SERVICES</t>
        </is>
      </c>
      <c r="Z69" t="inlineStr">
        <is>
          <t>Procédure Ouverte</t>
        </is>
      </c>
      <c r="AA69" t="inlineStr">
        <is>
          <t>Avis de marché</t>
        </is>
      </c>
      <c r="AB69" t="inlineStr">
        <is>
          <t>Gardiennage</t>
        </is>
      </c>
      <c r="AC69" t="inlineStr"/>
      <c r="AD69" s="11" t="inlineStr">
        <is>
          <t>https://www.boamp.fr/pages/avis/?q=idweb:26-74389</t>
        </is>
      </c>
      <c r="AE69" t="inlineStr">
        <is>
          <t>https://marches.maximilien.fr/entreprise/consultation/943956?orgAcronyme=r8t</t>
        </is>
      </c>
      <c r="AF69" t="inlineStr">
        <is>
          <t>https://marches.maximilien.fr/entreprise/consultation/943956?orgAcronyme=r8t</t>
        </is>
      </c>
      <c r="AG69" t="inlineStr"/>
      <c r="AH69" t="inlineStr">
        <is>
          <t>3</t>
        </is>
      </c>
      <c r="AI69" t="inlineStr">
        <is>
          <t>60</t>
        </is>
      </c>
      <c r="AJ69" t="inlineStr">
        <is>
          <t>INFO_PARTIELLE</t>
        </is>
      </c>
      <c r="AK69" t="inlineStr">
        <is>
          <t>15</t>
        </is>
      </c>
      <c r="AL69" s="16" t="inlineStr">
        <is>
          <t>FROID</t>
        </is>
      </c>
      <c r="AM69" t="inlineStr"/>
      <c r="AN69" t="inlineStr"/>
      <c r="AO69" t="inlineStr"/>
      <c r="AP69" t="inlineStr"/>
      <c r="AQ69" t="inlineStr">
        <is>
          <t>IA_CONTACT_A_COMPLETER</t>
        </is>
      </c>
      <c r="AR69" t="inlineStr">
        <is>
          <t>Completer les champs manquants depuis l'avis source, le site acheteur ou le DCE.</t>
        </is>
      </c>
      <c r="AS69" t="inlineStr">
        <is>
          <t>adresse, ville</t>
        </is>
      </c>
      <c r="AT6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69" t="inlineStr">
        <is>
          <t>Verifier url_avis et DCE si disponible</t>
        </is>
      </c>
      <c r="AV69" t="inlineStr"/>
      <c r="AW69" t="inlineStr"/>
      <c r="AX69" t="inlineStr"/>
      <c r="AY69" t="inlineStr"/>
      <c r="AZ69" t="inlineStr"/>
      <c r="BA69" t="inlineStr"/>
      <c r="BB69" t="inlineStr">
        <is>
          <t>0 pertinence metier faible | -20 gros budget (&gt; 500 000 EUR) | +15 procedure adaptee / MAPA / allotissement | +10 secteur cible Mairie | +10 delai confortable 56j</t>
        </is>
      </c>
      <c r="BC69"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69"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69"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69" t="inlineStr"/>
      <c r="BG69" t="inlineStr"/>
      <c r="BH69" t="inlineStr"/>
      <c r="BI69" t="inlineStr"/>
      <c r="BJ69" t="inlineStr"/>
      <c r="BK69" t="inlineStr"/>
      <c r="BL69" t="inlineStr"/>
      <c r="BM69" t="inlineStr">
        <is>
          <t>2026-W30</t>
        </is>
      </c>
    </row>
    <row r="70">
      <c r="A70" t="inlineStr">
        <is>
          <t>BOAMP</t>
        </is>
      </c>
      <c r="B70" t="inlineStr">
        <is>
          <t>26-73883</t>
        </is>
      </c>
      <c r="C70" t="inlineStr">
        <is>
          <t>Marché n°26.AO.MG.050 - Renfort de personnel au sein du télé-accueil de l'EPT Est Ensemble</t>
        </is>
      </c>
      <c r="D70" t="inlineStr">
        <is>
          <t>Est Ensemble</t>
        </is>
      </c>
      <c r="E70" t="inlineStr">
        <is>
          <t>20005787500011</t>
        </is>
      </c>
      <c r="F70" t="inlineStr">
        <is>
          <t>200057875</t>
        </is>
      </c>
      <c r="G70" t="inlineStr"/>
      <c r="H70" t="inlineStr"/>
      <c r="I70" t="inlineStr">
        <is>
          <t>marchespublics@est-ensemble.fr</t>
        </is>
      </c>
      <c r="J70" t="inlineStr">
        <is>
          <t>0578750001</t>
        </is>
      </c>
      <c r="K70" t="inlineStr"/>
      <c r="L70" t="inlineStr"/>
      <c r="M70" t="inlineStr"/>
      <c r="N70" t="inlineStr">
        <is>
          <t>93,75</t>
        </is>
      </c>
      <c r="O70" t="inlineStr"/>
      <c r="P70" t="inlineStr">
        <is>
          <t>Ile-de-France</t>
        </is>
      </c>
      <c r="Q70" s="15" t="n">
        <v>46228</v>
      </c>
      <c r="R70" s="15" t="n">
        <v>46283</v>
      </c>
      <c r="S70" s="14" t="n">
        <v>600000</v>
      </c>
      <c r="T70" t="inlineStr">
        <is>
          <t>BUDGET_EXPLICITE_OK</t>
        </is>
      </c>
      <c r="U70" t="inlineStr">
        <is>
          <t>150000</t>
        </is>
      </c>
      <c r="V70" t="inlineStr">
        <is>
          <t>oui</t>
        </is>
      </c>
      <c r="W70" t="inlineStr">
        <is>
          <t>Personnel</t>
        </is>
      </c>
      <c r="X70" t="inlineStr">
        <is>
          <t>Autre</t>
        </is>
      </c>
      <c r="Y70" t="inlineStr">
        <is>
          <t>SERVICES</t>
        </is>
      </c>
      <c r="Z70" t="inlineStr">
        <is>
          <t>Procédure Ouverte</t>
        </is>
      </c>
      <c r="AA70" t="inlineStr">
        <is>
          <t>Avis de marché</t>
        </is>
      </c>
      <c r="AB70" t="inlineStr">
        <is>
          <t>Télécommunications, Mise à disposition de personnel</t>
        </is>
      </c>
      <c r="AC70" t="inlineStr"/>
      <c r="AD70" s="11" t="inlineStr">
        <is>
          <t>https://www.boamp.fr/pages/avis/?q=idweb:26-73883</t>
        </is>
      </c>
      <c r="AE70" t="inlineStr">
        <is>
          <t>https://marches.maximilien.fr/?page=Entreprise.EntrepriseAdvancedSearch&amp;AllCons&amp;id=944029&amp;orgAcronyme=v8x</t>
        </is>
      </c>
      <c r="AF70" t="inlineStr">
        <is>
          <t>https://marches.maximilien.fr/?page=Entreprise.EntrepriseAdvancedSearch&amp;AllCons&amp;id=944029&amp;orgAcronyme=v8x</t>
        </is>
      </c>
      <c r="AG70" t="inlineStr"/>
      <c r="AH70" t="inlineStr">
        <is>
          <t>3</t>
        </is>
      </c>
      <c r="AI70" t="inlineStr">
        <is>
          <t>60</t>
        </is>
      </c>
      <c r="AJ70" t="inlineStr">
        <is>
          <t>INFO_PARTIELLE</t>
        </is>
      </c>
      <c r="AK70" t="inlineStr">
        <is>
          <t>15</t>
        </is>
      </c>
      <c r="AL70" s="16" t="inlineStr">
        <is>
          <t>FROID</t>
        </is>
      </c>
      <c r="AM70" t="inlineStr"/>
      <c r="AN70" t="inlineStr"/>
      <c r="AO70" t="inlineStr"/>
      <c r="AP70" t="inlineStr"/>
      <c r="AQ70" t="inlineStr">
        <is>
          <t>IA_CONTACT_A_COMPLETER</t>
        </is>
      </c>
      <c r="AR70" t="inlineStr">
        <is>
          <t>Completer les champs manquants depuis l'avis source, le site acheteur ou le DCE.</t>
        </is>
      </c>
      <c r="AS70" t="inlineStr">
        <is>
          <t>adresse, ville</t>
        </is>
      </c>
      <c r="AT7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70" t="inlineStr">
        <is>
          <t>Verifier url_avis et DCE si disponible</t>
        </is>
      </c>
      <c r="AV70" t="inlineStr"/>
      <c r="AW70" t="inlineStr"/>
      <c r="AX70" t="inlineStr"/>
      <c r="AY70" t="inlineStr"/>
      <c r="AZ70" t="inlineStr"/>
      <c r="BA70" t="inlineStr"/>
      <c r="BB70" t="inlineStr">
        <is>
          <t>0 pertinence metier faible | +5 budget annualise &lt;= 200 000 EUR | +10 delai confortable 52j</t>
        </is>
      </c>
      <c r="BC70" t="inlineStr">
        <is>
          <t>Est Ensemble publie un AO potentiellement pertinent pour CHRUTH : Marché n°26.AO.MG.050 - Renfort de personnel au sein du télé-accueil de l'EPT Est Ensemble. Zone : 93,75. Budget detecte environ 600 000 EUR. Verifier le lien source avant contact.</t>
        </is>
      </c>
      <c r="BD70"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70"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70" t="inlineStr"/>
      <c r="BG70" t="inlineStr"/>
      <c r="BH70" t="inlineStr"/>
      <c r="BI70" t="inlineStr"/>
      <c r="BJ70" t="inlineStr"/>
      <c r="BK70" t="inlineStr"/>
      <c r="BL70" t="inlineStr"/>
      <c r="BM70" t="inlineStr">
        <is>
          <t>2026-W30</t>
        </is>
      </c>
    </row>
    <row r="71">
      <c r="A71" t="inlineStr">
        <is>
          <t>BOAMP</t>
        </is>
      </c>
      <c r="B71" t="inlineStr">
        <is>
          <t>26-70598</t>
        </is>
      </c>
      <c r="C71" t="inlineStr">
        <is>
          <t>Location et entretien de linge de restauration et de maison pour le compte des Ministères sociaux</t>
        </is>
      </c>
      <c r="D71" t="inlineStr">
        <is>
          <t>Ministères sociaux, DFAS/SDADD</t>
        </is>
      </c>
      <c r="E71" t="inlineStr">
        <is>
          <t>11000201100044</t>
        </is>
      </c>
      <c r="F71" t="inlineStr">
        <is>
          <t>110002011</t>
        </is>
      </c>
      <c r="G71" t="inlineStr"/>
      <c r="H71" t="inlineStr"/>
      <c r="I71" t="inlineStr">
        <is>
          <t>maxime.peyronnet@sg.social.gouv.fr</t>
        </is>
      </c>
      <c r="J71" t="inlineStr">
        <is>
          <t>0201100044</t>
        </is>
      </c>
      <c r="K71" t="inlineStr"/>
      <c r="L71" t="inlineStr"/>
      <c r="M71" t="inlineStr"/>
      <c r="N71" t="inlineStr">
        <is>
          <t>75,77,78,91,92,93,94,95</t>
        </is>
      </c>
      <c r="O71" t="inlineStr"/>
      <c r="P71" t="inlineStr">
        <is>
          <t>Ile-de-France</t>
        </is>
      </c>
      <c r="Q71" s="15" t="n">
        <v>46220</v>
      </c>
      <c r="R71" s="15" t="n">
        <v>46241</v>
      </c>
      <c r="S71" s="14" t="n">
        <v>852000</v>
      </c>
      <c r="T71" t="inlineStr">
        <is>
          <t>BUDGET_EXPLICITE_OK</t>
        </is>
      </c>
      <c r="U71" t="inlineStr">
        <is>
          <t>5112000</t>
        </is>
      </c>
      <c r="V71" t="inlineStr">
        <is>
          <t>oui</t>
        </is>
      </c>
      <c r="W71" t="inlineStr">
        <is>
          <t>Mixte/Autre</t>
        </is>
      </c>
      <c r="X71" t="inlineStr">
        <is>
          <t>Autre</t>
        </is>
      </c>
      <c r="Y71" t="inlineStr">
        <is>
          <t>SERVICES</t>
        </is>
      </c>
      <c r="Z71" t="inlineStr">
        <is>
          <t>Procédure Ouverte</t>
        </is>
      </c>
      <c r="AA71" t="inlineStr">
        <is>
          <t>Avis de marché</t>
        </is>
      </c>
      <c r="AB71" t="inlineStr">
        <is>
          <t>Location (matériels), Blanchissage</t>
        </is>
      </c>
      <c r="AC71" t="inlineStr">
        <is>
          <t>['sociaux', 'environnementaux']</t>
        </is>
      </c>
      <c r="AD71" s="11" t="inlineStr">
        <is>
          <t>https://www.boamp.fr/pages/avis/?q=idweb:26-70598</t>
        </is>
      </c>
      <c r="AE71" t="inlineStr">
        <is>
          <t>https://www.marches-publics.gouv.fr/</t>
        </is>
      </c>
      <c r="AF71" t="inlineStr">
        <is>
          <t>https://www.marches-publics.gouv.fr/</t>
        </is>
      </c>
      <c r="AG71" t="inlineStr">
        <is>
          <t>nettoyage</t>
        </is>
      </c>
      <c r="AH71" t="inlineStr">
        <is>
          <t>3</t>
        </is>
      </c>
      <c r="AI71" t="inlineStr">
        <is>
          <t>68</t>
        </is>
      </c>
      <c r="AJ71" t="inlineStr">
        <is>
          <t>INFO_PARTIELLE</t>
        </is>
      </c>
      <c r="AK71" t="inlineStr">
        <is>
          <t>15</t>
        </is>
      </c>
      <c r="AL71" s="16" t="inlineStr">
        <is>
          <t>FROID</t>
        </is>
      </c>
      <c r="AM71" t="inlineStr"/>
      <c r="AN71" t="inlineStr"/>
      <c r="AO71" t="inlineStr"/>
      <c r="AP71" t="inlineStr"/>
      <c r="AQ71" t="inlineStr">
        <is>
          <t>IA_CONTACT_A_COMPLETER</t>
        </is>
      </c>
      <c r="AR71" t="inlineStr">
        <is>
          <t>Completer les champs manquants depuis l'avis source, le site acheteur ou le DCE.</t>
        </is>
      </c>
      <c r="AS71" t="inlineStr">
        <is>
          <t>adresse, ville</t>
        </is>
      </c>
      <c r="AT7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71" t="inlineStr">
        <is>
          <t>Verifier url_avis et DCE si disponible</t>
        </is>
      </c>
      <c r="AV71" t="inlineStr"/>
      <c r="AW71" t="inlineStr"/>
      <c r="AX71" t="inlineStr"/>
      <c r="AY71" t="inlineStr"/>
      <c r="AZ71" t="inlineStr"/>
      <c r="BA71" t="inlineStr"/>
      <c r="BB71" t="inlineStr">
        <is>
          <t>+30 mots-cles nettoyage forts | -20 gros budget (&gt; 500 000 EUR) | +5 delai court 10j</t>
        </is>
      </c>
      <c r="BC71"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71"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71"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71" t="inlineStr"/>
      <c r="BG71" t="inlineStr"/>
      <c r="BH71" t="inlineStr"/>
      <c r="BI71" t="inlineStr"/>
      <c r="BJ71" t="inlineStr"/>
      <c r="BK71" t="inlineStr"/>
      <c r="BL71" t="inlineStr"/>
      <c r="BM71" t="inlineStr">
        <is>
          <t>2026-W29</t>
        </is>
      </c>
    </row>
    <row r="72">
      <c r="A72" t="inlineStr">
        <is>
          <t>BOAMP</t>
        </is>
      </c>
      <c r="B72" t="inlineStr">
        <is>
          <t>26-79560</t>
        </is>
      </c>
      <c r="C72" t="inlineStr">
        <is>
          <t>Confection et fourniture de vêtements de travail pour les agents d'accueil et agents d'entretien sanitaires de la tour Eiffel</t>
        </is>
      </c>
      <c r="D72" t="inlineStr">
        <is>
          <t>Société d'Exploitation de la Tour Eiffel</t>
        </is>
      </c>
      <c r="E72" t="inlineStr">
        <is>
          <t>48262252900048</t>
        </is>
      </c>
      <c r="F72" t="inlineStr">
        <is>
          <t>482622529</t>
        </is>
      </c>
      <c r="G72" t="inlineStr"/>
      <c r="H72" t="inlineStr"/>
      <c r="I72" t="inlineStr">
        <is>
          <t>marches@toureiffel.paris</t>
        </is>
      </c>
      <c r="J72" t="inlineStr">
        <is>
          <t>0144112346</t>
        </is>
      </c>
      <c r="K72" t="inlineStr"/>
      <c r="L72" t="inlineStr"/>
      <c r="M72" t="inlineStr"/>
      <c r="N72" t="inlineStr">
        <is>
          <t>75,77,78,60</t>
        </is>
      </c>
      <c r="O72" t="inlineStr"/>
      <c r="P72" t="inlineStr">
        <is>
          <t>Ile-de-France</t>
        </is>
      </c>
      <c r="Q72" s="15" t="n">
        <v>46246</v>
      </c>
      <c r="R72" t="inlineStr"/>
      <c r="S72" t="inlineStr"/>
      <c r="T72" t="inlineStr">
        <is>
          <t>A_VERIFIER_BUDGET</t>
        </is>
      </c>
      <c r="U72" t="inlineStr"/>
      <c r="V72" t="inlineStr">
        <is>
          <t>non</t>
        </is>
      </c>
      <c r="W72" t="inlineStr">
        <is>
          <t>Personnel</t>
        </is>
      </c>
      <c r="X72" t="inlineStr">
        <is>
          <t>Autre</t>
        </is>
      </c>
      <c r="Y72" t="inlineStr">
        <is>
          <t>FOURNITURES</t>
        </is>
      </c>
      <c r="Z72" t="inlineStr">
        <is>
          <t>Procédure Dialogue compétitif</t>
        </is>
      </c>
      <c r="AA72" t="inlineStr">
        <is>
          <t>Avis de marché</t>
        </is>
      </c>
      <c r="AB72" t="inlineStr">
        <is>
          <t>Habillement</t>
        </is>
      </c>
      <c r="AC72" t="inlineStr">
        <is>
          <t>['sociaux', 'environnementaux']</t>
        </is>
      </c>
      <c r="AD72" s="11" t="inlineStr">
        <is>
          <t>https://www.boamp.fr/pages/avis/?q=idweb:26-79560</t>
        </is>
      </c>
      <c r="AE72" t="inlineStr">
        <is>
          <t>https://www.achatpublic.com/sdm/ent/gen/ent_detail.do?PCSLID=CSL_2026_lNMqePOVGB</t>
        </is>
      </c>
      <c r="AF72" t="inlineStr">
        <is>
          <t>https://www.achatpublic.com/sdm/ent/gen/ent_detail.do?PCSLID=CSL_2026_lNMqePOVGB</t>
        </is>
      </c>
      <c r="AG72" t="inlineStr"/>
      <c r="AH72" t="inlineStr">
        <is>
          <t>3</t>
        </is>
      </c>
      <c r="AI72" t="inlineStr">
        <is>
          <t>60</t>
        </is>
      </c>
      <c r="AJ72" t="inlineStr">
        <is>
          <t>INFO_PARTIELLE</t>
        </is>
      </c>
      <c r="AK72" t="inlineStr">
        <is>
          <t>11.5</t>
        </is>
      </c>
      <c r="AL72" s="16" t="inlineStr">
        <is>
          <t>FROID</t>
        </is>
      </c>
      <c r="AM72" t="inlineStr"/>
      <c r="AN72" t="inlineStr"/>
      <c r="AO72" t="inlineStr"/>
      <c r="AP72" t="inlineStr"/>
      <c r="AQ72" t="inlineStr">
        <is>
          <t>IA_BUDGET_A_VERIFIER</t>
        </is>
      </c>
      <c r="AR72" t="inlineStr">
        <is>
          <t>Verifier le budget dans l'avis source ou le DCE avant decision commerciale.</t>
        </is>
      </c>
      <c r="AS72" t="inlineStr">
        <is>
          <t>adresse, ville, budget</t>
        </is>
      </c>
      <c r="AT7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26-79560. Objet: Confection et fourniture de vêtements de travail pour les agents d'accueil et agents d'entretien sanitaires de la tour Eiffel. Acheteur: Société d'Exploitation de la Tour Eiffel. Lien: https://www.boamp.fr/pages/avis/?q=idweb:26-79560.</t>
        </is>
      </c>
      <c r="AU72" t="inlineStr">
        <is>
          <t>Verifier url_avis et DCE si disponible</t>
        </is>
      </c>
      <c r="AV72" t="inlineStr">
        <is>
          <t>LIEN_SEUL</t>
        </is>
      </c>
      <c r="AW72" t="inlineStr"/>
      <c r="AX72" t="inlineStr"/>
      <c r="AY72" t="inlineStr"/>
      <c r="AZ72" t="inlineStr"/>
      <c r="BA72" t="inlineStr"/>
      <c r="BB72" t="inlineStr">
        <is>
          <t>0 pertinence metier faible | +10 budget non affiche (a verifier) | 0 date limite absente | +1.5 dossier renseigne (3/4)</t>
        </is>
      </c>
      <c r="BC72" t="inlineStr">
        <is>
          <t>Société d'Exploitation de la Tour Eiffel publie un AO potentiellement pertinent pour CHRUTH : Confection et fourniture de vêtements de travail pour les agents d'accueil et agents d'entretien sanitaires de la tour Eiffel. Zone : 75,77,78,60. Budget a verifier. Verifier le lien source avant contact.</t>
        </is>
      </c>
      <c r="BD72" t="inlineStr">
        <is>
          <t>Bonjour,
Je me permets de vous contacter au sujet de votre appel d'offres : Confection et fourniture de vêtements de travail pour les agents d'accueil et agents d'entretien sanitaires de la tour Eiffel.
CHRUTH accompagne les structures publiques et privées sur les besoins de nettoyage, d'entretien des locaux et d'organisation de prestations de service.
Serait-il possible d'échanger rapidement afin de vérifier les modalités de réponse et les attentes de Société d'Exploitation de la Tour Eiffel ?
Cordialement,</t>
        </is>
      </c>
      <c r="BE72" t="inlineStr">
        <is>
          <t>Bonjour, je vous appelle concernant un appel d'offres publié par Société d'Exploitation de la Tour Eiffel. Je souhaite vérifier les informations pratiques : périmètre des prestations, date limite, modalités de visite, contact technique et pièces attendues. Pouvez-vous m'indiquer la bonne personne à contacter ?</t>
        </is>
      </c>
      <c r="BF72" t="inlineStr"/>
      <c r="BG72" t="inlineStr"/>
      <c r="BH72" t="inlineStr"/>
      <c r="BI72" t="inlineStr"/>
      <c r="BJ72" t="inlineStr"/>
      <c r="BK72" t="inlineStr"/>
      <c r="BL72" t="inlineStr"/>
      <c r="BM72" t="inlineStr">
        <is>
          <t>2026-W33</t>
        </is>
      </c>
    </row>
    <row r="73">
      <c r="A73" t="inlineStr">
        <is>
          <t>BOAMP</t>
        </is>
      </c>
      <c r="B73" t="inlineStr">
        <is>
          <t>26-76712</t>
        </is>
      </c>
      <c r="C73" t="inlineStr">
        <is>
          <t>ACCORD CADRE N°26066-S-AC
DE PRESTATIONS DE SURETE, SECURITE ET MULTI-MAINTENANCE POUR LES SITES :
- JARDIN DES PLANTES
- MUSEE DE L'HOMME
- PARC ZOOLOGIQUE DE PARIS
POUR LE COMPTE DU MUSEUM MNHN</t>
        </is>
      </c>
      <c r="D73" t="inlineStr">
        <is>
          <t>Museum National d'Histoire Naturelle</t>
        </is>
      </c>
      <c r="E73" t="inlineStr">
        <is>
          <t>45072478600030</t>
        </is>
      </c>
      <c r="F73" t="inlineStr">
        <is>
          <t>450724786</t>
        </is>
      </c>
      <c r="G73" t="inlineStr"/>
      <c r="H73" t="inlineStr"/>
      <c r="I73" t="inlineStr">
        <is>
          <t>thierry.lejeune@mnhn.fr</t>
        </is>
      </c>
      <c r="J73" t="inlineStr">
        <is>
          <t>+33 140793247</t>
        </is>
      </c>
      <c r="K73" t="inlineStr"/>
      <c r="L73" t="inlineStr"/>
      <c r="M73" t="inlineStr"/>
      <c r="N73" t="inlineStr">
        <is>
          <t>75</t>
        </is>
      </c>
      <c r="O73" t="inlineStr"/>
      <c r="P73" t="inlineStr">
        <is>
          <t>Ile-de-France</t>
        </is>
      </c>
      <c r="Q73" s="15" t="n">
        <v>46236</v>
      </c>
      <c r="R73" t="inlineStr"/>
      <c r="S73" t="inlineStr"/>
      <c r="T73" t="inlineStr">
        <is>
          <t>A_VERIFIER_BUDGET</t>
        </is>
      </c>
      <c r="U73" t="inlineStr"/>
      <c r="V73" t="inlineStr">
        <is>
          <t>non</t>
        </is>
      </c>
      <c r="W73" t="inlineStr">
        <is>
          <t>Personnel</t>
        </is>
      </c>
      <c r="X73" t="inlineStr">
        <is>
          <t>Autre</t>
        </is>
      </c>
      <c r="Y73" t="inlineStr">
        <is>
          <t>SERVICES</t>
        </is>
      </c>
      <c r="Z73" t="inlineStr">
        <is>
          <t>Procédure Restreinte</t>
        </is>
      </c>
      <c r="AA73" t="inlineStr">
        <is>
          <t>Avis de marché</t>
        </is>
      </c>
      <c r="AB73" t="inlineStr">
        <is>
          <t>Gardiennage, Maintenance</t>
        </is>
      </c>
      <c r="AC73" t="inlineStr"/>
      <c r="AD73" s="11" t="inlineStr">
        <is>
          <t>https://www.boamp.fr/pages/avis/?q=idweb:26-76712</t>
        </is>
      </c>
      <c r="AE73" t="inlineStr">
        <is>
          <t>https://mnhn.e-marchespublics.com</t>
        </is>
      </c>
      <c r="AF73" t="inlineStr">
        <is>
          <t>https://mnhn.e-marchespublics.com</t>
        </is>
      </c>
      <c r="AG73" t="inlineStr"/>
      <c r="AH73" t="inlineStr">
        <is>
          <t>3</t>
        </is>
      </c>
      <c r="AI73" t="inlineStr">
        <is>
          <t>60</t>
        </is>
      </c>
      <c r="AJ73" t="inlineStr">
        <is>
          <t>INFO_PARTIELLE</t>
        </is>
      </c>
      <c r="AK73" t="inlineStr">
        <is>
          <t>11.5</t>
        </is>
      </c>
      <c r="AL73" s="16" t="inlineStr">
        <is>
          <t>FROID</t>
        </is>
      </c>
      <c r="AM73" t="inlineStr"/>
      <c r="AN73" t="inlineStr"/>
      <c r="AO73" t="inlineStr"/>
      <c r="AP73" t="inlineStr"/>
      <c r="AQ73" t="inlineStr">
        <is>
          <t>IA_BUDGET_A_VERIFIER</t>
        </is>
      </c>
      <c r="AR73" t="inlineStr">
        <is>
          <t>Verifier le budget dans l'avis source ou le DCE avant decision commerciale.</t>
        </is>
      </c>
      <c r="AS73" t="inlineStr">
        <is>
          <t>adresse, ville, budget</t>
        </is>
      </c>
      <c r="AT7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26-76712. Objet: ACCORD CADRE N°26066-S-AC
DE PRESTATIONS DE SURETE, SECURITE ET MULTI-MAINTENANCE POUR LES SITES :
- JARDIN DES PLANTES
- MUSEE DE L'HOMME
- PARC ZOOLOGIQUE DE PARIS
POUR LE COMPTE DU MUSEUM MNHN. Acheteur: Museum National d'Histoire Naturelle. Lien: https://www.boamp.fr/pages/avis/?q=idweb:26-76712.</t>
        </is>
      </c>
      <c r="AU73" t="inlineStr">
        <is>
          <t>Verifier url_avis et DCE si disponible</t>
        </is>
      </c>
      <c r="AV73" t="inlineStr">
        <is>
          <t>LIEN_SEUL</t>
        </is>
      </c>
      <c r="AW73" t="inlineStr"/>
      <c r="AX73" t="inlineStr"/>
      <c r="AY73" t="inlineStr"/>
      <c r="AZ73" t="inlineStr"/>
      <c r="BA73" t="inlineStr"/>
      <c r="BB73" t="inlineStr">
        <is>
          <t>0 pertinence metier faible | +10 budget non affiche (a verifier) | 0 date limite absente | +1.5 dossier renseigne (3/4)</t>
        </is>
      </c>
      <c r="BC73" t="inlineStr">
        <is>
          <t>Museum National d'Histoire Naturelle publie un AO potentiellement pertinent pour CHRUTH : ACCORD CADRE N°26066-S-AC
DE PRESTATIONS DE SURETE, SECURITE ET MULTI-MAINTENANCE POUR LES SITES :
- JARDIN DES PLANTES
- MUSEE DE L'HOMME
- PARC ZOOLOGIQUE DE PARIS
POUR LE COMPTE DU MUSEUM MNHN. Zone : 75. Budget a verifier. Verifier le lien source avant contact.</t>
        </is>
      </c>
      <c r="BD73" t="inlineStr">
        <is>
          <t>Bonjour,
Je me permets de vous contacter au sujet de votre appel d'offres : ACCORD CADRE N°26066-S-AC
DE PRESTATIONS DE SURETE, SECURITE ET MULTI-MAINTENANCE POUR LES SITES :
- JARDIN DES PLANTES
- MUSEE DE L'HOMME
- PARC ZOOLOGIQUE DE PARIS
POUR LE COMPTE DU MUSEUM MNHN.
CHRUTH accompagne les structures publiques et privées sur les besoins de nettoyage, d'entretien des locaux et d'organisation de prestations de service.
Serait-il possible d'échanger rapidement afin de vérifier les modalités de réponse et les attentes de Museum National d'Histoire Naturelle ?
Cordialement,</t>
        </is>
      </c>
      <c r="BE73" t="inlineStr">
        <is>
          <t>Bonjour, je vous appelle concernant un appel d'offres publié par Museum National d'Histoire Naturelle. Je souhaite vérifier les informations pratiques : périmètre des prestations, date limite, modalités de visite, contact technique et pièces attendues. Pouvez-vous m'indiquer la bonne personne à contacter ?</t>
        </is>
      </c>
      <c r="BF73" t="inlineStr"/>
      <c r="BG73" t="inlineStr"/>
      <c r="BH73" t="inlineStr"/>
      <c r="BI73" t="inlineStr"/>
      <c r="BJ73" t="inlineStr"/>
      <c r="BK73" t="inlineStr"/>
      <c r="BL73" t="inlineStr"/>
      <c r="BM73" t="inlineStr">
        <is>
          <t>2026-W31</t>
        </is>
      </c>
    </row>
    <row r="74">
      <c r="A74" t="inlineStr">
        <is>
          <t>BOAMP</t>
        </is>
      </c>
      <c r="B74" t="inlineStr">
        <is>
          <t>26-72867</t>
        </is>
      </c>
      <c r="C74" t="inlineStr">
        <is>
          <t>La présente consultation a pour objet des prestations de sécurité incendie, de gardiennage des locaux et d’assistance aux personnels et usagers de l’arrondissement judiciaire de Paris.</t>
        </is>
      </c>
      <c r="D74" t="inlineStr">
        <is>
          <t>Cour d'appel de Paris - SAR</t>
        </is>
      </c>
      <c r="E74" t="inlineStr"/>
      <c r="F74" t="inlineStr"/>
      <c r="G74" t="inlineStr"/>
      <c r="H74" t="inlineStr"/>
      <c r="I74" t="inlineStr">
        <is>
          <t>mp.sar.ca-paris@justice.fr</t>
        </is>
      </c>
      <c r="J74" t="inlineStr">
        <is>
          <t>0144325084</t>
        </is>
      </c>
      <c r="K74" t="inlineStr"/>
      <c r="L74" t="inlineStr"/>
      <c r="M74" t="inlineStr"/>
      <c r="N74" t="inlineStr">
        <is>
          <t>75,77,89,91,93,94,95</t>
        </is>
      </c>
      <c r="O74" t="inlineStr"/>
      <c r="P74" t="inlineStr">
        <is>
          <t>Ile-de-France</t>
        </is>
      </c>
      <c r="Q74" s="15" t="n">
        <v>46226</v>
      </c>
      <c r="R74" t="inlineStr"/>
      <c r="S74" t="inlineStr"/>
      <c r="T74" t="inlineStr">
        <is>
          <t>A_VERIFIER_BUDGET</t>
        </is>
      </c>
      <c r="U74" t="inlineStr"/>
      <c r="V74" t="inlineStr">
        <is>
          <t>non</t>
        </is>
      </c>
      <c r="W74" t="inlineStr">
        <is>
          <t>Personnel</t>
        </is>
      </c>
      <c r="X74" t="inlineStr">
        <is>
          <t>Autre</t>
        </is>
      </c>
      <c r="Y74" t="inlineStr">
        <is>
          <t>SERVICES</t>
        </is>
      </c>
      <c r="Z74" t="inlineStr">
        <is>
          <t>Procédure Restreinte</t>
        </is>
      </c>
      <c r="AA74" t="inlineStr">
        <is>
          <t>Avis de marché</t>
        </is>
      </c>
      <c r="AB74" t="inlineStr">
        <is>
          <t>Gardiennage, Sécurité incendie</t>
        </is>
      </c>
      <c r="AC74" t="inlineStr"/>
      <c r="AD74" s="11" t="inlineStr">
        <is>
          <t>https://www.boamp.fr/pages/avis/?q=idweb:26-72867</t>
        </is>
      </c>
      <c r="AE74" t="inlineStr">
        <is>
          <t>https://www.marches-publics.gouv.fr/entreprise</t>
        </is>
      </c>
      <c r="AF74" t="inlineStr">
        <is>
          <t>https://www.marches-publics.gouv.fr/entreprise</t>
        </is>
      </c>
      <c r="AG74" t="inlineStr"/>
      <c r="AH74" t="inlineStr">
        <is>
          <t>2</t>
        </is>
      </c>
      <c r="AI74" t="inlineStr">
        <is>
          <t>50</t>
        </is>
      </c>
      <c r="AJ74" t="inlineStr">
        <is>
          <t>INFO_PARTIELLE</t>
        </is>
      </c>
      <c r="AK74" t="inlineStr">
        <is>
          <t>10</t>
        </is>
      </c>
      <c r="AL74" s="16" t="inlineStr">
        <is>
          <t>FROID</t>
        </is>
      </c>
      <c r="AM74" t="inlineStr"/>
      <c r="AN74" t="inlineStr"/>
      <c r="AO74" t="inlineStr"/>
      <c r="AP74" t="inlineStr"/>
      <c r="AQ74" t="inlineStr">
        <is>
          <t>IA_BUDGET_A_VERIFIER</t>
        </is>
      </c>
      <c r="AR74" t="inlineStr">
        <is>
          <t>Verifier le budget dans l'avis source ou le DCE avant decision commerciale.</t>
        </is>
      </c>
      <c r="AS74" t="inlineStr">
        <is>
          <t>SIRET, adresse, ville, budget</t>
        </is>
      </c>
      <c r="AT7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74" t="inlineStr">
        <is>
          <t>Verifier url_avis et DCE si disponible</t>
        </is>
      </c>
      <c r="AV74" t="inlineStr">
        <is>
          <t>LIEN_SEUL</t>
        </is>
      </c>
      <c r="AW74" t="inlineStr"/>
      <c r="AX74" t="inlineStr"/>
      <c r="AY74" t="inlineStr"/>
      <c r="AZ74" t="inlineStr"/>
      <c r="BA74" t="inlineStr"/>
      <c r="BB74" t="inlineStr">
        <is>
          <t>0 pertinence metier faible | +10 budget non affiche (a verifier) | 0 date limite absente</t>
        </is>
      </c>
      <c r="BC7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7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7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74" t="inlineStr"/>
      <c r="BG74" t="inlineStr"/>
      <c r="BH74" t="inlineStr"/>
      <c r="BI74" t="inlineStr"/>
      <c r="BJ74" t="inlineStr"/>
      <c r="BK74" t="inlineStr"/>
      <c r="BL74" t="inlineStr"/>
      <c r="BM74" t="inlineStr">
        <is>
          <t>2026-W30</t>
        </is>
      </c>
    </row>
    <row r="75">
      <c r="A75" t="inlineStr">
        <is>
          <t>BOAMP</t>
        </is>
      </c>
      <c r="B75" t="inlineStr">
        <is>
          <t>26-77508</t>
        </is>
      </c>
      <c r="C75" t="inlineStr">
        <is>
          <t>Nettoyage des zones nécessitant des exigences techniques et habilitations spécifiques</t>
        </is>
      </c>
      <c r="D75" t="inlineStr">
        <is>
          <t>EFS ILE-DE-FRANCE</t>
        </is>
      </c>
      <c r="E75" t="inlineStr">
        <is>
          <t>42882285201811</t>
        </is>
      </c>
      <c r="F75" t="inlineStr">
        <is>
          <t>428822852</t>
        </is>
      </c>
      <c r="G75" t="inlineStr"/>
      <c r="H75" t="inlineStr"/>
      <c r="I75" t="inlineStr">
        <is>
          <t>marches-publics.idf@efs.sante.fr</t>
        </is>
      </c>
      <c r="J75" t="inlineStr">
        <is>
          <t>0143905000</t>
        </is>
      </c>
      <c r="K75" t="inlineStr"/>
      <c r="L75" t="inlineStr"/>
      <c r="M75" t="inlineStr"/>
      <c r="N75" t="inlineStr">
        <is>
          <t>94</t>
        </is>
      </c>
      <c r="O75" t="inlineStr"/>
      <c r="P75" t="inlineStr">
        <is>
          <t>Ile-de-France</t>
        </is>
      </c>
      <c r="Q75" s="15" t="n">
        <v>46239</v>
      </c>
      <c r="R75" s="15" t="n">
        <v>46268</v>
      </c>
      <c r="S75" s="14" t="n">
        <v>450000</v>
      </c>
      <c r="T75" t="inlineStr">
        <is>
          <t>BUDGET_EXPLICITE_OK</t>
        </is>
      </c>
      <c r="U75" t="inlineStr">
        <is>
          <t>450000</t>
        </is>
      </c>
      <c r="V75" t="inlineStr">
        <is>
          <t>oui</t>
        </is>
      </c>
      <c r="W75" t="inlineStr">
        <is>
          <t>Batiments</t>
        </is>
      </c>
      <c r="X75" t="inlineStr">
        <is>
          <t>Autre</t>
        </is>
      </c>
      <c r="Y75" t="inlineStr">
        <is>
          <t>SERVICES</t>
        </is>
      </c>
      <c r="Z75" t="inlineStr">
        <is>
          <t>Procédure Ouverte</t>
        </is>
      </c>
      <c r="AA75" t="inlineStr">
        <is>
          <t>Avis de marché</t>
        </is>
      </c>
      <c r="AB75" t="inlineStr">
        <is>
          <t>Nettoyage de locaux</t>
        </is>
      </c>
      <c r="AC75" t="inlineStr">
        <is>
          <t>['environnementaux']</t>
        </is>
      </c>
      <c r="AD75" s="11" t="inlineStr">
        <is>
          <t>https://www.boamp.fr/pages/avis/?q=idweb:26-77508</t>
        </is>
      </c>
      <c r="AE75" t="inlineStr">
        <is>
          <t>https://www.marches-publics.gouv.fr/?page=entreprise.EntrepriseHome</t>
        </is>
      </c>
      <c r="AF75" t="inlineStr">
        <is>
          <t>https://www.marches-publics.gouv.fr/?page=entreprise.EntrepriseHome</t>
        </is>
      </c>
      <c r="AG75" t="inlineStr">
        <is>
          <t>nettoyage</t>
        </is>
      </c>
      <c r="AH75" t="inlineStr">
        <is>
          <t>3</t>
        </is>
      </c>
      <c r="AI75" t="inlineStr">
        <is>
          <t>68</t>
        </is>
      </c>
      <c r="AJ75" t="inlineStr">
        <is>
          <t>INFO_PARTIELLE</t>
        </is>
      </c>
      <c r="AK75" t="inlineStr">
        <is>
          <t>8.8</t>
        </is>
      </c>
      <c r="AL75" s="16" t="inlineStr">
        <is>
          <t>FROID</t>
        </is>
      </c>
      <c r="AM75" t="inlineStr"/>
      <c r="AN75" t="inlineStr"/>
      <c r="AO75" t="inlineStr"/>
      <c r="AP75" t="inlineStr"/>
      <c r="AQ75" t="inlineStr">
        <is>
          <t>IA_CONTACT_A_COMPLETER</t>
        </is>
      </c>
      <c r="AR75" t="inlineStr">
        <is>
          <t>Completer les champs manquants depuis l'avis source, le site acheteur ou le DCE.</t>
        </is>
      </c>
      <c r="AS75" t="inlineStr">
        <is>
          <t>adresse, ville</t>
        </is>
      </c>
      <c r="AT7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26-77508. Objet: Nettoyage des zones nécessitant des exigences techniques et habilitations spécifiques. Acheteur: EFS ILE-DE-FRANCE. Lien: https://www.boamp.fr/pages/avis/?q=idweb:26-77508.</t>
        </is>
      </c>
      <c r="AU75" t="inlineStr">
        <is>
          <t>Verifier url_avis et DCE si disponible</t>
        </is>
      </c>
      <c r="AV75" t="inlineStr"/>
      <c r="AW75" t="inlineStr"/>
      <c r="AX75" t="inlineStr"/>
      <c r="AY75" t="inlineStr"/>
      <c r="AZ75" t="inlineStr"/>
      <c r="BA75" t="inlineStr"/>
      <c r="BB75" t="inlineStr">
        <is>
          <t>+33.5 nettoyage + categorie claire (1 termes) | -12.5 budget annualise 450 000 EUR | -13.7 delai 3 j | +1.5 dossier renseigne (3/4)</t>
        </is>
      </c>
      <c r="BC75" t="inlineStr">
        <is>
          <t>EFS ILE-DE-FRANCE publie un AO potentiellement pertinent pour CHRUTH : Nettoyage des zones nécessitant des exigences techniques et habilitations spécifiques. Zone : 94. Budget detecte environ 450 000 EUR. Verifier le lien source avant contact.</t>
        </is>
      </c>
      <c r="BD75" t="inlineStr">
        <is>
          <t>Bonjour,
Je me permets de vous contacter au sujet de votre appel d'offres : Nettoyage des zones nécessitant des exigences techniques et habilitations spécifiques.
CHRUTH accompagne les structures publiques et privées sur les besoins de nettoyage, d'entretien des locaux et d'organisation de prestations de service.
Serait-il possible d'échanger rapidement afin de vérifier les modalités de réponse et les attentes de EFS ILE-DE-FRANCE ?
Cordialement,</t>
        </is>
      </c>
      <c r="BE75" t="inlineStr">
        <is>
          <t>Bonjour, je vous appelle concernant un appel d'offres publié par EFS ILE-DE-FRANCE. Je souhaite vérifier les informations pratiques : périmètre des prestations, date limite, modalités de visite, contact technique et pièces attendues. Pouvez-vous m'indiquer la bonne personne à contacter ?</t>
        </is>
      </c>
      <c r="BF75" t="inlineStr"/>
      <c r="BG75" t="inlineStr"/>
      <c r="BH75" t="inlineStr"/>
      <c r="BI75" t="inlineStr"/>
      <c r="BJ75" t="inlineStr"/>
      <c r="BK75" t="inlineStr"/>
      <c r="BL75" t="inlineStr"/>
      <c r="BM75" t="inlineStr">
        <is>
          <t>2026-W32</t>
        </is>
      </c>
    </row>
    <row r="76">
      <c r="A76" t="inlineStr">
        <is>
          <t>BOAMP</t>
        </is>
      </c>
      <c r="B76" t="inlineStr">
        <is>
          <t>26-79004</t>
        </is>
      </c>
      <c r="C76" t="inlineStr">
        <is>
          <t>Accord-cadre relatif à la mise à disposition de personnel intérimaire</t>
        </is>
      </c>
      <c r="D76" t="inlineStr">
        <is>
          <t>ANRU.</t>
        </is>
      </c>
      <c r="E76" t="inlineStr">
        <is>
          <t>45367825200025</t>
        </is>
      </c>
      <c r="F76" t="inlineStr">
        <is>
          <t>453678252</t>
        </is>
      </c>
      <c r="G76" t="inlineStr"/>
      <c r="H76" t="inlineStr"/>
      <c r="I76" t="inlineStr">
        <is>
          <t>scapet@anru.fr</t>
        </is>
      </c>
      <c r="J76" t="inlineStr">
        <is>
          <t>0761066208</t>
        </is>
      </c>
      <c r="K76" t="inlineStr"/>
      <c r="L76" t="inlineStr"/>
      <c r="M76" t="inlineStr"/>
      <c r="N76" t="inlineStr">
        <is>
          <t>93</t>
        </is>
      </c>
      <c r="O76" t="inlineStr"/>
      <c r="P76" t="inlineStr">
        <is>
          <t>Ile-de-France</t>
        </is>
      </c>
      <c r="Q76" s="15" t="n">
        <v>46243</v>
      </c>
      <c r="R76" s="15" t="n">
        <v>46272</v>
      </c>
      <c r="S76" t="inlineStr"/>
      <c r="T76" t="inlineStr">
        <is>
          <t>A_VERIFIER_BUDGET</t>
        </is>
      </c>
      <c r="U76" t="inlineStr"/>
      <c r="V76" t="inlineStr">
        <is>
          <t>non</t>
        </is>
      </c>
      <c r="W76" t="inlineStr">
        <is>
          <t>Personnel</t>
        </is>
      </c>
      <c r="X76" t="inlineStr">
        <is>
          <t>Autre</t>
        </is>
      </c>
      <c r="Y76" t="inlineStr">
        <is>
          <t>SERVICES</t>
        </is>
      </c>
      <c r="Z76" t="inlineStr">
        <is>
          <t>Procédure Ouverte</t>
        </is>
      </c>
      <c r="AA76" t="inlineStr">
        <is>
          <t>Avis de marché</t>
        </is>
      </c>
      <c r="AB76" t="inlineStr">
        <is>
          <t>Prestations de services</t>
        </is>
      </c>
      <c r="AC76" t="inlineStr">
        <is>
          <t>['sociaux', 'environnementaux']</t>
        </is>
      </c>
      <c r="AD76" s="11" t="inlineStr">
        <is>
          <t>https://www.boamp.fr/pages/avis/?q=idweb:26-79004</t>
        </is>
      </c>
      <c r="AE76" t="inlineStr">
        <is>
          <t>https://www.marches-publics.gouv.fr/entreprise</t>
        </is>
      </c>
      <c r="AF76" t="inlineStr">
        <is>
          <t>https://www.marches-publics.gouv.fr/entreprise</t>
        </is>
      </c>
      <c r="AG76" t="inlineStr"/>
      <c r="AH76" t="inlineStr">
        <is>
          <t>3</t>
        </is>
      </c>
      <c r="AI76" t="inlineStr">
        <is>
          <t>60</t>
        </is>
      </c>
      <c r="AJ76" t="inlineStr">
        <is>
          <t>INFO_PARTIELLE</t>
        </is>
      </c>
      <c r="AK76" t="inlineStr">
        <is>
          <t>8.5</t>
        </is>
      </c>
      <c r="AL76" s="16" t="inlineStr">
        <is>
          <t>FROID</t>
        </is>
      </c>
      <c r="AM76" t="inlineStr"/>
      <c r="AN76" t="inlineStr"/>
      <c r="AO76" t="inlineStr"/>
      <c r="AP76" t="inlineStr"/>
      <c r="AQ76" t="inlineStr">
        <is>
          <t>IA_BUDGET_A_VERIFIER</t>
        </is>
      </c>
      <c r="AR76" t="inlineStr">
        <is>
          <t>Verifier le budget dans l'avis source ou le DCE avant decision commerciale.</t>
        </is>
      </c>
      <c r="AS76" t="inlineStr">
        <is>
          <t>adresse, ville, budget</t>
        </is>
      </c>
      <c r="AT7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26-79004. Objet: Accord-cadre relatif à la mise à disposition de personnel intérimaire. Acheteur: ANRU.. Lien: https://www.boamp.fr/pages/avis/?q=idweb:26-79004.</t>
        </is>
      </c>
      <c r="AU76" t="inlineStr">
        <is>
          <t>Verifier url_avis et DCE si disponible</t>
        </is>
      </c>
      <c r="AV76" t="inlineStr">
        <is>
          <t>LIEN_SEUL</t>
        </is>
      </c>
      <c r="AW76" t="inlineStr"/>
      <c r="AX76" t="inlineStr"/>
      <c r="AY76" t="inlineStr"/>
      <c r="AZ76" t="inlineStr"/>
      <c r="BA76" t="inlineStr"/>
      <c r="BB76" t="inlineStr">
        <is>
          <t>0 pertinence metier faible | +10 budget non affiche (a verifier) | -3.0 delai 7 j | +1.5 dossier renseigne (3/4)</t>
        </is>
      </c>
      <c r="BC76" t="inlineStr">
        <is>
          <t>ANRU. publie un AO potentiellement pertinent pour CHRUTH : Accord-cadre relatif à la mise à disposition de personnel intérimaire. Zone : 93. Budget a verifier. Verifier le lien source avant contact.</t>
        </is>
      </c>
      <c r="BD76" t="inlineStr">
        <is>
          <t>Bonjour,
Je me permets de vous contacter au sujet de votre appel d'offres : Accord-cadre relatif à la mise à disposition de personnel intérimaire.
CHRUTH accompagne les structures publiques et privées sur les besoins de nettoyage, d'entretien des locaux et d'organisation de prestations de service.
Serait-il possible d'échanger rapidement afin de vérifier les modalités de réponse et les attentes de ANRU. ?
Cordialement,</t>
        </is>
      </c>
      <c r="BE76" t="inlineStr">
        <is>
          <t>Bonjour, je vous appelle concernant un appel d'offres publié par ANRU.. Je souhaite vérifier les informations pratiques : périmètre des prestations, date limite, modalités de visite, contact technique et pièces attendues. Pouvez-vous m'indiquer la bonne personne à contacter ?</t>
        </is>
      </c>
      <c r="BF76" t="inlineStr"/>
      <c r="BG76" t="inlineStr"/>
      <c r="BH76" t="inlineStr"/>
      <c r="BI76" t="inlineStr"/>
      <c r="BJ76" t="inlineStr"/>
      <c r="BK76" t="inlineStr"/>
      <c r="BL76" t="inlineStr"/>
      <c r="BM76" t="inlineStr">
        <is>
          <t>2026-W32</t>
        </is>
      </c>
    </row>
    <row r="77">
      <c r="A77" t="inlineStr">
        <is>
          <t>BOAMP</t>
        </is>
      </c>
      <c r="B77" t="inlineStr">
        <is>
          <t>26-81752</t>
        </is>
      </c>
      <c r="C77" t="inlineStr">
        <is>
          <t>Prestations d'accompagnement au recrutement et de mise à disposition de personnel intérimaire et prestations associées</t>
        </is>
      </c>
      <c r="D77" t="inlineStr">
        <is>
          <t>Conseil National Ordre Des Pharmaciens</t>
        </is>
      </c>
      <c r="E77" t="inlineStr">
        <is>
          <t>17750111101763</t>
        </is>
      </c>
      <c r="F77" t="inlineStr">
        <is>
          <t>177501111</t>
        </is>
      </c>
      <c r="G77" t="inlineStr"/>
      <c r="H77" t="inlineStr"/>
      <c r="I77" t="inlineStr">
        <is>
          <t>fpette@ordre.pharmacien.fr</t>
        </is>
      </c>
      <c r="J77" t="inlineStr">
        <is>
          <t>+33 156213580</t>
        </is>
      </c>
      <c r="K77" t="inlineStr"/>
      <c r="L77" t="inlineStr"/>
      <c r="M77" t="inlineStr"/>
      <c r="N77" t="inlineStr">
        <is>
          <t>75</t>
        </is>
      </c>
      <c r="O77" t="inlineStr"/>
      <c r="P77" t="inlineStr">
        <is>
          <t>Ile-de-France</t>
        </is>
      </c>
      <c r="Q77" s="15" t="n">
        <v>46255</v>
      </c>
      <c r="R77" s="15" t="n">
        <v>46293</v>
      </c>
      <c r="S77" s="14" t="n">
        <v>2500000</v>
      </c>
      <c r="T77" t="inlineStr">
        <is>
          <t>BUDGET_EXPLICITE_OK</t>
        </is>
      </c>
      <c r="U77" t="inlineStr">
        <is>
          <t>2500000.0</t>
        </is>
      </c>
      <c r="V77" t="inlineStr">
        <is>
          <t>non</t>
        </is>
      </c>
      <c r="W77" t="inlineStr">
        <is>
          <t>Personnel</t>
        </is>
      </c>
      <c r="X77" t="inlineStr">
        <is>
          <t>Autre</t>
        </is>
      </c>
      <c r="Y77" t="inlineStr">
        <is>
          <t>SERVICES</t>
        </is>
      </c>
      <c r="Z77" t="inlineStr">
        <is>
          <t>Procédure Ouverte</t>
        </is>
      </c>
      <c r="AA77" t="inlineStr">
        <is>
          <t>Avis de marché</t>
        </is>
      </c>
      <c r="AB77" t="inlineStr">
        <is>
          <t>Prestations de services</t>
        </is>
      </c>
      <c r="AC77" t="inlineStr"/>
      <c r="AD77" s="11" t="inlineStr">
        <is>
          <t>https://www.boamp.fr/pages/avis/?q=idweb:26-81752</t>
        </is>
      </c>
      <c r="AE77" t="inlineStr">
        <is>
          <t>https://ordre-pharmacien.e-marchespublics.com</t>
        </is>
      </c>
      <c r="AF77" t="inlineStr">
        <is>
          <t>https://ordre-pharmacien.e-marchespublics.com</t>
        </is>
      </c>
      <c r="AG77" t="inlineStr"/>
      <c r="AH77" t="inlineStr">
        <is>
          <t>3</t>
        </is>
      </c>
      <c r="AI77" t="inlineStr">
        <is>
          <t>60</t>
        </is>
      </c>
      <c r="AJ77" t="inlineStr">
        <is>
          <t>INFO_PARTIELLE</t>
        </is>
      </c>
      <c r="AK77" t="inlineStr">
        <is>
          <t>0.0</t>
        </is>
      </c>
      <c r="AL77" s="16" t="inlineStr">
        <is>
          <t>FROID</t>
        </is>
      </c>
      <c r="AM77" t="inlineStr"/>
      <c r="AN77" t="inlineStr"/>
      <c r="AO77" t="inlineStr"/>
      <c r="AP77" t="inlineStr"/>
      <c r="AQ77" t="inlineStr">
        <is>
          <t>IA_CONTACT_A_COMPLETER</t>
        </is>
      </c>
      <c r="AR77" t="inlineStr">
        <is>
          <t>Completer les champs manquants depuis l'avis source, le site acheteur ou le DCE.</t>
        </is>
      </c>
      <c r="AS77" t="inlineStr">
        <is>
          <t>adresse, ville</t>
        </is>
      </c>
      <c r="AT7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26-81752. Objet: Prestations d'accompagnement au recrutement et de mise à disposition de personnel intérimaire et prestations associées. Acheteur: Conseil National Ordre Des Pharmaciens. Lien: https://www.boamp.fr/pages/avis/?q=idweb:26-81752.</t>
        </is>
      </c>
      <c r="AU77" t="inlineStr">
        <is>
          <t>Verifier url_avis et DCE si disponible</t>
        </is>
      </c>
      <c r="AV77" t="inlineStr"/>
      <c r="AW77" t="inlineStr"/>
      <c r="AX77" t="inlineStr"/>
      <c r="AY77" t="inlineStr"/>
      <c r="AZ77" t="inlineStr"/>
      <c r="BA77" t="inlineStr"/>
      <c r="BB77" t="inlineStr">
        <is>
          <t>0 pertinence metier faible | -20.0 budget annualise 2 500 000 EUR | +9.5 delai 28 j | +1.5 dossier renseigne (3/4)</t>
        </is>
      </c>
      <c r="BC77" t="inlineStr">
        <is>
          <t>Conseil National Ordre Des Pharmaciens publie un AO potentiellement pertinent pour CHRUTH : Prestations d'accompagnement au recrutement et de mise à disposition de personnel intérimaire et prestations associées. Zone : 75. Budget detecte environ 2 500 000 EUR. Verifier le lien source avant contact.</t>
        </is>
      </c>
      <c r="BD77" t="inlineStr">
        <is>
          <t>Bonjour,
Je me permets de vous contacter au sujet de votre appel d'offres : Prestations d'accompagnement au recrutement et de mise à disposition de personnel intérimaire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Conseil National Ordre Des Pharmaciens ?
Cordialement,</t>
        </is>
      </c>
      <c r="BE77" t="inlineStr">
        <is>
          <t>Bonjour, je vous appelle concernant un appel d'offres publié par Conseil National Ordre Des Pharmaciens. Je souhaite vérifier les informations pratiques : périmètre des prestations, date limite, modalités de visite, contact technique et pièces attendues. Pouvez-vous m'indiquer la bonne personne à contacter ?</t>
        </is>
      </c>
      <c r="BF77" t="inlineStr"/>
      <c r="BG77" t="inlineStr"/>
      <c r="BH77" t="inlineStr"/>
      <c r="BI77" t="inlineStr"/>
      <c r="BJ77" t="inlineStr"/>
      <c r="BK77" t="inlineStr"/>
      <c r="BL77" t="inlineStr"/>
      <c r="BM77" t="inlineStr">
        <is>
          <t>2026-W34</t>
        </is>
      </c>
    </row>
    <row r="78">
      <c r="A78" t="inlineStr">
        <is>
          <t>BOAMP</t>
        </is>
      </c>
      <c r="B78" t="inlineStr">
        <is>
          <t>26-80563</t>
        </is>
      </c>
      <c r="C78" t="inlineStr">
        <is>
          <t>ACCORD-CADRE RELATIF AUX PRESTATIONS DE SECURITE DES PERSONNES ET DE SURVEILLANCE DES BIENS POUR LES SITES DES CIRCONSCRIPTIONS DES DELEGATIONS REGIONALES D’ILE-DE-FRANCE DU CNRS</t>
        </is>
      </c>
      <c r="D78" t="inlineStr">
        <is>
          <t>CNRS VILLEJUIF</t>
        </is>
      </c>
      <c r="E78" t="inlineStr">
        <is>
          <t>18008901303720</t>
        </is>
      </c>
      <c r="F78" t="inlineStr">
        <is>
          <t>180089013</t>
        </is>
      </c>
      <c r="G78" t="inlineStr"/>
      <c r="H78" t="inlineStr"/>
      <c r="I78" t="inlineStr">
        <is>
          <t>fabien.allaire@cnrs.fr</t>
        </is>
      </c>
      <c r="J78" t="inlineStr">
        <is>
          <t>0890130372</t>
        </is>
      </c>
      <c r="K78" t="inlineStr"/>
      <c r="L78" t="inlineStr"/>
      <c r="M78" t="inlineStr"/>
      <c r="N78" t="inlineStr">
        <is>
          <t>94,91,75,92</t>
        </is>
      </c>
      <c r="O78" t="inlineStr"/>
      <c r="P78" t="inlineStr">
        <is>
          <t>Ile-de-France</t>
        </is>
      </c>
      <c r="Q78" s="15" t="n">
        <v>46250</v>
      </c>
      <c r="R78" s="15" t="n">
        <v>46252</v>
      </c>
      <c r="S78" s="14" t="n">
        <v>18800000</v>
      </c>
      <c r="T78" t="inlineStr">
        <is>
          <t>BUDGET_EXPLICITE_OK</t>
        </is>
      </c>
      <c r="U78" t="inlineStr">
        <is>
          <t>112800000</t>
        </is>
      </c>
      <c r="V78" t="inlineStr">
        <is>
          <t>oui</t>
        </is>
      </c>
      <c r="W78" t="inlineStr">
        <is>
          <t>Personnel</t>
        </is>
      </c>
      <c r="X78" t="inlineStr">
        <is>
          <t>Autre</t>
        </is>
      </c>
      <c r="Y78" t="inlineStr">
        <is>
          <t>SERVICES</t>
        </is>
      </c>
      <c r="Z78" t="inlineStr">
        <is>
          <t>Procédure Ouverte</t>
        </is>
      </c>
      <c r="AA78" t="inlineStr">
        <is>
          <t>Avis de marché</t>
        </is>
      </c>
      <c r="AB78" t="inlineStr">
        <is>
          <t>Gardiennage, Sécurité incendie, Surveillance</t>
        </is>
      </c>
      <c r="AC78" t="inlineStr">
        <is>
          <t>['sociaux', 'environnementaux']</t>
        </is>
      </c>
      <c r="AD78" s="11" t="inlineStr">
        <is>
          <t>https://www.boamp.fr/pages/avis/?q=idweb:26-80563</t>
        </is>
      </c>
      <c r="AE78" t="inlineStr">
        <is>
          <t>https://www.marches-publics.gouv.fr/entreprise</t>
        </is>
      </c>
      <c r="AF78" t="inlineStr">
        <is>
          <t>https://www.marches-publics.gouv.fr/entreprise</t>
        </is>
      </c>
      <c r="AG78" t="inlineStr"/>
      <c r="AH78" t="inlineStr">
        <is>
          <t>3</t>
        </is>
      </c>
      <c r="AI78" t="inlineStr">
        <is>
          <t>60</t>
        </is>
      </c>
      <c r="AJ78" t="inlineStr">
        <is>
          <t>INFO_PARTIELLE</t>
        </is>
      </c>
      <c r="AK78" t="inlineStr">
        <is>
          <t>0.0</t>
        </is>
      </c>
      <c r="AL78" s="16" t="inlineStr">
        <is>
          <t>FROID</t>
        </is>
      </c>
      <c r="AM78" t="inlineStr"/>
      <c r="AN78" t="inlineStr"/>
      <c r="AO78" t="inlineStr"/>
      <c r="AP78" t="inlineStr"/>
      <c r="AQ78" t="inlineStr">
        <is>
          <t>IA_CONTACT_A_COMPLETER</t>
        </is>
      </c>
      <c r="AR78" t="inlineStr">
        <is>
          <t>Completer les champs manquants depuis l'avis source, le site acheteur ou le DCE.</t>
        </is>
      </c>
      <c r="AS78" t="inlineStr">
        <is>
          <t>adresse, ville</t>
        </is>
      </c>
      <c r="AT7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26-80563. Objet: ACCORD-CADRE RELATIF AUX PRESTATIONS DE SECURITE DES PERSONNES ET DE SURVEILLANCE DES BIENS POUR LES SITES DES CIRCONSCRIPTIONS DES DELEGATIONS REGIONALES D’ILE-DE-FRANCE DU CNRS. Acheteur: CNRS VILLEJUIF. Lien: https://www.boamp.fr/pages/avis/?q=idweb:26-80563.</t>
        </is>
      </c>
      <c r="AU78" t="inlineStr">
        <is>
          <t>Verifier url_avis et DCE si disponible</t>
        </is>
      </c>
      <c r="AV78" t="inlineStr"/>
      <c r="AW78" t="inlineStr"/>
      <c r="AX78" t="inlineStr"/>
      <c r="AY78" t="inlineStr"/>
      <c r="AZ78" t="inlineStr"/>
      <c r="BA78" t="inlineStr"/>
      <c r="BB78" t="inlineStr">
        <is>
          <t>0 pertinence metier faible | -20.0 budget annualise 112 800 000 EUR | -30 AO expire | +1.5 dossier renseigne (3/4)</t>
        </is>
      </c>
      <c r="BC78" t="inlineStr">
        <is>
          <t>CNRS VILLEJUIF publie un AO potentiellement pertinent pour CHRUTH : ACCORD-CADRE RELATIF AUX PRESTATIONS DE SECURITE DES PERSONNES ET DE SURVEILLANCE DES BIENS POUR LES SITES DES CIRCONSCRIPTIONS DES DELEGATIONS REGIONALES D’ILE-DE-FRANCE DU CNRS. Zone : 94,91,75,92. Budget detecte environ 18 800 000 EUR. Verifier le lien source avant contact.</t>
        </is>
      </c>
      <c r="BD78" t="inlineStr">
        <is>
          <t>Bonjour,
Je me permets de vous contacter au sujet de votre appel d'offres : ACCORD-CADRE RELATIF AUX PRESTATIONS DE SECURITE DES PERSONNES ET DE SURVEILLANCE DES BIENS POUR LES SITES DES CIRCONSCRIPTIONS DES DELEGATIONS REGIONALES D’ILE-DE-FRANCE DU CNRS.
CHRUTH accompagne les structures publiques et privées sur les besoins de nettoyage, d'entretien des locaux et d'organisation de prestations de service.
Serait-il possible d'échanger rapidement afin de vérifier les modalités de réponse et les attentes de CNRS VILLEJUIF ?
Cordialement,</t>
        </is>
      </c>
      <c r="BE78" t="inlineStr">
        <is>
          <t>Bonjour, je vous appelle concernant un appel d'offres publié par CNRS VILLEJUIF. Je souhaite vérifier les informations pratiques : périmètre des prestations, date limite, modalités de visite, contact technique et pièces attendues. Pouvez-vous m'indiquer la bonne personne à contacter ?</t>
        </is>
      </c>
      <c r="BF78" t="inlineStr"/>
      <c r="BG78" t="inlineStr"/>
      <c r="BH78" t="inlineStr"/>
      <c r="BI78" t="inlineStr"/>
      <c r="BJ78" t="inlineStr"/>
      <c r="BK78" t="inlineStr"/>
      <c r="BL78" t="inlineStr"/>
      <c r="BM78" t="inlineStr">
        <is>
          <t>2026-W33</t>
        </is>
      </c>
    </row>
    <row r="79">
      <c r="A79" t="inlineStr">
        <is>
          <t>BOAMP</t>
        </is>
      </c>
      <c r="B79" t="inlineStr">
        <is>
          <t>26-80651</t>
        </is>
      </c>
      <c r="C79" t="inlineStr">
        <is>
          <t>ENTRETIEN DES ESPACES VERTS</t>
        </is>
      </c>
      <c r="D79" t="inlineStr">
        <is>
          <t>COMMUNE DE FONTENAY-SOUS-BOIS</t>
        </is>
      </c>
      <c r="E79" t="inlineStr">
        <is>
          <t>21940033000011</t>
        </is>
      </c>
      <c r="F79" t="inlineStr">
        <is>
          <t>219400330</t>
        </is>
      </c>
      <c r="G79" t="inlineStr"/>
      <c r="H79" t="inlineStr"/>
      <c r="I79" t="inlineStr">
        <is>
          <t>achats@fontenay-sous-bois.fr</t>
        </is>
      </c>
      <c r="J79" t="inlineStr">
        <is>
          <t>+33 149747474</t>
        </is>
      </c>
      <c r="K79" t="inlineStr"/>
      <c r="L79" t="inlineStr"/>
      <c r="M79" t="inlineStr"/>
      <c r="N79" t="inlineStr">
        <is>
          <t>94</t>
        </is>
      </c>
      <c r="O79" t="inlineStr"/>
      <c r="P79" t="inlineStr">
        <is>
          <t>Ile-de-France</t>
        </is>
      </c>
      <c r="Q79" s="15" t="n">
        <v>46250</v>
      </c>
      <c r="R79" s="15" t="n">
        <v>46283</v>
      </c>
      <c r="S79" s="14" t="n">
        <v>1500000</v>
      </c>
      <c r="T79" t="inlineStr">
        <is>
          <t>BUDGET_EXPLICITE_OK</t>
        </is>
      </c>
      <c r="U79" t="inlineStr">
        <is>
          <t>1500000.0</t>
        </is>
      </c>
      <c r="V79" t="inlineStr">
        <is>
          <t>non</t>
        </is>
      </c>
      <c r="W79" t="inlineStr">
        <is>
          <t>Personnel</t>
        </is>
      </c>
      <c r="X79" t="inlineStr">
        <is>
          <t>Mairie</t>
        </is>
      </c>
      <c r="Y79" t="inlineStr">
        <is>
          <t>SERVICES</t>
        </is>
      </c>
      <c r="Z79" t="inlineStr">
        <is>
          <t>Procédure Ouverte</t>
        </is>
      </c>
      <c r="AA79" t="inlineStr">
        <is>
          <t>Avis de marché</t>
        </is>
      </c>
      <c r="AB79" t="inlineStr">
        <is>
          <t>Espaces verts</t>
        </is>
      </c>
      <c r="AC79" t="inlineStr"/>
      <c r="AD79" s="11" t="inlineStr">
        <is>
          <t>https://www.boamp.fr/pages/avis/?q=idweb:26-80651</t>
        </is>
      </c>
      <c r="AE79" t="inlineStr">
        <is>
          <t>https://www.fontenay.fr/index.html</t>
        </is>
      </c>
      <c r="AF79" t="inlineStr"/>
      <c r="AG79" t="inlineStr"/>
      <c r="AH79" t="inlineStr">
        <is>
          <t>3</t>
        </is>
      </c>
      <c r="AI79" t="inlineStr">
        <is>
          <t>60</t>
        </is>
      </c>
      <c r="AJ79" t="inlineStr">
        <is>
          <t>INFO_PARTIELLE</t>
        </is>
      </c>
      <c r="AK79" t="inlineStr">
        <is>
          <t>0.0</t>
        </is>
      </c>
      <c r="AL79" s="16" t="inlineStr">
        <is>
          <t>FROID</t>
        </is>
      </c>
      <c r="AM79" t="inlineStr"/>
      <c r="AN79" t="inlineStr"/>
      <c r="AO79" t="inlineStr"/>
      <c r="AP79" t="inlineStr"/>
      <c r="AQ79" t="inlineStr">
        <is>
          <t>IA_CONTACT_A_COMPLETER</t>
        </is>
      </c>
      <c r="AR79" t="inlineStr">
        <is>
          <t>Completer les champs manquants depuis l'avis source, le site acheteur ou le DCE.</t>
        </is>
      </c>
      <c r="AS79" t="inlineStr">
        <is>
          <t>adresse, ville</t>
        </is>
      </c>
      <c r="AT7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26-80651. Objet: ENTRETIEN DES ESPACES VERTS. Acheteur: COMMUNE DE FONTENAY-SOUS-BOIS. Lien: https://www.boamp.fr/pages/avis/?q=idweb:26-80651.</t>
        </is>
      </c>
      <c r="AU79" t="inlineStr">
        <is>
          <t>Verifier url_avis et DCE si disponible</t>
        </is>
      </c>
      <c r="AV79" t="inlineStr"/>
      <c r="AW79" t="inlineStr"/>
      <c r="AX79" t="inlineStr"/>
      <c r="AY79" t="inlineStr"/>
      <c r="AZ79" t="inlineStr"/>
      <c r="BA79" t="inlineStr"/>
      <c r="BB79" t="inlineStr">
        <is>
          <t>0 pertinence metier faible | -20.0 budget annualise 1 500 000 EUR | +10 secteur cible Mairie | +7.0 delai 18 j | +1.5 dossier renseigne (3/4)</t>
        </is>
      </c>
      <c r="BC79" t="inlineStr">
        <is>
          <t>COMMUNE DE FONTENAY-SOUS-BOIS publie un AO potentiellement pertinent pour CHRUTH : ENTRETIEN DES ESPACES VERTS. Zone : 94. Budget detecte environ 1 500 000 EUR. Verifier le lien source avant contact.</t>
        </is>
      </c>
      <c r="BD79"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79"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79" t="inlineStr"/>
      <c r="BG79" t="inlineStr"/>
      <c r="BH79" t="inlineStr"/>
      <c r="BI79" t="inlineStr"/>
      <c r="BJ79" t="inlineStr"/>
      <c r="BK79" t="inlineStr"/>
      <c r="BL79" t="inlineStr"/>
      <c r="BM79" t="inlineStr">
        <is>
          <t>2026-W33</t>
        </is>
      </c>
    </row>
    <row r="80">
      <c r="A80" t="inlineStr">
        <is>
          <t>BOAMP</t>
        </is>
      </c>
      <c r="B80" t="inlineStr">
        <is>
          <t>26-73122</t>
        </is>
      </c>
      <c r="C80" t="inlineStr">
        <is>
          <t>Mise à disposition de professionnels paramédicaux et éducatifs pour la Direction de la protection de l'enfance et de la jeunesse.</t>
        </is>
      </c>
      <c r="D80" t="inlineStr">
        <is>
          <t>Département du Val-de-Marne</t>
        </is>
      </c>
      <c r="E80" t="inlineStr">
        <is>
          <t>22940028800010</t>
        </is>
      </c>
      <c r="F80" t="inlineStr">
        <is>
          <t>229400288</t>
        </is>
      </c>
      <c r="G80" t="inlineStr"/>
      <c r="H80" t="inlineStr"/>
      <c r="I80" t="inlineStr">
        <is>
          <t>dapm@valdemarne.fr</t>
        </is>
      </c>
      <c r="J80" t="inlineStr">
        <is>
          <t>0704900017</t>
        </is>
      </c>
      <c r="K80" t="inlineStr"/>
      <c r="L80" t="inlineStr"/>
      <c r="M80" t="inlineStr"/>
      <c r="N80" t="inlineStr">
        <is>
          <t>94</t>
        </is>
      </c>
      <c r="O80" t="inlineStr"/>
      <c r="P80" t="inlineStr">
        <is>
          <t>Ile-de-France</t>
        </is>
      </c>
      <c r="Q80" s="15" t="n">
        <v>46226</v>
      </c>
      <c r="R80" s="15" t="n">
        <v>46276</v>
      </c>
      <c r="S80" s="14" t="n">
        <v>2800000</v>
      </c>
      <c r="T80" t="inlineStr">
        <is>
          <t>BUDGET_EXPLICITE_OK</t>
        </is>
      </c>
      <c r="U80" t="inlineStr">
        <is>
          <t>2800000</t>
        </is>
      </c>
      <c r="V80" t="inlineStr">
        <is>
          <t>oui</t>
        </is>
      </c>
      <c r="W80" t="inlineStr">
        <is>
          <t>Personnel</t>
        </is>
      </c>
      <c r="X80" t="inlineStr">
        <is>
          <t>Autre</t>
        </is>
      </c>
      <c r="Y80" t="inlineStr">
        <is>
          <t>SERVICES</t>
        </is>
      </c>
      <c r="Z80" t="inlineStr">
        <is>
          <t>Procédure Ouverte</t>
        </is>
      </c>
      <c r="AA80" t="inlineStr">
        <is>
          <t>Avis de marché</t>
        </is>
      </c>
      <c r="AB80" t="inlineStr">
        <is>
          <t>Mise à disposition de personnel</t>
        </is>
      </c>
      <c r="AC80" t="inlineStr">
        <is>
          <t>['environnementaux']</t>
        </is>
      </c>
      <c r="AD80" s="11" t="inlineStr">
        <is>
          <t>https://www.boamp.fr/pages/avis/?q=idweb:26-73122</t>
        </is>
      </c>
      <c r="AE80" t="inlineStr">
        <is>
          <t>https://marches.maximilien.fr/?page=Entreprise.EntrepriseAdvancedSearch&amp;AllCons&amp;id=943156&amp;orgAcronyme=a8z</t>
        </is>
      </c>
      <c r="AF80" t="inlineStr">
        <is>
          <t>https://marches.maximilien.fr/?page=Entreprise.EntrepriseAdvancedSearch&amp;AllCons&amp;id=943156&amp;orgAcronyme=a8z</t>
        </is>
      </c>
      <c r="AG80" t="inlineStr"/>
      <c r="AH80" t="inlineStr">
        <is>
          <t>3</t>
        </is>
      </c>
      <c r="AI80" t="inlineStr">
        <is>
          <t>60</t>
        </is>
      </c>
      <c r="AJ80" t="inlineStr">
        <is>
          <t>INFO_PARTIELLE</t>
        </is>
      </c>
      <c r="AK80" t="inlineStr">
        <is>
          <t>0</t>
        </is>
      </c>
      <c r="AL80" s="16" t="inlineStr">
        <is>
          <t>FROID</t>
        </is>
      </c>
      <c r="AM80" t="inlineStr"/>
      <c r="AN80" t="inlineStr"/>
      <c r="AO80" t="inlineStr"/>
      <c r="AP80" t="inlineStr"/>
      <c r="AQ80" t="inlineStr">
        <is>
          <t>IA_CONTACT_A_COMPLETER</t>
        </is>
      </c>
      <c r="AR80" t="inlineStr">
        <is>
          <t>Completer les champs manquants depuis l'avis source, le site acheteur ou le DCE.</t>
        </is>
      </c>
      <c r="AS80" t="inlineStr">
        <is>
          <t>adresse, ville</t>
        </is>
      </c>
      <c r="AT8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80" t="inlineStr">
        <is>
          <t>Verifier url_avis et DCE si disponible</t>
        </is>
      </c>
      <c r="AV80" t="inlineStr"/>
      <c r="AW80" t="inlineStr"/>
      <c r="AX80" t="inlineStr"/>
      <c r="AY80" t="inlineStr"/>
      <c r="AZ80" t="inlineStr"/>
      <c r="BA80" t="inlineStr"/>
      <c r="BB80" t="inlineStr">
        <is>
          <t>0 pertinence metier faible | -20 gros budget (&gt; 500 000 EUR) | +10 delai confortable 45j</t>
        </is>
      </c>
      <c r="BC80"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80"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80"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80" t="inlineStr"/>
      <c r="BG80" t="inlineStr"/>
      <c r="BH80" t="inlineStr"/>
      <c r="BI80" t="inlineStr"/>
      <c r="BJ80" t="inlineStr"/>
      <c r="BK80" t="inlineStr"/>
      <c r="BL80" t="inlineStr"/>
      <c r="BM80" t="inlineStr">
        <is>
          <t>2026-W30</t>
        </is>
      </c>
    </row>
    <row r="81">
      <c r="A81" t="inlineStr">
        <is>
          <t>BOAMP</t>
        </is>
      </c>
      <c r="B81" t="inlineStr">
        <is>
          <t>26-70414</t>
        </is>
      </c>
      <c r="C81" t="inlineStr">
        <is>
          <t>prestations de gestion de l'entretien et des réparations des flottes de véhicules terrestres d’un PTAC ≤ 3,5 tonnes et des prestations d’assistance pour les véhicules en auto assurance</t>
        </is>
      </c>
      <c r="D81" t="inlineStr">
        <is>
          <t>Direction des Achats de l'Etat (DAE)</t>
        </is>
      </c>
      <c r="E81" t="inlineStr">
        <is>
          <t>13002220500012</t>
        </is>
      </c>
      <c r="F81" t="inlineStr">
        <is>
          <t>130022205</t>
        </is>
      </c>
      <c r="G81" t="inlineStr"/>
      <c r="H81" t="inlineStr"/>
      <c r="I81" t="inlineStr">
        <is>
          <t>mobilite.dae@finances.gouv.fr</t>
        </is>
      </c>
      <c r="J81" t="inlineStr">
        <is>
          <t>0222050001</t>
        </is>
      </c>
      <c r="K81" t="inlineStr"/>
      <c r="L81" t="inlineStr"/>
      <c r="M81" t="inlineStr"/>
      <c r="N81" t="inlineStr">
        <is>
          <t>75</t>
        </is>
      </c>
      <c r="O81" t="inlineStr"/>
      <c r="P81" t="inlineStr">
        <is>
          <t>Ile-de-France</t>
        </is>
      </c>
      <c r="Q81" s="15" t="n">
        <v>46220</v>
      </c>
      <c r="R81" s="15" t="n">
        <v>46233</v>
      </c>
      <c r="S81" s="14" t="n">
        <v>580000000</v>
      </c>
      <c r="T81" t="inlineStr">
        <is>
          <t>BUDGET_EXPLICITE_OK</t>
        </is>
      </c>
      <c r="U81" t="inlineStr">
        <is>
          <t>1160000000</t>
        </is>
      </c>
      <c r="V81" t="inlineStr">
        <is>
          <t>oui</t>
        </is>
      </c>
      <c r="W81" t="inlineStr">
        <is>
          <t>Personnel</t>
        </is>
      </c>
      <c r="X81" t="inlineStr">
        <is>
          <t>Autre</t>
        </is>
      </c>
      <c r="Y81" t="inlineStr">
        <is>
          <t>SERVICES</t>
        </is>
      </c>
      <c r="Z81" t="inlineStr">
        <is>
          <t>Procédure Ouverte</t>
        </is>
      </c>
      <c r="AA81" t="inlineStr">
        <is>
          <t>Avis de marché</t>
        </is>
      </c>
      <c r="AB81" t="inlineStr">
        <is>
          <t>Prestations de services</t>
        </is>
      </c>
      <c r="AC81" t="inlineStr">
        <is>
          <t>['sociaux', 'environnementaux']</t>
        </is>
      </c>
      <c r="AD81" s="11" t="inlineStr">
        <is>
          <t>https://www.boamp.fr/pages/avis/?q=idweb:26-70414</t>
        </is>
      </c>
      <c r="AE81" t="inlineStr">
        <is>
          <t>https://www.marches-publics.gouv.fr</t>
        </is>
      </c>
      <c r="AF81" t="inlineStr">
        <is>
          <t>https://www.marches-publics.gouv.fr</t>
        </is>
      </c>
      <c r="AG81" t="inlineStr"/>
      <c r="AH81" t="inlineStr">
        <is>
          <t>3</t>
        </is>
      </c>
      <c r="AI81" t="inlineStr">
        <is>
          <t>60</t>
        </is>
      </c>
      <c r="AJ81" t="inlineStr">
        <is>
          <t>INFO_PARTIELLE</t>
        </is>
      </c>
      <c r="AK81" t="inlineStr">
        <is>
          <t>0</t>
        </is>
      </c>
      <c r="AL81" s="16" t="inlineStr">
        <is>
          <t>FROID</t>
        </is>
      </c>
      <c r="AM81" t="inlineStr"/>
      <c r="AN81" t="inlineStr"/>
      <c r="AO81" t="inlineStr"/>
      <c r="AP81" t="inlineStr"/>
      <c r="AQ81" t="inlineStr">
        <is>
          <t>IA_CONTACT_A_COMPLETER</t>
        </is>
      </c>
      <c r="AR81" t="inlineStr">
        <is>
          <t>Completer les champs manquants depuis l'avis source, le site acheteur ou le DCE.</t>
        </is>
      </c>
      <c r="AS81" t="inlineStr">
        <is>
          <t>adresse, ville</t>
        </is>
      </c>
      <c r="AT8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81" t="inlineStr">
        <is>
          <t>Verifier url_avis et DCE si disponible</t>
        </is>
      </c>
      <c r="AV81" t="inlineStr"/>
      <c r="AW81" t="inlineStr"/>
      <c r="AX81" t="inlineStr"/>
      <c r="AY81" t="inlineStr"/>
      <c r="AZ81" t="inlineStr"/>
      <c r="BA81" t="inlineStr"/>
      <c r="BB81" t="inlineStr">
        <is>
          <t>0 pertinence metier faible | -20 gros budget (&gt; 500 000 EUR) | -15 delai critique 2j</t>
        </is>
      </c>
      <c r="BC81"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81"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81"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81" t="inlineStr"/>
      <c r="BG81" t="inlineStr"/>
      <c r="BH81" t="inlineStr"/>
      <c r="BI81" t="inlineStr"/>
      <c r="BJ81" t="inlineStr"/>
      <c r="BK81" t="inlineStr"/>
      <c r="BL81" t="inlineStr"/>
      <c r="BM81" t="inlineStr">
        <is>
          <t>2026-W29</t>
        </is>
      </c>
    </row>
    <row r="82">
      <c r="A82" t="inlineStr">
        <is>
          <t>BOAMP</t>
        </is>
      </c>
      <c r="B82" t="inlineStr">
        <is>
          <t>26-70509</t>
        </is>
      </c>
      <c r="C82" t="inlineStr">
        <is>
          <t>GARDIENNAGE ET SURVEILLANCE DU CENTRE DE FORMATION DE GURCY-LE-CHATEL</t>
        </is>
      </c>
      <c r="D82" t="inlineStr">
        <is>
          <t>SDIS 77 de Seine-et-Marne</t>
        </is>
      </c>
      <c r="E82" t="inlineStr">
        <is>
          <t>28770831700014</t>
        </is>
      </c>
      <c r="F82" t="inlineStr">
        <is>
          <t>287708317</t>
        </is>
      </c>
      <c r="G82" t="inlineStr"/>
      <c r="H82" t="inlineStr"/>
      <c r="I82" t="inlineStr">
        <is>
          <t>marchespublics@sdis77.fr</t>
        </is>
      </c>
      <c r="J82" t="inlineStr">
        <is>
          <t>0831700014</t>
        </is>
      </c>
      <c r="K82" t="inlineStr"/>
      <c r="L82" t="inlineStr"/>
      <c r="M82" t="inlineStr"/>
      <c r="N82" t="inlineStr">
        <is>
          <t>77,91</t>
        </is>
      </c>
      <c r="O82" t="inlineStr"/>
      <c r="P82" t="inlineStr">
        <is>
          <t>Ile-de-France</t>
        </is>
      </c>
      <c r="Q82" s="15" t="n">
        <v>46220</v>
      </c>
      <c r="R82" t="inlineStr"/>
      <c r="S82" s="14" t="n">
        <v>250000</v>
      </c>
      <c r="T82" t="inlineStr">
        <is>
          <t>BUDGET_EXPLICITE_OK</t>
        </is>
      </c>
      <c r="U82" t="inlineStr">
        <is>
          <t>500000</t>
        </is>
      </c>
      <c r="V82" t="inlineStr">
        <is>
          <t>oui</t>
        </is>
      </c>
      <c r="W82" t="inlineStr">
        <is>
          <t>Personnel</t>
        </is>
      </c>
      <c r="X82" t="inlineStr">
        <is>
          <t>Autre</t>
        </is>
      </c>
      <c r="Y82" t="inlineStr">
        <is>
          <t>SERVICES</t>
        </is>
      </c>
      <c r="Z82" t="inlineStr">
        <is>
          <t>Procédure Restreinte</t>
        </is>
      </c>
      <c r="AA82" t="inlineStr">
        <is>
          <t>Avis de marché</t>
        </is>
      </c>
      <c r="AB82" t="inlineStr">
        <is>
          <t>Gardiennage</t>
        </is>
      </c>
      <c r="AC82" t="inlineStr">
        <is>
          <t>['environnementaux']</t>
        </is>
      </c>
      <c r="AD82" s="11" t="inlineStr">
        <is>
          <t>https://www.boamp.fr/pages/avis/?q=idweb:26-70509</t>
        </is>
      </c>
      <c r="AE82" t="inlineStr">
        <is>
          <t>http://melun.tribunal-administratif.fr</t>
        </is>
      </c>
      <c r="AF82" t="inlineStr"/>
      <c r="AG82" t="inlineStr"/>
      <c r="AH82" t="inlineStr">
        <is>
          <t>3</t>
        </is>
      </c>
      <c r="AI82" t="inlineStr">
        <is>
          <t>60</t>
        </is>
      </c>
      <c r="AJ82" t="inlineStr">
        <is>
          <t>INFO_PARTIELLE</t>
        </is>
      </c>
      <c r="AK82" t="inlineStr">
        <is>
          <t>0</t>
        </is>
      </c>
      <c r="AL82" s="16" t="inlineStr">
        <is>
          <t>FROID</t>
        </is>
      </c>
      <c r="AM82" t="inlineStr"/>
      <c r="AN82" t="inlineStr"/>
      <c r="AO82" t="inlineStr"/>
      <c r="AP82" t="inlineStr"/>
      <c r="AQ82" t="inlineStr">
        <is>
          <t>IA_CONTACT_A_COMPLETER</t>
        </is>
      </c>
      <c r="AR82" t="inlineStr">
        <is>
          <t>Completer les champs manquants depuis l'avis source, le site acheteur ou le DCE.</t>
        </is>
      </c>
      <c r="AS82" t="inlineStr">
        <is>
          <t>adresse, ville</t>
        </is>
      </c>
      <c r="AT8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82" t="inlineStr">
        <is>
          <t>Verifier url_avis et DCE si disponible</t>
        </is>
      </c>
      <c r="AV82" t="inlineStr"/>
      <c r="AW82" t="inlineStr"/>
      <c r="AX82" t="inlineStr"/>
      <c r="AY82" t="inlineStr"/>
      <c r="AZ82" t="inlineStr"/>
      <c r="BA82" t="inlineStr"/>
      <c r="BB82" t="inlineStr">
        <is>
          <t>0 pertinence metier faible | -10 budget annualise &lt;= 500 000 EUR | 0 date limite absente</t>
        </is>
      </c>
      <c r="BC82" t="inlineStr">
        <is>
          <t>SDIS 77 de Seine-et-Marne publie un AO potentiellement pertinent pour CHRUTH : GARDIENNAGE ET SURVEILLANCE DU CENTRE DE FORMATION DE GURCY-LE-CHATEL. Zone : 77,91. Budget detecte environ 250 000 EUR. Verifier le lien source avant contact.</t>
        </is>
      </c>
      <c r="BD82"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82"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82" t="inlineStr"/>
      <c r="BG82" t="inlineStr"/>
      <c r="BH82" t="inlineStr"/>
      <c r="BI82" t="inlineStr"/>
      <c r="BJ82" t="inlineStr"/>
      <c r="BK82" t="inlineStr"/>
      <c r="BL82" t="inlineStr"/>
      <c r="BM82" t="inlineStr">
        <is>
          <t>2026-W29</t>
        </is>
      </c>
    </row>
    <row r="83">
      <c r="A83" t="inlineStr">
        <is>
          <t>BOAMP</t>
        </is>
      </c>
      <c r="B83" t="inlineStr">
        <is>
          <t>26-70374</t>
        </is>
      </c>
      <c r="C83" t="inlineStr">
        <is>
          <t>Mise en propreté des abords du site principal du Centre National d’Art et de Culture Georges Pompidou et des bâtiments annexes (CNAC-GP) (2 lots) - Vague 2 : lot 2 (26-CP04-044-AC)</t>
        </is>
      </c>
      <c r="D83" t="inlineStr">
        <is>
          <t>CENTRE POMPIDOU</t>
        </is>
      </c>
      <c r="E83" t="inlineStr">
        <is>
          <t>18004602100028</t>
        </is>
      </c>
      <c r="F83" t="inlineStr">
        <is>
          <t>180046021</t>
        </is>
      </c>
      <c r="G83" t="inlineStr"/>
      <c r="H83" t="inlineStr"/>
      <c r="I83" t="inlineStr">
        <is>
          <t>achat@centrepompidou.fr</t>
        </is>
      </c>
      <c r="J83" t="inlineStr">
        <is>
          <t>0460210002</t>
        </is>
      </c>
      <c r="K83" t="inlineStr"/>
      <c r="L83" t="inlineStr"/>
      <c r="M83" t="inlineStr"/>
      <c r="N83" t="inlineStr">
        <is>
          <t>75</t>
        </is>
      </c>
      <c r="O83" t="inlineStr"/>
      <c r="P83" t="inlineStr">
        <is>
          <t>Ile-de-France</t>
        </is>
      </c>
      <c r="Q83" s="15" t="n">
        <v>46220</v>
      </c>
      <c r="R83" s="15" t="n">
        <v>46223</v>
      </c>
      <c r="S83" s="14" t="n">
        <v>600000</v>
      </c>
      <c r="T83" t="inlineStr">
        <is>
          <t>BUDGET_EXPLICITE_OK</t>
        </is>
      </c>
      <c r="U83" t="inlineStr">
        <is>
          <t>600000.0</t>
        </is>
      </c>
      <c r="V83" t="inlineStr">
        <is>
          <t>non</t>
        </is>
      </c>
      <c r="W83" t="inlineStr">
        <is>
          <t>Batiments</t>
        </is>
      </c>
      <c r="X83" t="inlineStr">
        <is>
          <t>Autre</t>
        </is>
      </c>
      <c r="Y83" t="inlineStr">
        <is>
          <t>SERVICES</t>
        </is>
      </c>
      <c r="Z83" t="inlineStr">
        <is>
          <t>Procédure Ouverte</t>
        </is>
      </c>
      <c r="AA83" t="inlineStr">
        <is>
          <t>Avis de marché</t>
        </is>
      </c>
      <c r="AB83" t="inlineStr">
        <is>
          <t>Nettoyage de locaux</t>
        </is>
      </c>
      <c r="AC83" t="inlineStr">
        <is>
          <t>['environnementaux']</t>
        </is>
      </c>
      <c r="AD83" s="11" t="inlineStr">
        <is>
          <t>https://www.boamp.fr/pages/avis/?q=idweb:26-70374</t>
        </is>
      </c>
      <c r="AE83" t="inlineStr">
        <is>
          <t>https://www.marches-publics.gouv.fr/</t>
        </is>
      </c>
      <c r="AF83" t="inlineStr">
        <is>
          <t>https://www.marches-publics.gouv.fr/</t>
        </is>
      </c>
      <c r="AG83" t="inlineStr">
        <is>
          <t>nettoyage, proprete</t>
        </is>
      </c>
      <c r="AH83" t="inlineStr">
        <is>
          <t>3</t>
        </is>
      </c>
      <c r="AI83" t="inlineStr">
        <is>
          <t>76</t>
        </is>
      </c>
      <c r="AJ83" t="inlineStr">
        <is>
          <t>INFO_PARTIELLE</t>
        </is>
      </c>
      <c r="AK83" t="inlineStr">
        <is>
          <t>0</t>
        </is>
      </c>
      <c r="AL83" s="16" t="inlineStr">
        <is>
          <t>FROID</t>
        </is>
      </c>
      <c r="AM83" t="inlineStr"/>
      <c r="AN83" t="inlineStr"/>
      <c r="AO83" t="inlineStr"/>
      <c r="AP83" t="inlineStr"/>
      <c r="AQ83" t="inlineStr">
        <is>
          <t>IA_CONTACT_A_COMPLETER</t>
        </is>
      </c>
      <c r="AR83" t="inlineStr">
        <is>
          <t>Completer les champs manquants depuis l'avis source, le site acheteur ou le DCE.</t>
        </is>
      </c>
      <c r="AS83" t="inlineStr">
        <is>
          <t>adresse, ville</t>
        </is>
      </c>
      <c r="AT8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83" t="inlineStr">
        <is>
          <t>Verifier url_avis et DCE si disponible</t>
        </is>
      </c>
      <c r="AV83" t="inlineStr"/>
      <c r="AW83" t="inlineStr"/>
      <c r="AX83" t="inlineStr"/>
      <c r="AY83" t="inlineStr"/>
      <c r="AZ83" t="inlineStr"/>
      <c r="BA83" t="inlineStr"/>
      <c r="BB83" t="inlineStr">
        <is>
          <t>+35 nettoyage + categorie claire | -20 gros budget (&gt; 500 000 EUR) | +15 procedure adaptee / MAPA / allotissement | -30 AO expire</t>
        </is>
      </c>
      <c r="BC8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8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8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83" t="inlineStr"/>
      <c r="BG83" t="inlineStr"/>
      <c r="BH83" t="inlineStr"/>
      <c r="BI83" t="inlineStr"/>
      <c r="BJ83" t="inlineStr"/>
      <c r="BK83" t="inlineStr"/>
      <c r="BL83" t="inlineStr"/>
      <c r="BM83"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 xmlns:r="http://schemas.openxmlformats.org/officeDocument/2006/relationships" ref="AD63" r:id="rId62"/>
    <hyperlink xmlns:r="http://schemas.openxmlformats.org/officeDocument/2006/relationships" ref="AD64" r:id="rId63"/>
    <hyperlink xmlns:r="http://schemas.openxmlformats.org/officeDocument/2006/relationships" ref="AD65" r:id="rId64"/>
    <hyperlink xmlns:r="http://schemas.openxmlformats.org/officeDocument/2006/relationships" ref="AD66" r:id="rId65"/>
    <hyperlink xmlns:r="http://schemas.openxmlformats.org/officeDocument/2006/relationships" ref="AD67" r:id="rId66"/>
    <hyperlink xmlns:r="http://schemas.openxmlformats.org/officeDocument/2006/relationships" ref="AD68" r:id="rId67"/>
    <hyperlink xmlns:r="http://schemas.openxmlformats.org/officeDocument/2006/relationships" ref="AD69" r:id="rId68"/>
    <hyperlink xmlns:r="http://schemas.openxmlformats.org/officeDocument/2006/relationships" ref="AD70" r:id="rId69"/>
    <hyperlink xmlns:r="http://schemas.openxmlformats.org/officeDocument/2006/relationships" ref="AD71" r:id="rId70"/>
    <hyperlink xmlns:r="http://schemas.openxmlformats.org/officeDocument/2006/relationships" ref="AD72" r:id="rId71"/>
    <hyperlink xmlns:r="http://schemas.openxmlformats.org/officeDocument/2006/relationships" ref="AD73" r:id="rId72"/>
    <hyperlink xmlns:r="http://schemas.openxmlformats.org/officeDocument/2006/relationships" ref="AD74" r:id="rId73"/>
    <hyperlink xmlns:r="http://schemas.openxmlformats.org/officeDocument/2006/relationships" ref="AD75" r:id="rId74"/>
    <hyperlink xmlns:r="http://schemas.openxmlformats.org/officeDocument/2006/relationships" ref="AD76" r:id="rId75"/>
    <hyperlink xmlns:r="http://schemas.openxmlformats.org/officeDocument/2006/relationships" ref="AD77" r:id="rId76"/>
    <hyperlink xmlns:r="http://schemas.openxmlformats.org/officeDocument/2006/relationships" ref="AD78" r:id="rId77"/>
    <hyperlink xmlns:r="http://schemas.openxmlformats.org/officeDocument/2006/relationships" ref="AD79" r:id="rId78"/>
    <hyperlink xmlns:r="http://schemas.openxmlformats.org/officeDocument/2006/relationships" ref="AD80" r:id="rId79"/>
    <hyperlink xmlns:r="http://schemas.openxmlformats.org/officeDocument/2006/relationships" ref="AD81" r:id="rId80"/>
    <hyperlink xmlns:r="http://schemas.openxmlformats.org/officeDocument/2006/relationships" ref="AD82" r:id="rId81"/>
    <hyperlink xmlns:r="http://schemas.openxmlformats.org/officeDocument/2006/relationships" ref="AD83" r:id="rId82"/>
  </hyperlinks>
  <pageMargins left="0.75" right="0.75" top="1" bottom="1" header="0.5" footer="0.5"/>
  <tableParts count="1">
    <tablePart xmlns:r="http://schemas.openxmlformats.org/officeDocument/2006/relationships" r:id="rId83"/>
  </tableParts>
</worksheet>
</file>

<file path=xl/worksheets/sheet7.xml><?xml version="1.0" encoding="utf-8"?>
<worksheet xmlns="http://schemas.openxmlformats.org/spreadsheetml/2006/main">
  <sheetPr>
    <outlinePr summaryBelow="1" summaryRight="1"/>
    <pageSetUpPr/>
  </sheetPr>
  <dimension ref="A1:BM2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1" customWidth="1" min="9" max="9"/>
    <col width="15" customWidth="1" min="10" max="10"/>
    <col width="55" customWidth="1" min="11" max="11"/>
    <col width="13" customWidth="1" min="12" max="12"/>
    <col width="24" customWidth="1" min="13" max="13"/>
    <col width="22"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26-82960</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46260</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NC</t>
        </is>
      </c>
      <c r="AA2" t="inlineStr">
        <is>
          <t>Avis de marché</t>
        </is>
      </c>
      <c r="AB2" t="inlineStr">
        <is>
          <t>Formation, Nettoyage de locaux</t>
        </is>
      </c>
      <c r="AC2" t="inlineStr"/>
      <c r="AD2" s="11" t="inlineStr">
        <is>
          <t>https://www.boamp.fr/pages/avis/?q=idweb:26-82960</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89.8</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26-82960. Objet: Accord cadre de missions de formation de lutte contre la discrimination et de lutte contre les violences sexistes et sexuelles à destination du tissu associatif en deux lots séparés.. Acheteur: VILLE de PARIS - DFA - SDA. Lien: https://www.boamp.fr/pages/avis/?q=idweb:26-82960.</t>
        </is>
      </c>
      <c r="AU2" t="inlineStr">
        <is>
          <t>Verifier url_avis et DCE si disponible</t>
        </is>
      </c>
      <c r="AV2" t="inlineStr"/>
      <c r="AW2" t="inlineStr"/>
      <c r="AX2" t="inlineStr"/>
      <c r="AY2" t="inlineStr"/>
      <c r="AZ2" t="inlineStr"/>
      <c r="BA2" t="inlineStr"/>
      <c r="BB2" t="inlineStr">
        <is>
          <t>+33.5 nettoyage + categorie claire (1 termes) | +23.5 budget annualise 40 000 EUR | +15 procedure adaptee / MAPA / allotissement | +10 secteur cible Mairie | +6.2 delai 15 j | +1.5 dossier renseigne (3/4)</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2026-W35</t>
        </is>
      </c>
    </row>
    <row r="3">
      <c r="A3" t="inlineStr">
        <is>
          <t>BOAMP</t>
        </is>
      </c>
      <c r="B3" t="inlineStr">
        <is>
          <t>26-83419</t>
        </is>
      </c>
      <c r="C3" t="inlineStr">
        <is>
          <t>Prestations d'entretien ménager</t>
        </is>
      </c>
      <c r="D3" t="inlineStr">
        <is>
          <t>VILLE DE LOUVRES</t>
        </is>
      </c>
      <c r="E3" t="inlineStr">
        <is>
          <t>21950351300018</t>
        </is>
      </c>
      <c r="F3" t="inlineStr">
        <is>
          <t>219503513</t>
        </is>
      </c>
      <c r="G3" t="inlineStr"/>
      <c r="H3" t="inlineStr"/>
      <c r="I3" t="inlineStr">
        <is>
          <t>ireydant@ville-louvres.fr</t>
        </is>
      </c>
      <c r="J3" t="inlineStr">
        <is>
          <t>0351300018</t>
        </is>
      </c>
      <c r="K3" t="inlineStr"/>
      <c r="L3" t="inlineStr"/>
      <c r="M3" t="inlineStr"/>
      <c r="N3" t="inlineStr">
        <is>
          <t>95</t>
        </is>
      </c>
      <c r="O3" t="inlineStr"/>
      <c r="P3" t="inlineStr">
        <is>
          <t>Ile-de-France</t>
        </is>
      </c>
      <c r="Q3" s="15" t="n">
        <v>46261</v>
      </c>
      <c r="R3" s="15" t="n">
        <v>46300</v>
      </c>
      <c r="S3" s="14" t="n">
        <v>10000</v>
      </c>
      <c r="T3" t="inlineStr">
        <is>
          <t>BUDGET_SOUS_SEUIL</t>
        </is>
      </c>
      <c r="U3" t="inlineStr">
        <is>
          <t>10000.0</t>
        </is>
      </c>
      <c r="V3" t="inlineStr">
        <is>
          <t>non</t>
        </is>
      </c>
      <c r="W3" t="inlineStr">
        <is>
          <t>Vitres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https://www.boamp.fr/pages/avis/?q=idweb:26-83419</t>
        </is>
      </c>
      <c r="AE3" t="inlineStr">
        <is>
          <t>https://mairie-de-louvres.e-marchespublics.com</t>
        </is>
      </c>
      <c r="AF3" t="inlineStr">
        <is>
          <t>https://mairie-de-louvres.e-marchespublics.com</t>
        </is>
      </c>
      <c r="AG3" t="inlineStr">
        <is>
          <t>nettoyage, nettoyage de vitres, entretien menager</t>
        </is>
      </c>
      <c r="AH3" t="inlineStr">
        <is>
          <t>3</t>
        </is>
      </c>
      <c r="AI3" t="inlineStr">
        <is>
          <t>80</t>
        </is>
      </c>
      <c r="AJ3" t="inlineStr">
        <is>
          <t>INFO_PARTIELLE</t>
        </is>
      </c>
      <c r="AK3" t="inlineStr">
        <is>
          <t>80.5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26-83419. Objet: Prestations d'entretien ménager. Acheteur: VILLE DE LOUVRES. Lien: https://www.boamp.fr/pages/avis/?q=idweb:26-83419.</t>
        </is>
      </c>
      <c r="AU3" t="inlineStr">
        <is>
          <t>Verifier url_avis et DCE si disponible</t>
        </is>
      </c>
      <c r="AV3" t="inlineStr"/>
      <c r="AW3" t="inlineStr"/>
      <c r="AX3" t="inlineStr"/>
      <c r="AY3" t="inlineStr"/>
      <c r="AZ3" t="inlineStr"/>
      <c r="BA3" t="inlineStr"/>
      <c r="BB3" t="inlineStr">
        <is>
          <t>+34.0 nettoyage + categorie claire (2 termes) | +25.0 budget annualise 10 000 EUR | +10 secteur cible Mairie | +10.0 delai 35 j | +1.5 dossier renseigne (3/4)</t>
        </is>
      </c>
      <c r="BC3" t="inlineStr">
        <is>
          <t>VILLE DE LOUVRES publie un AO potentiellement pertinent pour CHRUTH : Prestations d'entretien ménager. Zone : 95. Budget detecte environ 10 000 EUR. Verifier le lien source avant contact.</t>
        </is>
      </c>
      <c r="BD3" t="inlineStr">
        <is>
          <t>Bonjour,
Je me permets de vous contacter au sujet de votre appel d'offres : Prestations d'entretien ménager.
CHRUTH accompagne les structures publiques et privées sur les besoins de nettoyage, d'entretien des locaux et d'organisation de prestations de service.
Serait-il possible d'échanger rapidement afin de vérifier les modalités de réponse et les attentes de VILLE DE LOUVRES ?
Cordialement,</t>
        </is>
      </c>
      <c r="BE3" t="inlineStr">
        <is>
          <t>Bonjour, je vous appelle concernant un appel d'offres publié par VILLE DE LOUVRES.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26-73275</t>
        </is>
      </c>
      <c r="C4" t="inlineStr">
        <is>
          <t>ENTRETIEN, REMISE EN ETAT ET AMENAGEMENT D'ESPACES VERTS POUR LA VILLE DE GENNEVILLIERS
LOT N°1 : Entretien des secteurs d'habitation Nord et du cimetière, remise en état et aménagement d'e</t>
        </is>
      </c>
      <c r="D4" t="inlineStr">
        <is>
          <t>Ville de Gennevilliers</t>
        </is>
      </c>
      <c r="E4" t="inlineStr"/>
      <c r="F4" t="inlineStr"/>
      <c r="G4" t="inlineStr"/>
      <c r="H4" t="inlineStr"/>
      <c r="I4" t="inlineStr">
        <is>
          <t>publications-joue@aws-france.com</t>
        </is>
      </c>
      <c r="J4" t="inlineStr">
        <is>
          <t>+33480041260</t>
        </is>
      </c>
      <c r="K4" t="inlineStr"/>
      <c r="L4" t="inlineStr"/>
      <c r="M4" t="inlineStr"/>
      <c r="N4" t="inlineStr">
        <is>
          <t>92</t>
        </is>
      </c>
      <c r="O4" t="inlineStr"/>
      <c r="P4" t="inlineStr">
        <is>
          <t>Ile-de-France</t>
        </is>
      </c>
      <c r="Q4" s="15" t="n">
        <v>46227</v>
      </c>
      <c r="R4" s="15" t="n">
        <v>46261</v>
      </c>
      <c r="S4" t="inlineStr"/>
      <c r="T4" t="inlineStr">
        <is>
          <t>A_VERIFIER_BUDGET</t>
        </is>
      </c>
      <c r="U4" t="inlineStr"/>
      <c r="V4" t="inlineStr">
        <is>
          <t>non</t>
        </is>
      </c>
      <c r="W4" t="inlineStr">
        <is>
          <t>Personnel</t>
        </is>
      </c>
      <c r="X4" t="inlineStr">
        <is>
          <t>Mairie</t>
        </is>
      </c>
      <c r="Y4" t="inlineStr">
        <is>
          <t>SERVICES</t>
        </is>
      </c>
      <c r="Z4" t="inlineStr">
        <is>
          <t>Procédure Ouverte</t>
        </is>
      </c>
      <c r="AA4" t="inlineStr">
        <is>
          <t>Avis de marché</t>
        </is>
      </c>
      <c r="AB4" t="inlineStr">
        <is>
          <t>Espaces verts, Prestations de services</t>
        </is>
      </c>
      <c r="AC4" t="inlineStr">
        <is>
          <t>['environnementaux']</t>
        </is>
      </c>
      <c r="AD4" s="11" t="inlineStr">
        <is>
          <t>https://www.boamp.fr/pages/avis/?q=idweb:26-73275</t>
        </is>
      </c>
      <c r="AE4" t="inlineStr">
        <is>
          <t>https://www.marches-publics.info/mpiaws/index.cfm?fuseaction=dematEnt.login&amp;amp;type=DCE&amp;amp;IDM=1848323</t>
        </is>
      </c>
      <c r="AF4" t="inlineStr">
        <is>
          <t>https://www.marches-publics.info/mpiaws/index.cfm?fuseaction=dematEnt.login&amp;amp;type=DCE&amp;amp;IDM=1848323</t>
        </is>
      </c>
      <c r="AG4" t="inlineStr">
        <is>
          <t>nettoyage</t>
        </is>
      </c>
      <c r="AH4" t="inlineStr">
        <is>
          <t>2</t>
        </is>
      </c>
      <c r="AI4" t="inlineStr">
        <is>
          <t>58</t>
        </is>
      </c>
      <c r="AJ4" t="inlineStr">
        <is>
          <t>INFO_PARTIELLE</t>
        </is>
      </c>
      <c r="AK4" t="inlineStr">
        <is>
          <t>80</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SIRET, 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4" t="inlineStr">
        <is>
          <t>Verifier url_avis et DCE si disponible</t>
        </is>
      </c>
      <c r="AV4" t="inlineStr">
        <is>
          <t>LIEN_SEUL</t>
        </is>
      </c>
      <c r="AW4" t="inlineStr"/>
      <c r="AX4" t="inlineStr"/>
      <c r="AY4" t="inlineStr"/>
      <c r="AZ4" t="inlineStr"/>
      <c r="BA4" t="inlineStr"/>
      <c r="BB4" t="inlineStr">
        <is>
          <t>+35 nettoyage + categorie claire | +10 budget non affiche (a verifier) | +15 procedure adaptee / MAPA / allotissement | +10 secteur cible Mairie | +10 delai confortable 30j</t>
        </is>
      </c>
      <c r="BC4"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4"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4"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26-82168</t>
        </is>
      </c>
      <c r="C5" t="inlineStr">
        <is>
          <t>Capture et ramassage d’animaux errants, et/ou dangereux, et/ou blessés, et/ou morts et leur mise en fourrière</t>
        </is>
      </c>
      <c r="D5" t="inlineStr">
        <is>
          <t>COMMUNE DE SAINT-DENIS</t>
        </is>
      </c>
      <c r="E5" t="inlineStr">
        <is>
          <t>92993941100013</t>
        </is>
      </c>
      <c r="F5" t="inlineStr">
        <is>
          <t>929939411</t>
        </is>
      </c>
      <c r="G5" t="inlineStr"/>
      <c r="H5" t="inlineStr"/>
      <c r="I5" t="inlineStr">
        <is>
          <t>mp_achats@saint-denis.fr</t>
        </is>
      </c>
      <c r="J5" t="inlineStr">
        <is>
          <t>0149336605</t>
        </is>
      </c>
      <c r="K5" t="inlineStr"/>
      <c r="L5" t="inlineStr"/>
      <c r="M5" t="inlineStr"/>
      <c r="N5" t="inlineStr">
        <is>
          <t>93,75,94,95</t>
        </is>
      </c>
      <c r="O5" t="inlineStr"/>
      <c r="P5" t="inlineStr">
        <is>
          <t>Ile-de-France</t>
        </is>
      </c>
      <c r="Q5" s="15" t="n">
        <v>46256</v>
      </c>
      <c r="R5" s="15" t="n">
        <v>46290</v>
      </c>
      <c r="S5" s="14" t="n">
        <v>90000</v>
      </c>
      <c r="T5" t="inlineStr">
        <is>
          <t>BUDGET_SOUS_SEUIL</t>
        </is>
      </c>
      <c r="U5" t="inlineStr">
        <is>
          <t>22500</t>
        </is>
      </c>
      <c r="V5" t="inlineStr">
        <is>
          <t>oui</t>
        </is>
      </c>
      <c r="W5" t="inlineStr">
        <is>
          <t>Batiments</t>
        </is>
      </c>
      <c r="X5" t="inlineStr">
        <is>
          <t>Mairie</t>
        </is>
      </c>
      <c r="Y5" t="inlineStr">
        <is>
          <t>SERVICES</t>
        </is>
      </c>
      <c r="Z5" t="inlineStr">
        <is>
          <t>Procédure Ouverte</t>
        </is>
      </c>
      <c r="AA5" t="inlineStr">
        <is>
          <t>Avis de marché</t>
        </is>
      </c>
      <c r="AB5" t="inlineStr">
        <is>
          <t>Prestations de services</t>
        </is>
      </c>
      <c r="AC5" t="inlineStr">
        <is>
          <t>['environnementaux']</t>
        </is>
      </c>
      <c r="AD5" s="11" t="inlineStr">
        <is>
          <t>https://www.boamp.fr/pages/avis/?q=idweb:26-82168</t>
        </is>
      </c>
      <c r="AE5" t="inlineStr">
        <is>
          <t>https://marches.maximilien.fr</t>
        </is>
      </c>
      <c r="AF5" t="inlineStr">
        <is>
          <t>https://marches.maximilien.fr</t>
        </is>
      </c>
      <c r="AG5" t="inlineStr">
        <is>
          <t>nettoyage</t>
        </is>
      </c>
      <c r="AH5" t="inlineStr">
        <is>
          <t>3</t>
        </is>
      </c>
      <c r="AI5" t="inlineStr">
        <is>
          <t>68</t>
        </is>
      </c>
      <c r="AJ5" t="inlineStr">
        <is>
          <t>INFO_PARTIELLE</t>
        </is>
      </c>
      <c r="AK5" t="inlineStr">
        <is>
          <t>78.8</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26-82168. Objet: Capture et ramassage d’animaux errants, et/ou dangereux, et/ou blessés, et/ou morts et leur mise en fourrière. Acheteur: COMMUNE DE SAINT-DENIS. Lien: https://www.boamp.fr/pages/avis/?q=idweb:26-82168.</t>
        </is>
      </c>
      <c r="AU5" t="inlineStr">
        <is>
          <t>Verifier url_avis et DCE si disponible</t>
        </is>
      </c>
      <c r="AV5" t="inlineStr"/>
      <c r="AW5" t="inlineStr"/>
      <c r="AX5" t="inlineStr"/>
      <c r="AY5" t="inlineStr"/>
      <c r="AZ5" t="inlineStr"/>
      <c r="BA5" t="inlineStr"/>
      <c r="BB5" t="inlineStr">
        <is>
          <t>+33.5 nettoyage + categorie claire (1 termes) | +25.0 budget annualise 22 500 EUR | +10 secteur cible Mairie | +8.8 delai 25 j | +1.5 dossier renseigne (3/4)</t>
        </is>
      </c>
      <c r="BC5" t="inlineStr">
        <is>
          <t>COMMUNE DE SAINT-DENIS publie un AO potentiellement pertinent pour CHRUTH : Capture et ramassage d’animaux errants, et/ou dangereux, et/ou blessés, et/ou morts et leur mise en fourrière. Zone : 93,75,94,95. Budget detecte environ 90 000 EUR. Verifier le lien source avant contact.</t>
        </is>
      </c>
      <c r="BD5" t="inlineStr">
        <is>
          <t>Bonjour,
Je me permets de vous contacter au sujet de votre appel d'offres : Capture et ramassage d’animaux errants, et/ou dangereux, et/ou blessés, et/ou morts et leur mise en fourrière.
CHRUTH accompagne les structures publiques et privées sur les besoins de nettoyage, d'entretien des locaux et d'organisation de prestations de service.
Serait-il possible d'échanger rapidement afin de vérifier les modalités de réponse et les attentes de COMMUNE DE SAINT-DENIS ?
Cordialement,</t>
        </is>
      </c>
      <c r="BE5" t="inlineStr">
        <is>
          <t>Bonjour, je vous appelle concernant un appel d'offres publié par COMMUNE DE SAINT-DENIS.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2026-W34</t>
        </is>
      </c>
    </row>
    <row r="6">
      <c r="A6" t="inlineStr">
        <is>
          <t>BOAMP</t>
        </is>
      </c>
      <c r="B6" t="inlineStr">
        <is>
          <t>26-82885</t>
        </is>
      </c>
      <c r="C6" t="inlineStr">
        <is>
          <t>Balayage des voies, trottoirs et caniveaux</t>
        </is>
      </c>
      <c r="D6" t="inlineStr">
        <is>
          <t>Mairie de Maule</t>
        </is>
      </c>
      <c r="E6" t="inlineStr"/>
      <c r="F6" t="inlineStr"/>
      <c r="G6" t="inlineStr">
        <is>
          <t>SERENA</t>
        </is>
      </c>
      <c r="H6" t="inlineStr"/>
      <c r="I6" t="inlineStr">
        <is>
          <t>dserena@maule.fr</t>
        </is>
      </c>
      <c r="J6" t="inlineStr">
        <is>
          <t>0130904900</t>
        </is>
      </c>
      <c r="K6" t="inlineStr"/>
      <c r="L6" t="inlineStr">
        <is>
          <t>78580</t>
        </is>
      </c>
      <c r="M6" t="inlineStr">
        <is>
          <t>Maule</t>
        </is>
      </c>
      <c r="N6" t="inlineStr">
        <is>
          <t>78</t>
        </is>
      </c>
      <c r="O6" t="inlineStr"/>
      <c r="P6" t="inlineStr">
        <is>
          <t>Ile-de-France</t>
        </is>
      </c>
      <c r="Q6" s="15" t="n">
        <v>46259</v>
      </c>
      <c r="R6" s="15" t="n">
        <v>46295</v>
      </c>
      <c r="S6" t="inlineStr"/>
      <c r="T6" t="inlineStr">
        <is>
          <t>A_VERIFIER_BUDGET</t>
        </is>
      </c>
      <c r="U6" t="inlineStr"/>
      <c r="V6" t="inlineStr">
        <is>
          <t>non</t>
        </is>
      </c>
      <c r="W6" t="inlineStr">
        <is>
          <t>Mixte/Autre</t>
        </is>
      </c>
      <c r="X6" t="inlineStr">
        <is>
          <t>Mairie</t>
        </is>
      </c>
      <c r="Y6" t="inlineStr">
        <is>
          <t>SERVICES</t>
        </is>
      </c>
      <c r="Z6" t="inlineStr">
        <is>
          <t>Procédure Adaptée</t>
        </is>
      </c>
      <c r="AA6" t="inlineStr">
        <is>
          <t>Avis de marché</t>
        </is>
      </c>
      <c r="AB6" t="inlineStr">
        <is>
          <t>Nettoyage urbain</t>
        </is>
      </c>
      <c r="AC6" t="inlineStr"/>
      <c r="AD6" s="11" t="inlineStr">
        <is>
          <t>https://www.boamp.fr/pages/avis/?q=idweb:26-82885</t>
        </is>
      </c>
      <c r="AE6" t="inlineStr">
        <is>
          <t>https://www.achatpublic.com/sdm/ent2/gen/index.jsp</t>
        </is>
      </c>
      <c r="AF6" t="inlineStr">
        <is>
          <t>https://www.achatpublic.com/sdm/ent2/gen/index.jsp</t>
        </is>
      </c>
      <c r="AG6" t="inlineStr">
        <is>
          <t>nettoyage</t>
        </is>
      </c>
      <c r="AH6" t="inlineStr">
        <is>
          <t>4</t>
        </is>
      </c>
      <c r="AI6" t="inlineStr">
        <is>
          <t>78</t>
        </is>
      </c>
      <c r="AJ6" t="inlineStr">
        <is>
          <t>INFO_PARTIELLE</t>
        </is>
      </c>
      <c r="AK6" t="inlineStr">
        <is>
          <t>75.5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SIRET, adresse,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6" t="inlineStr">
        <is>
          <t>Verifier url_avis et DCE si disponible</t>
        </is>
      </c>
      <c r="AV6" t="inlineStr">
        <is>
          <t>LIEN_SEUL</t>
        </is>
      </c>
      <c r="AW6" t="inlineStr"/>
      <c r="AX6" t="inlineStr"/>
      <c r="AY6" t="inlineStr"/>
      <c r="AZ6" t="inlineStr"/>
      <c r="BA6" t="inlineStr"/>
      <c r="BB6" t="inlineStr">
        <is>
          <t>+28.5 mots-cles nettoyage forts (1 termes) | +10 budget non affiche (a verifier) | +15 procedure adaptee / MAPA / allotissement | +10 secteur cible Mairie | +10.0 delai 30 j | +2.0 dossier renseigne (4/4)</t>
        </is>
      </c>
      <c r="BC6" t="inlineStr">
        <is>
          <t>Mairie de Maule publie un AO potentiellement pertinent pour CHRUTH : Balayage des voies, trottoirs et caniveaux. Zone : Maule. Budget a verifier. Verifier le lien source avant contact.</t>
        </is>
      </c>
      <c r="BD6"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6"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2026-W35</t>
        </is>
      </c>
    </row>
    <row r="7">
      <c r="A7" t="inlineStr">
        <is>
          <t>BOAMP</t>
        </is>
      </c>
      <c r="B7" t="inlineStr">
        <is>
          <t>26-74949</t>
        </is>
      </c>
      <c r="C7" t="inlineStr">
        <is>
          <t>Prestations D'Entretien Ménager Des Gymnases De La Ville De Roissy-En-Brie</t>
        </is>
      </c>
      <c r="D7" t="inlineStr">
        <is>
          <t>Mairie de Roissy-en-Brie</t>
        </is>
      </c>
      <c r="E7" t="inlineStr">
        <is>
          <t>21770390900010</t>
        </is>
      </c>
      <c r="F7" t="inlineStr">
        <is>
          <t>217703909</t>
        </is>
      </c>
      <c r="G7" t="inlineStr">
        <is>
          <t>Service Commande Publique</t>
        </is>
      </c>
      <c r="H7" t="inlineStr"/>
      <c r="I7" t="inlineStr"/>
      <c r="J7" t="inlineStr">
        <is>
          <t>0390900010</t>
        </is>
      </c>
      <c r="K7" t="inlineStr">
        <is>
          <t>77680 - ROISSY-EN-BRIE</t>
        </is>
      </c>
      <c r="L7" t="inlineStr">
        <is>
          <t>77680</t>
        </is>
      </c>
      <c r="M7" t="inlineStr">
        <is>
          <t>ROISSY EN BRIE</t>
        </is>
      </c>
      <c r="N7" t="inlineStr">
        <is>
          <t>77</t>
        </is>
      </c>
      <c r="O7" t="inlineStr"/>
      <c r="P7" t="inlineStr">
        <is>
          <t>Ile-de-France</t>
        </is>
      </c>
      <c r="Q7" s="15" t="n">
        <v>46230</v>
      </c>
      <c r="R7" s="15" t="n">
        <v>46262</v>
      </c>
      <c r="S7" s="14" t="n">
        <v>77680</v>
      </c>
      <c r="T7" t="inlineStr">
        <is>
          <t>BUDGET_SOUS_SEUIL</t>
        </is>
      </c>
      <c r="U7" t="inlineStr">
        <is>
          <t>77680.0</t>
        </is>
      </c>
      <c r="V7" t="inlineStr">
        <is>
          <t>non</t>
        </is>
      </c>
      <c r="W7" t="inlineStr">
        <is>
          <t>Batiments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https://www.boamp.fr/pages/avis/?q=idweb:26-74949</t>
        </is>
      </c>
      <c r="AE7" t="inlineStr">
        <is>
          <t>https://www.marches-publics.info/mpiaws/index.cfm?fuseaction=dematent.login&amp;type=Dce&amp;Idm=1855543</t>
        </is>
      </c>
      <c r="AF7" t="inlineStr">
        <is>
          <t>https://www.marches-publics.info/mpiaws/index.cfm?fuseaction=dematent.login&amp;type=Dce&amp;Idm=1855543</t>
        </is>
      </c>
      <c r="AG7" t="inlineStr">
        <is>
          <t>nettoyage, entretien menager</t>
        </is>
      </c>
      <c r="AH7" t="inlineStr">
        <is>
          <t>5</t>
        </is>
      </c>
      <c r="AI7" t="inlineStr">
        <is>
          <t>92</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email</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7" t="inlineStr">
        <is>
          <t>Verifier url_avis et DCE si disponible</t>
        </is>
      </c>
      <c r="AV7" t="inlineStr">
        <is>
          <t>LIEN_SEUL</t>
        </is>
      </c>
      <c r="AW7" t="inlineStr"/>
      <c r="AX7" t="inlineStr"/>
      <c r="AY7" t="inlineStr"/>
      <c r="AZ7" t="inlineStr"/>
      <c r="BA7" t="inlineStr"/>
      <c r="BB7" t="inlineStr">
        <is>
          <t>+35 nettoyage + categorie claire | +20 budget annualise &lt;= 100 000 EUR | +10 secteur cible Mairie | +10 delai confortable 31j</t>
        </is>
      </c>
      <c r="BC7" t="inlineStr">
        <is>
          <t>Mairie de Roissy-en-Brie publie un AO potentiellement pertinent pour CHRUTH : Prestations D'Entretien Ménager Des Gymnases De La Ville De Roissy-En-Brie. Zone : ROISSY EN BRIE. Budget detecte environ 77 680 EUR. Verifier le lien source avant contact.</t>
        </is>
      </c>
      <c r="BD7"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7"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2026-W31</t>
        </is>
      </c>
    </row>
    <row r="8">
      <c r="A8" t="inlineStr">
        <is>
          <t>BOAMP</t>
        </is>
      </c>
      <c r="B8" t="inlineStr">
        <is>
          <t>26-74013</t>
        </is>
      </c>
      <c r="C8" t="inlineStr">
        <is>
          <t>Prestations de nettoyage des locaux de l'École nationale supérieure d’architecture de Paris-La Villette</t>
        </is>
      </c>
      <c r="D8" t="inlineStr">
        <is>
          <t>ENSA Paris-La Villette</t>
        </is>
      </c>
      <c r="E8" t="inlineStr">
        <is>
          <t>19751875600014</t>
        </is>
      </c>
      <c r="F8" t="inlineStr">
        <is>
          <t>197518756</t>
        </is>
      </c>
      <c r="G8" t="inlineStr">
        <is>
          <t>ACHOUR</t>
        </is>
      </c>
      <c r="H8" t="inlineStr"/>
      <c r="I8" t="inlineStr">
        <is>
          <t>safae.achour@paris-lavillette.archi.fr</t>
        </is>
      </c>
      <c r="J8" t="inlineStr">
        <is>
          <t>07-23 2026-09</t>
        </is>
      </c>
      <c r="K8" t="inlineStr">
        <is>
          <t>75019</t>
        </is>
      </c>
      <c r="L8" t="inlineStr">
        <is>
          <t>75019</t>
        </is>
      </c>
      <c r="M8" t="inlineStr">
        <is>
          <t>Paris</t>
        </is>
      </c>
      <c r="N8" t="inlineStr">
        <is>
          <t>75,92,93,91,95,77,94</t>
        </is>
      </c>
      <c r="O8" t="inlineStr"/>
      <c r="P8" t="inlineStr">
        <is>
          <t>Ile-de-France</t>
        </is>
      </c>
      <c r="Q8" s="15" t="n">
        <v>46226</v>
      </c>
      <c r="R8" s="15" t="n">
        <v>46293</v>
      </c>
      <c r="S8" s="14" t="n">
        <v>75019</v>
      </c>
      <c r="T8" t="inlineStr">
        <is>
          <t>BUDGET_SOUS_SEUIL</t>
        </is>
      </c>
      <c r="U8" t="inlineStr">
        <is>
          <t>75019.0</t>
        </is>
      </c>
      <c r="V8" t="inlineStr">
        <is>
          <t>non</t>
        </is>
      </c>
      <c r="W8" t="inlineStr">
        <is>
          <t>Batiments</t>
        </is>
      </c>
      <c r="X8" t="inlineStr">
        <is>
          <t>Ecole</t>
        </is>
      </c>
      <c r="Y8" t="inlineStr">
        <is>
          <t>SERVICES</t>
        </is>
      </c>
      <c r="Z8" t="inlineStr">
        <is>
          <t>Procédure Ouverte</t>
        </is>
      </c>
      <c r="AA8" t="inlineStr">
        <is>
          <t>Avis de marché</t>
        </is>
      </c>
      <c r="AB8" t="inlineStr">
        <is>
          <t>Nettoyage de locaux</t>
        </is>
      </c>
      <c r="AC8" t="inlineStr"/>
      <c r="AD8" s="11" t="inlineStr">
        <is>
          <t>https://www.boamp.fr/pages/avis/?q=idweb:26-74013</t>
        </is>
      </c>
      <c r="AE8" t="inlineStr">
        <is>
          <t>https://www.marches-publics.gouv.fr/entreprise/consultation/3044724?orgAcronyme=f5j</t>
        </is>
      </c>
      <c r="AF8" t="inlineStr">
        <is>
          <t>https://www.marches-publics.gouv.fr/entreprise/consultation/3044724?orgAcronyme=f5j</t>
        </is>
      </c>
      <c r="AG8" t="inlineStr">
        <is>
          <t>nettoyage</t>
        </is>
      </c>
      <c r="AH8" t="inlineStr">
        <is>
          <t>6</t>
        </is>
      </c>
      <c r="AI8" t="inlineStr">
        <is>
          <t>98</t>
        </is>
      </c>
      <c r="AJ8" t="inlineStr">
        <is>
          <t>INFO_PARTIELLE</t>
        </is>
      </c>
      <c r="AK8" t="inlineStr">
        <is>
          <t>75</t>
        </is>
      </c>
      <c r="AL8" s="13" t="inlineStr">
        <is>
          <t>CHAUD</t>
        </is>
      </c>
      <c r="AM8" t="inlineStr"/>
      <c r="AN8" t="inlineStr"/>
      <c r="AO8" t="inlineStr"/>
      <c r="AP8" t="inlineStr"/>
      <c r="AQ8" t="inlineStr">
        <is>
          <t>IA_CONTROLE_SOURCE</t>
        </is>
      </c>
      <c r="AR8" t="inlineStr">
        <is>
          <t>Verifier rapidement la source avant contact.</t>
        </is>
      </c>
      <c r="AS8" t="inlineStr">
        <is>
          <t>Aucun champ critique manquant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8" t="inlineStr">
        <is>
          <t>Verifier url_avis et DCE si disponible</t>
        </is>
      </c>
      <c r="AV8" t="inlineStr"/>
      <c r="AW8" t="inlineStr"/>
      <c r="AX8" t="inlineStr"/>
      <c r="AY8" t="inlineStr"/>
      <c r="AZ8" t="inlineStr"/>
      <c r="BA8" t="inlineStr"/>
      <c r="BB8" t="inlineStr">
        <is>
          <t>+35 nettoyage + categorie claire | +20 budget annualise &lt;= 100 000 EUR | +10 secteur cible Ecole | +10 delai confortable 62j</t>
        </is>
      </c>
      <c r="BC8"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8"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8"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26-72283</t>
        </is>
      </c>
      <c r="C9" t="inlineStr">
        <is>
          <t>Prestation d'écrivains publics interprètes à Montreuil</t>
        </is>
      </c>
      <c r="D9" t="inlineStr">
        <is>
          <t>Mairie de Montreuil</t>
        </is>
      </c>
      <c r="E9" t="inlineStr">
        <is>
          <t>21930048000015</t>
        </is>
      </c>
      <c r="F9" t="inlineStr">
        <is>
          <t>219300480</t>
        </is>
      </c>
      <c r="G9" t="inlineStr">
        <is>
          <t>Service des achats et de la commande publique</t>
        </is>
      </c>
      <c r="H9" t="inlineStr"/>
      <c r="I9" t="inlineStr">
        <is>
          <t>sacop@montreuil.fr</t>
        </is>
      </c>
      <c r="J9" t="inlineStr">
        <is>
          <t>+33 331487060</t>
        </is>
      </c>
      <c r="K9" t="inlineStr">
        <is>
          <t>(93) Seine-Saint-Denis</t>
        </is>
      </c>
      <c r="L9" t="inlineStr">
        <is>
          <t>93100</t>
        </is>
      </c>
      <c r="M9" t="inlineStr">
        <is>
          <t>Montreuil</t>
        </is>
      </c>
      <c r="N9" t="inlineStr">
        <is>
          <t>93</t>
        </is>
      </c>
      <c r="O9" t="inlineStr"/>
      <c r="P9" t="inlineStr">
        <is>
          <t>Ile-de-France</t>
        </is>
      </c>
      <c r="Q9" s="15" t="n">
        <v>46223</v>
      </c>
      <c r="R9" s="15" t="n">
        <v>46276</v>
      </c>
      <c r="S9" s="14" t="n">
        <v>93100</v>
      </c>
      <c r="T9" t="inlineStr">
        <is>
          <t>BUDGET_SOUS_SEUIL</t>
        </is>
      </c>
      <c r="U9" t="inlineStr">
        <is>
          <t>93100.0</t>
        </is>
      </c>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https://www.boamp.fr/pages/avis/?q=idweb:26-72283</t>
        </is>
      </c>
      <c r="AE9" t="inlineStr">
        <is>
          <t>https://marches.maximilien.fr/entreprise/consultation/943753?orgAcronyme=d6a</t>
        </is>
      </c>
      <c r="AF9" t="inlineStr">
        <is>
          <t>https://marches.maximilien.fr/entreprise/consultation/943753?orgAcronyme=d6a</t>
        </is>
      </c>
      <c r="AG9" t="inlineStr">
        <is>
          <t>nettoyage</t>
        </is>
      </c>
      <c r="AH9" t="inlineStr">
        <is>
          <t>6</t>
        </is>
      </c>
      <c r="AI9" t="inlineStr">
        <is>
          <t>98</t>
        </is>
      </c>
      <c r="AJ9" t="inlineStr">
        <is>
          <t>INFO_PARTIELLE</t>
        </is>
      </c>
      <c r="AK9" t="inlineStr">
        <is>
          <t>75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9" t="inlineStr">
        <is>
          <t>Verifier url_avis et DCE si disponible</t>
        </is>
      </c>
      <c r="AV9" t="inlineStr"/>
      <c r="AW9" t="inlineStr"/>
      <c r="AX9" t="inlineStr"/>
      <c r="AY9" t="inlineStr"/>
      <c r="AZ9" t="inlineStr"/>
      <c r="BA9" t="inlineStr"/>
      <c r="BB9" t="inlineStr">
        <is>
          <t>+35 nettoyage + categorie claire | +20 budget annualise &lt;= 100 000 EUR | +10 secteur cible Mairie | +10 delai confortable 45j</t>
        </is>
      </c>
      <c r="BC9" t="inlineStr">
        <is>
          <t>Mairie de Montreuil publie un AO potentiellement pertinent pour CHRUTH : Prestation d'écrivains publics interprètes à Montreuil. Zone : Montreuil. Budget detecte environ 93 100 EUR. Verifier le lien source avant contact.</t>
        </is>
      </c>
      <c r="BD9"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9"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2026-W30</t>
        </is>
      </c>
    </row>
    <row r="10">
      <c r="A10" t="inlineStr">
        <is>
          <t>BOAMP</t>
        </is>
      </c>
      <c r="B10" t="inlineStr">
        <is>
          <t>26-80939</t>
        </is>
      </c>
      <c r="C10" t="inlineStr">
        <is>
          <t>Plantation et entretien du patrimoine arboré des propriétés communales</t>
        </is>
      </c>
      <c r="D10" t="inlineStr">
        <is>
          <t>Ville de Longjumeau</t>
        </is>
      </c>
      <c r="E10" t="inlineStr">
        <is>
          <t>21910345400225</t>
        </is>
      </c>
      <c r="F10" t="inlineStr">
        <is>
          <t>219103454</t>
        </is>
      </c>
      <c r="G10" t="inlineStr"/>
      <c r="H10" t="inlineStr"/>
      <c r="I10" t="inlineStr">
        <is>
          <t>achatpublic@longjumeau.fr</t>
        </is>
      </c>
      <c r="J10" t="inlineStr">
        <is>
          <t>0345400225</t>
        </is>
      </c>
      <c r="K10" t="inlineStr"/>
      <c r="L10" t="inlineStr"/>
      <c r="M10" t="inlineStr"/>
      <c r="N10" t="inlineStr">
        <is>
          <t>91</t>
        </is>
      </c>
      <c r="O10" t="inlineStr"/>
      <c r="P10" t="inlineStr">
        <is>
          <t>Ile-de-France</t>
        </is>
      </c>
      <c r="Q10" s="15" t="n">
        <v>46252</v>
      </c>
      <c r="R10" s="15" t="n">
        <v>46289</v>
      </c>
      <c r="S10" s="14" t="n">
        <v>85000</v>
      </c>
      <c r="T10" t="inlineStr">
        <is>
          <t>BUDGET_SOUS_SEUIL</t>
        </is>
      </c>
      <c r="U10" t="inlineStr">
        <is>
          <t>21250</t>
        </is>
      </c>
      <c r="V10" t="inlineStr">
        <is>
          <t>oui</t>
        </is>
      </c>
      <c r="W10" t="inlineStr">
        <is>
          <t>Mixte/Autre</t>
        </is>
      </c>
      <c r="X10" t="inlineStr">
        <is>
          <t>Mairie</t>
        </is>
      </c>
      <c r="Y10" t="inlineStr">
        <is>
          <t>SERVICES</t>
        </is>
      </c>
      <c r="Z10" t="inlineStr">
        <is>
          <t>Procédure Ouverte</t>
        </is>
      </c>
      <c r="AA10" t="inlineStr">
        <is>
          <t>Avis de marché</t>
        </is>
      </c>
      <c r="AB10" t="inlineStr">
        <is>
          <t>Matériel agricole, horticole</t>
        </is>
      </c>
      <c r="AC10" t="inlineStr"/>
      <c r="AD10" s="11" t="inlineStr">
        <is>
          <t>https://www.boamp.fr/pages/avis/?q=idweb:26-80939</t>
        </is>
      </c>
      <c r="AE10" t="inlineStr">
        <is>
          <t>http://longjumeau.e-marchespublics.com</t>
        </is>
      </c>
      <c r="AF10" t="inlineStr">
        <is>
          <t>http://longjumeau.e-marchespublics.com</t>
        </is>
      </c>
      <c r="AG10" t="inlineStr">
        <is>
          <t>nettoyage</t>
        </is>
      </c>
      <c r="AH10" t="inlineStr">
        <is>
          <t>3</t>
        </is>
      </c>
      <c r="AI10" t="inlineStr">
        <is>
          <t>68</t>
        </is>
      </c>
      <c r="AJ10" t="inlineStr">
        <is>
          <t>INFO_PARTIELLE</t>
        </is>
      </c>
      <c r="AK10" t="inlineStr">
        <is>
          <t>73.5</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26-80939. Objet: Plantation et entretien du patrimoine arboré des propriétés communales. Acheteur: Ville de Longjumeau. Lien: https://www.boamp.fr/pages/avis/?q=idweb:26-80939.</t>
        </is>
      </c>
      <c r="AU10" t="inlineStr">
        <is>
          <t>Verifier url_avis et DCE si disponible</t>
        </is>
      </c>
      <c r="AV10" t="inlineStr"/>
      <c r="AW10" t="inlineStr"/>
      <c r="AX10" t="inlineStr"/>
      <c r="AY10" t="inlineStr"/>
      <c r="AZ10" t="inlineStr"/>
      <c r="BA10" t="inlineStr"/>
      <c r="BB10" t="inlineStr">
        <is>
          <t>+28.5 mots-cles nettoyage forts (1 termes) | +25.0 budget annualise 21 250 EUR | +10 secteur cible Mairie | +8.5 delai 24 j | +1.5 dossier renseigne (3/4)</t>
        </is>
      </c>
      <c r="BC10" t="inlineStr">
        <is>
          <t>Ville de Longjumeau publie un AO potentiellement pertinent pour CHRUTH : Plantation et entretien du patrimoine arboré des propriétés communales. Zone : 91. Budget detecte environ 85 000 EUR. Verifier le lien source avant contact.</t>
        </is>
      </c>
      <c r="BD10" t="inlineStr">
        <is>
          <t>Bonjour,
Je me permets de vous contacter au sujet de votre appel d'offres : Plantation et entretien du patrimoine arboré des propriétés communales.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10"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2026-W34</t>
        </is>
      </c>
    </row>
    <row r="11">
      <c r="A11" t="inlineStr">
        <is>
          <t>BOAMP</t>
        </is>
      </c>
      <c r="B11" t="inlineStr">
        <is>
          <t>26-80740</t>
        </is>
      </c>
      <c r="C11" t="inlineStr">
        <is>
          <t>Entretien Ménager - Service Ordures Ménagères -</t>
        </is>
      </c>
      <c r="D11" t="inlineStr">
        <is>
          <t>SAEM de construction Maisons-Laffitte</t>
        </is>
      </c>
      <c r="E11" t="inlineStr"/>
      <c r="F11" t="inlineStr"/>
      <c r="G11" t="inlineStr">
        <is>
          <t>VEGAS M.JUAN CARLOS</t>
        </is>
      </c>
      <c r="H11" t="inlineStr"/>
      <c r="I11" t="inlineStr">
        <is>
          <t>service.saem@maisonslaffitte.fr</t>
        </is>
      </c>
      <c r="J11" t="inlineStr">
        <is>
          <t>0134937166</t>
        </is>
      </c>
      <c r="K11" t="inlineStr"/>
      <c r="L11" t="inlineStr">
        <is>
          <t>78605</t>
        </is>
      </c>
      <c r="M11" t="inlineStr">
        <is>
          <t>Maisons-Laffitte Cedex</t>
        </is>
      </c>
      <c r="N11" t="inlineStr">
        <is>
          <t>78</t>
        </is>
      </c>
      <c r="O11" t="inlineStr"/>
      <c r="P11" t="inlineStr">
        <is>
          <t>Ile-de-France</t>
        </is>
      </c>
      <c r="Q11" s="15" t="n">
        <v>46248</v>
      </c>
      <c r="R11" s="15" t="n">
        <v>46326</v>
      </c>
      <c r="S11" t="inlineStr"/>
      <c r="T11" t="inlineStr">
        <is>
          <t>A_VERIFIER_BUDGET</t>
        </is>
      </c>
      <c r="U11" t="inlineStr"/>
      <c r="V11" t="inlineStr">
        <is>
          <t>non</t>
        </is>
      </c>
      <c r="W11" t="inlineStr">
        <is>
          <t>Vitres</t>
        </is>
      </c>
      <c r="X11" t="inlineStr">
        <is>
          <t>Autre</t>
        </is>
      </c>
      <c r="Y11" t="inlineStr">
        <is>
          <t>SERVICES</t>
        </is>
      </c>
      <c r="Z11" t="inlineStr">
        <is>
          <t>Procédure Adaptée</t>
        </is>
      </c>
      <c r="AA11" t="inlineStr">
        <is>
          <t>Avis de marché</t>
        </is>
      </c>
      <c r="AB11" t="inlineStr">
        <is>
          <t>Nettoyage de locaux</t>
        </is>
      </c>
      <c r="AC11" t="inlineStr"/>
      <c r="AD11" s="11" t="inlineStr">
        <is>
          <t>https://www.boamp.fr/pages/avis/?q=idweb:26-80740</t>
        </is>
      </c>
      <c r="AE11" t="inlineStr">
        <is>
          <t>https://www.e-marchespublics.com/appel-offre/1178203</t>
        </is>
      </c>
      <c r="AF11" t="inlineStr">
        <is>
          <t>https://www.e-marchespublics.com/appel-offre/1178203</t>
        </is>
      </c>
      <c r="AG11" t="inlineStr">
        <is>
          <t>nettoyage, menage, entretien menager</t>
        </is>
      </c>
      <c r="AH11" t="inlineStr">
        <is>
          <t>4</t>
        </is>
      </c>
      <c r="AI11" t="inlineStr">
        <is>
          <t>90</t>
        </is>
      </c>
      <c r="AJ11" t="inlineStr">
        <is>
          <t>INFO_PARTIELLE</t>
        </is>
      </c>
      <c r="AK11" t="inlineStr">
        <is>
          <t>71.0</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SIRET, adresse,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+15 procedure adaptee / MAPA / allotissement | +10.0 delai 61 j | +2.0 dossier renseigne (4/4)</t>
        </is>
      </c>
      <c r="BC11" t="inlineStr">
        <is>
          <t>SAEM de construction Maisons-Laffitte publie un AO potentiellement pertinent pour CHRUTH : Entretien Ménager - Service Ordures Ménagères -. Zone : Maisons-Laffitte Cedex. Budget a verifier. Verifier le lien source avant contact.</t>
        </is>
      </c>
      <c r="BD11"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11"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26-78436</t>
        </is>
      </c>
      <c r="C12" t="inlineStr">
        <is>
          <t>Nettoyage Des Batiments Communaux Et Nettoyage Des Vitres</t>
        </is>
      </c>
      <c r="D12" t="inlineStr">
        <is>
          <t>Mairie De Gouvernes</t>
        </is>
      </c>
      <c r="E12" t="inlineStr">
        <is>
          <t>21770209100018</t>
        </is>
      </c>
      <c r="F12" t="inlineStr">
        <is>
          <t>217702091</t>
        </is>
      </c>
      <c r="G12" t="inlineStr">
        <is>
          <t>Service Commande publique</t>
        </is>
      </c>
      <c r="H12" t="inlineStr"/>
      <c r="I12" t="inlineStr"/>
      <c r="J12" t="inlineStr">
        <is>
          <t>0209100018</t>
        </is>
      </c>
      <c r="K12" t="inlineStr">
        <is>
          <t>FR102 - Seine-et-Marne</t>
        </is>
      </c>
      <c r="L12" t="inlineStr">
        <is>
          <t>77400</t>
        </is>
      </c>
      <c r="M12" t="inlineStr">
        <is>
          <t>GOUVERNES</t>
        </is>
      </c>
      <c r="N12" t="inlineStr">
        <is>
          <t>77</t>
        </is>
      </c>
      <c r="O12" t="inlineStr"/>
      <c r="P12" t="inlineStr">
        <is>
          <t>Ile-de-France</t>
        </is>
      </c>
      <c r="Q12" s="15" t="n">
        <v>46240</v>
      </c>
      <c r="R12" s="15" t="n">
        <v>46279</v>
      </c>
      <c r="S12" s="14" t="n">
        <v>77400</v>
      </c>
      <c r="T12" t="inlineStr">
        <is>
          <t>BUDGET_SOUS_SEUIL</t>
        </is>
      </c>
      <c r="U12" t="inlineStr">
        <is>
          <t>77400.0</t>
        </is>
      </c>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https://www.boamp.fr/pages/avis/?q=idweb:26-78436</t>
        </is>
      </c>
      <c r="AE12" t="inlineStr">
        <is>
          <t>https://www.marches-publics.info/mpiaws/index.cfm?fuseaction=dematent.login&amp;type=Dce&amp;Idm=1859473</t>
        </is>
      </c>
      <c r="AF12" t="inlineStr">
        <is>
          <t>https://www.marches-publics.info/mpiaws/index.cfm?fuseaction=dematent.login&amp;type=Dce&amp;Idm=1859473</t>
        </is>
      </c>
      <c r="AG12" t="inlineStr">
        <is>
          <t>nettoyage</t>
        </is>
      </c>
      <c r="AH12" t="inlineStr">
        <is>
          <t>5</t>
        </is>
      </c>
      <c r="AI12" t="inlineStr">
        <is>
          <t>88</t>
        </is>
      </c>
      <c r="AJ12" t="inlineStr">
        <is>
          <t>INFO_PARTIELLE</t>
        </is>
      </c>
      <c r="AK12" t="inlineStr">
        <is>
          <t>70.5</t>
        </is>
      </c>
      <c r="AL12" s="13" t="inlineStr">
        <is>
          <t>CHAUD</t>
        </is>
      </c>
      <c r="AM12" t="inlineStr"/>
      <c r="AN12" t="inlineStr"/>
      <c r="AO12" t="inlineStr"/>
      <c r="AP12" t="inlineStr"/>
      <c r="AQ12" t="inlineStr">
        <is>
          <t>IA_CONTACT_A_COMPLETER</t>
        </is>
      </c>
      <c r="AR12" t="inlineStr">
        <is>
          <t>Completer les champs manquants depuis l'avis source, le site acheteur ou le DCE.</t>
        </is>
      </c>
      <c r="AS12" t="inlineStr">
        <is>
          <t>email</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26-78436. Objet: Nettoyage Des Batiments Communaux Et Nettoyage Des Vitres. Acheteur: Mairie De Gouvernes. Lien: https://www.boamp.fr/pages/avis/?q=idweb:26-78436.</t>
        </is>
      </c>
      <c r="AU12" t="inlineStr">
        <is>
          <t>Verifier url_avis et DCE si disponible</t>
        </is>
      </c>
      <c r="AV12" t="inlineStr">
        <is>
          <t>LIEN_SEUL</t>
        </is>
      </c>
      <c r="AW12" t="inlineStr"/>
      <c r="AX12" t="inlineStr"/>
      <c r="AY12" t="inlineStr"/>
      <c r="AZ12" t="inlineStr"/>
      <c r="BA12" t="inlineStr"/>
      <c r="BB12" t="inlineStr">
        <is>
          <t>+33.5 nettoyage + categorie claire (1 termes) | +19.5 budget annualise 77 400 EUR | +10 secteur cible Mairie | +6.0 delai 14 j | +1.5 dossier renseigne (3/4)</t>
        </is>
      </c>
      <c r="BC12" t="inlineStr">
        <is>
          <t>Mairie De Gouvernes publie un AO potentiellement pertinent pour CHRUTH : Nettoyage Des Batiments Communaux Et Nettoyage Des Vitres. Zone : GOUVERNES. Budget detecte environ 77 400 EUR. Verifier le lien source avant contact.</t>
        </is>
      </c>
      <c r="BD12" t="inlineStr">
        <is>
          <t>Bonjour,
Je me permets de vous contacter au sujet de votre appel d'offres : Nettoyage Des Batiments Communaux Et Nettoyage Des Vitres.
CHRUTH accompagne les structures publiques et privées sur les besoins de nettoyage, d'entretien des locaux et d'organisation de prestations de service.
Serait-il possible d'échanger rapidement afin de vérifier les modalités de réponse et les attentes de Mairie De Gouvernes ?
Cordialement,</t>
        </is>
      </c>
      <c r="BE12" t="inlineStr">
        <is>
          <t>Bonjour, je vous appelle concernant un appel d'offres publié par Mairie De Gouvernes.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2026-W32</t>
        </is>
      </c>
    </row>
    <row r="13">
      <c r="A13" t="inlineStr">
        <is>
          <t>BOAMP</t>
        </is>
      </c>
      <c r="B13" t="inlineStr">
        <is>
          <t>26-70858</t>
        </is>
      </c>
      <c r="C13" t="inlineStr">
        <is>
          <t>Nettoyage des locaux de l'EPAMSA</t>
        </is>
      </c>
      <c r="D13" t="inlineStr">
        <is>
          <t>EPAMSA</t>
        </is>
      </c>
      <c r="E13" t="inlineStr">
        <is>
          <t>41063810000033</t>
        </is>
      </c>
      <c r="F13" t="inlineStr">
        <is>
          <t>410638100</t>
        </is>
      </c>
      <c r="G13" t="inlineStr">
        <is>
          <t>Courteille</t>
        </is>
      </c>
      <c r="H13" t="inlineStr"/>
      <c r="I13" t="inlineStr">
        <is>
          <t>t.courteille@epamsa.fr</t>
        </is>
      </c>
      <c r="J13" t="inlineStr">
        <is>
          <t>0638100000</t>
        </is>
      </c>
      <c r="K13" t="inlineStr">
        <is>
          <t>Mantes-la-Jolie</t>
        </is>
      </c>
      <c r="L13" t="inlineStr">
        <is>
          <t>78200</t>
        </is>
      </c>
      <c r="M13" t="inlineStr">
        <is>
          <t>MANTES-LA-JOLIE</t>
        </is>
      </c>
      <c r="N13" t="inlineStr">
        <is>
          <t>78</t>
        </is>
      </c>
      <c r="O13" t="inlineStr"/>
      <c r="P13" t="inlineStr">
        <is>
          <t>Ile-de-France</t>
        </is>
      </c>
      <c r="Q13" s="15" t="n">
        <v>46219</v>
      </c>
      <c r="R13" s="15" t="n">
        <v>46269</v>
      </c>
      <c r="S13" s="14" t="n">
        <v>78200</v>
      </c>
      <c r="T13" t="inlineStr">
        <is>
          <t>BUDGET_SOUS_SEUIL</t>
        </is>
      </c>
      <c r="U13" t="inlineStr">
        <is>
          <t>19550</t>
        </is>
      </c>
      <c r="V13" t="inlineStr">
        <is>
          <t>oui</t>
        </is>
      </c>
      <c r="W13" t="inlineStr">
        <is>
          <t>Batiments</t>
        </is>
      </c>
      <c r="X13" t="inlineStr">
        <is>
          <t>Autre</t>
        </is>
      </c>
      <c r="Y13" t="inlineStr">
        <is>
          <t>SERVICES</t>
        </is>
      </c>
      <c r="Z13" t="inlineStr">
        <is>
          <t>Procédure Ouverte</t>
        </is>
      </c>
      <c r="AA13" t="inlineStr">
        <is>
          <t>Avis de marché</t>
        </is>
      </c>
      <c r="AB13" t="inlineStr">
        <is>
          <t>Nettoyage de locaux</t>
        </is>
      </c>
      <c r="AC13" t="inlineStr">
        <is>
          <t>['sociaux', 'environnementaux']</t>
        </is>
      </c>
      <c r="AD13" s="11" t="inlineStr">
        <is>
          <t>https://www.boamp.fr/pages/avis/?q=idweb:26-70858</t>
        </is>
      </c>
      <c r="AE13" t="inlineStr">
        <is>
          <t>https://www.marches-publics.gouv.fr/entreprise/consultation/3039334?orgAcronyme=d4t</t>
        </is>
      </c>
      <c r="AF13" t="inlineStr">
        <is>
          <t>https://www.marches-publics.gouv.fr/entreprise/consultation/3039334?orgAcronyme=d4t</t>
        </is>
      </c>
      <c r="AG13" t="inlineStr">
        <is>
          <t>nettoyage</t>
        </is>
      </c>
      <c r="AH13" t="inlineStr">
        <is>
          <t>6</t>
        </is>
      </c>
      <c r="AI13" t="inlineStr">
        <is>
          <t>98</t>
        </is>
      </c>
      <c r="AJ13" t="inlineStr">
        <is>
          <t>INFO_PARTIELLE</t>
        </is>
      </c>
      <c r="AK13" t="inlineStr">
        <is>
          <t>70</t>
        </is>
      </c>
      <c r="AL13" s="13" t="inlineStr">
        <is>
          <t>CHAUD</t>
        </is>
      </c>
      <c r="AM13" t="inlineStr"/>
      <c r="AN13" t="inlineStr"/>
      <c r="AO13" t="inlineStr"/>
      <c r="AP13" t="inlineStr"/>
      <c r="AQ13" t="inlineStr">
        <is>
          <t>IA_CONTROLE_SOURCE</t>
        </is>
      </c>
      <c r="AR13" t="inlineStr">
        <is>
          <t>Verifier rapidement la source avant contact.</t>
        </is>
      </c>
      <c r="AS13" t="inlineStr">
        <is>
          <t>Aucun champ critique manquant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13" t="inlineStr">
        <is>
          <t>Verifier url_avis et DCE si disponible</t>
        </is>
      </c>
      <c r="AV13" t="inlineStr"/>
      <c r="AW13" t="inlineStr"/>
      <c r="AX13" t="inlineStr"/>
      <c r="AY13" t="inlineStr"/>
      <c r="AZ13" t="inlineStr"/>
      <c r="BA13" t="inlineStr"/>
      <c r="BB13" t="inlineStr">
        <is>
          <t>+35 nettoyage + categorie claire | +25 budget annualise &lt;= 50 000 EUR | +10 delai confortable 38j</t>
        </is>
      </c>
      <c r="BC13" t="inlineStr">
        <is>
          <t>EPAMSA publie un AO potentiellement pertinent pour CHRUTH : Nettoyage des locaux de l'EPAMSA. Zone : MANTES-LA-JOLIE. Budget detecte environ 78 200 EUR. Verifier le lien source avant contact.</t>
        </is>
      </c>
      <c r="BD13"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13"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26-70565</t>
        </is>
      </c>
      <c r="C14" t="inlineStr">
        <is>
          <t>TRAVAUX D'AMÉNAGEMENT INTÉRIEUR DU R+1 ET COMBLE DE LA FERME DURPÉ</t>
        </is>
      </c>
      <c r="D14" t="inlineStr">
        <is>
          <t>COMMUNE DE MAGNY LE HONGRE</t>
        </is>
      </c>
      <c r="E14" t="inlineStr">
        <is>
          <t>21770268700013</t>
        </is>
      </c>
      <c r="F14" t="inlineStr">
        <is>
          <t>217702687</t>
        </is>
      </c>
      <c r="G14" t="inlineStr">
        <is>
          <t>M. SOW LAMARANA</t>
        </is>
      </c>
      <c r="H14" t="inlineStr"/>
      <c r="I14" t="inlineStr">
        <is>
          <t>service-mp@magnylehongre.fr</t>
        </is>
      </c>
      <c r="J14" t="inlineStr">
        <is>
          <t>0268700013</t>
        </is>
      </c>
      <c r="K14" t="inlineStr">
        <is>
          <t>1 rue de l'Église - 77700 MAGNY LE HONGRE</t>
        </is>
      </c>
      <c r="L14" t="inlineStr">
        <is>
          <t>77700</t>
        </is>
      </c>
      <c r="M14" t="inlineStr">
        <is>
          <t>MAGNY LE HONGRE</t>
        </is>
      </c>
      <c r="N14" t="inlineStr">
        <is>
          <t>77,75,78,91</t>
        </is>
      </c>
      <c r="O14" t="inlineStr"/>
      <c r="P14" t="inlineStr">
        <is>
          <t>Ile-de-France</t>
        </is>
      </c>
      <c r="Q14" s="15" t="n">
        <v>46218</v>
      </c>
      <c r="R14" s="15" t="n">
        <v>46275</v>
      </c>
      <c r="S14" s="14" t="n">
        <v>77700</v>
      </c>
      <c r="T14" t="inlineStr">
        <is>
          <t>BUDGET_SOUS_SEUIL</t>
        </is>
      </c>
      <c r="U14" t="inlineStr">
        <is>
          <t>77700.0</t>
        </is>
      </c>
      <c r="V14" t="inlineStr">
        <is>
          <t>non</t>
        </is>
      </c>
      <c r="W14" t="inlineStr">
        <is>
          <t>Mixte/Autre</t>
        </is>
      </c>
      <c r="X14" t="inlineStr">
        <is>
          <t>Mairie</t>
        </is>
      </c>
      <c r="Y14" t="inlineStr">
        <is>
          <t>TRAVAUX</t>
        </is>
      </c>
      <c r="Z14" t="inlineStr">
        <is>
          <t>Procédure Ouverte</t>
        </is>
      </c>
      <c r="AA14" t="inlineStr">
        <is>
          <t>Avis de marché</t>
        </is>
      </c>
      <c r="AB14" t="inlineStr">
        <is>
          <t>Plomberie (travaux), Peinture (travaux), Electricité (travaux)</t>
        </is>
      </c>
      <c r="AC14" t="inlineStr">
        <is>
          <t>['environnementaux']</t>
        </is>
      </c>
      <c r="AD14" s="11" t="inlineStr">
        <is>
          <t>https://www.boamp.fr/pages/avis/?q=idweb:26-70565</t>
        </is>
      </c>
      <c r="AE14" t="inlineStr">
        <is>
          <t>https://marches.maximilien.fr/?page=Entreprise.EntrepriseAdvancedSearch&amp;AllCons&amp;id=942965&amp;orgAcronyme=a4d</t>
        </is>
      </c>
      <c r="AF14" t="inlineStr">
        <is>
          <t>https://marches.maximilien.fr/?page=Entreprise.EntrepriseAdvancedSearch&amp;AllCons&amp;id=942965&amp;orgAcronyme=a4d</t>
        </is>
      </c>
      <c r="AG14" t="inlineStr">
        <is>
          <t>nettoyage</t>
        </is>
      </c>
      <c r="AH14" t="inlineStr">
        <is>
          <t>6</t>
        </is>
      </c>
      <c r="AI14" t="inlineStr">
        <is>
          <t>98</t>
        </is>
      </c>
      <c r="AJ14" t="inlineStr">
        <is>
          <t>INFO_PARTIELLE</t>
        </is>
      </c>
      <c r="AK14" t="inlineStr">
        <is>
          <t>70</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14" t="inlineStr">
        <is>
          <t>Verifier url_avis et DCE si disponible</t>
        </is>
      </c>
      <c r="AV14" t="inlineStr"/>
      <c r="AW14" t="inlineStr"/>
      <c r="AX14" t="inlineStr"/>
      <c r="AY14" t="inlineStr"/>
      <c r="AZ14" t="inlineStr"/>
      <c r="BA14" t="inlineStr"/>
      <c r="BB14" t="inlineStr">
        <is>
          <t>+30 mots-cles nettoyage forts | +20 budget annualise &lt;= 100 000 EUR | +10 secteur cible Mairie | +10 delai confortable 44j</t>
        </is>
      </c>
      <c r="BC14" t="inlineStr">
        <is>
          <t>COMMUNE DE MAGNY LE HONGRE publie un AO potentiellement pertinent pour CHRUTH : TRAVAUX D'AMÉNAGEMENT INTÉRIEUR DU R+1 ET COMBLE DE LA FERME DURPÉ. Zone : MAGNY LE HONGRE. Budget detecte environ 77 700 EUR. Verifier le lien source avant contact.</t>
        </is>
      </c>
      <c r="BD14"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14"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2026-W29</t>
        </is>
      </c>
    </row>
    <row r="15">
      <c r="A15" t="inlineStr">
        <is>
          <t>BOAMP</t>
        </is>
      </c>
      <c r="B15" t="inlineStr">
        <is>
          <t>26-83338</t>
        </is>
      </c>
      <c r="C15" t="inlineStr">
        <is>
          <t>Nettoyage Des Vitres Dans Les Batiments Communaux</t>
        </is>
      </c>
      <c r="D15" t="inlineStr">
        <is>
          <t>Mairie de Bonneuil sur Marne</t>
        </is>
      </c>
      <c r="E15" t="inlineStr">
        <is>
          <t>21940011600014</t>
        </is>
      </c>
      <c r="F15" t="inlineStr">
        <is>
          <t>219400116</t>
        </is>
      </c>
      <c r="G15" t="inlineStr">
        <is>
          <t>Ville de Bonneuil sur Marne</t>
        </is>
      </c>
      <c r="H15" t="inlineStr"/>
      <c r="I15" t="inlineStr"/>
      <c r="J15" t="inlineStr">
        <is>
          <t>+33 145143880</t>
        </is>
      </c>
      <c r="K15" t="inlineStr">
        <is>
          <t>FR107 - Val-de-Marne, Bâtiments communaux de la ville de Bonneuil sur Marne</t>
        </is>
      </c>
      <c r="L15" t="inlineStr">
        <is>
          <t>94380</t>
        </is>
      </c>
      <c r="M15" t="inlineStr">
        <is>
          <t>Bonneuil-sur-Marne</t>
        </is>
      </c>
      <c r="N15" t="inlineStr">
        <is>
          <t>94</t>
        </is>
      </c>
      <c r="O15" t="inlineStr"/>
      <c r="P15" t="inlineStr">
        <is>
          <t>Ile-de-France</t>
        </is>
      </c>
      <c r="Q15" s="15" t="n">
        <v>46260</v>
      </c>
      <c r="R15" s="15" t="n">
        <v>46290</v>
      </c>
      <c r="S15" s="14" t="n">
        <v>94380</v>
      </c>
      <c r="T15" t="inlineStr">
        <is>
          <t>BUDGET_SOUS_SEUIL</t>
        </is>
      </c>
      <c r="U15" t="inlineStr">
        <is>
          <t>94380.0</t>
        </is>
      </c>
      <c r="V15" t="inlineStr">
        <is>
          <t>non</t>
        </is>
      </c>
      <c r="W15" t="inlineStr">
        <is>
          <t>Vitres</t>
        </is>
      </c>
      <c r="X15" t="inlineStr">
        <is>
          <t>Mairie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https://www.boamp.fr/pages/avis/?q=idweb:26-83338</t>
        </is>
      </c>
      <c r="AE15" t="inlineStr">
        <is>
          <t>https://www.marches-publics.info/mpiaws/index.cfm?fuseaction=dematent.login&amp;type=Dce&amp;Idm=1864838</t>
        </is>
      </c>
      <c r="AF15" t="inlineStr">
        <is>
          <t>https://www.marches-publics.info/mpiaws/index.cfm?fuseaction=dematent.login&amp;type=Dce&amp;Idm=1864838</t>
        </is>
      </c>
      <c r="AG15" t="inlineStr">
        <is>
          <t>nettoyage</t>
        </is>
      </c>
      <c r="AH15" t="inlineStr">
        <is>
          <t>5</t>
        </is>
      </c>
      <c r="AI15" t="inlineStr">
        <is>
          <t>88</t>
        </is>
      </c>
      <c r="AJ15" t="inlineStr">
        <is>
          <t>INFO_PARTIELLE</t>
        </is>
      </c>
      <c r="AK15" t="inlineStr">
        <is>
          <t>69.9</t>
        </is>
      </c>
      <c r="AL15" s="13" t="inlineStr">
        <is>
          <t>CHAUD</t>
        </is>
      </c>
      <c r="AM15" t="inlineStr"/>
      <c r="AN15" t="inlineStr"/>
      <c r="AO15" t="inlineStr"/>
      <c r="AP15" t="inlineStr"/>
      <c r="AQ15" t="inlineStr">
        <is>
          <t>IA_CONTACT_A_COMPLETER</t>
        </is>
      </c>
      <c r="AR15" t="inlineStr">
        <is>
          <t>Completer les champs manquants depuis l'avis source, le site acheteur ou le DCE.</t>
        </is>
      </c>
      <c r="AS15" t="inlineStr">
        <is>
          <t>email</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26-83338. Objet: Nettoyage Des Vitres Dans Les Batiments Communaux. Acheteur: Mairie de Bonneuil sur Marne. Lien: https://www.boamp.fr/pages/avis/?q=idweb:26-83338.</t>
        </is>
      </c>
      <c r="AU15" t="inlineStr">
        <is>
          <t>Verifier url_avis et DCE si disponible</t>
        </is>
      </c>
      <c r="AV15" t="inlineStr">
        <is>
          <t>LIEN_SEUL</t>
        </is>
      </c>
      <c r="AW15" t="inlineStr"/>
      <c r="AX15" t="inlineStr"/>
      <c r="AY15" t="inlineStr"/>
      <c r="AZ15" t="inlineStr"/>
      <c r="BA15" t="inlineStr"/>
      <c r="BB15" t="inlineStr">
        <is>
          <t>+33.5 nettoyage + categorie claire (1 termes) | +16.1 budget annualise 94 380 EUR | +10 secteur cible Mairie | +8.8 delai 25 j | +1.5 dossier renseigne (3/4)</t>
        </is>
      </c>
      <c r="BC15" t="inlineStr">
        <is>
          <t>Mairie de Bonneuil sur Marne publie un AO potentiellement pertinent pour CHRUTH : Nettoyage Des Vitres Dans Les Batiments Communaux. Zone : Bonneuil-sur-Marne. Budget detecte environ 94 380 EUR. Verifier le lien source avant contact.</t>
        </is>
      </c>
      <c r="BD15" t="inlineStr">
        <is>
          <t>Bonjour,
Je me permets de vous contacter au sujet de votre appel d'offres : Nettoyage Des Vitres Dans Les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Bonneuil sur Marne ?
Cordialement,</t>
        </is>
      </c>
      <c r="BE15" t="inlineStr">
        <is>
          <t>Bonjour, je vous appelle concernant un appel d'offres publié par Mairie de Bonneuil sur Marne.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2026-W35</t>
        </is>
      </c>
    </row>
    <row r="16">
      <c r="A16" t="inlineStr">
        <is>
          <t>BOAMP</t>
        </is>
      </c>
      <c r="B16" t="inlineStr">
        <is>
          <t>26-84191</t>
        </is>
      </c>
      <c r="C16" t="inlineStr">
        <is>
          <t>Nettoyage et entretien des locaux des bâtiments communaux</t>
        </is>
      </c>
      <c r="D16" t="inlineStr">
        <is>
          <t>Mairie d'Emerainville</t>
        </is>
      </c>
      <c r="E16" t="inlineStr">
        <is>
          <t>21770169700013</t>
        </is>
      </c>
      <c r="F16" t="inlineStr">
        <is>
          <t>217701697</t>
        </is>
      </c>
      <c r="G16" t="inlineStr"/>
      <c r="H16" t="inlineStr"/>
      <c r="I16" t="inlineStr">
        <is>
          <t>maire@mairie-emerainville.fr</t>
        </is>
      </c>
      <c r="J16" t="inlineStr">
        <is>
          <t>0169700013</t>
        </is>
      </c>
      <c r="K16" t="inlineStr"/>
      <c r="L16" t="inlineStr"/>
      <c r="M16" t="inlineStr"/>
      <c r="N16" t="inlineStr">
        <is>
          <t>77</t>
        </is>
      </c>
      <c r="O16" t="inlineStr"/>
      <c r="P16" t="inlineStr">
        <is>
          <t>Ile-de-France</t>
        </is>
      </c>
      <c r="Q16" s="15" t="n">
        <v>46264</v>
      </c>
      <c r="R16" s="15" t="n">
        <v>46293</v>
      </c>
      <c r="S16" t="inlineStr"/>
      <c r="T16" t="inlineStr">
        <is>
          <t>A_VERIFIER_BUDGET</t>
        </is>
      </c>
      <c r="U16" t="inlineStr"/>
      <c r="V16" t="inlineStr">
        <is>
          <t>non</t>
        </is>
      </c>
      <c r="W16" t="inlineStr">
        <is>
          <t>Bureaux</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https://www.boamp.fr/pages/avis/?q=idweb:26-84191</t>
        </is>
      </c>
      <c r="AE16" t="inlineStr">
        <is>
          <t>https://www.mairie-emerainville.fr/</t>
        </is>
      </c>
      <c r="AF16" t="inlineStr"/>
      <c r="AG16" t="inlineStr">
        <is>
          <t>nettoyage, proprete, entretien des locaux, hygiene des locaux</t>
        </is>
      </c>
      <c r="AH16" t="inlineStr">
        <is>
          <t>3</t>
        </is>
      </c>
      <c r="AI16" t="inlineStr">
        <is>
          <t>92</t>
        </is>
      </c>
      <c r="AJ16" t="inlineStr">
        <is>
          <t>INFO_PARTIELLE</t>
        </is>
      </c>
      <c r="AK16" t="inlineStr">
        <is>
          <t>66.0</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16" t="inlineStr">
        <is>
          <t>Verifier url_avis et DCE si disponible</t>
        </is>
      </c>
      <c r="AV16" t="inlineStr">
        <is>
          <t>LIEN_SEUL</t>
        </is>
      </c>
      <c r="AW16" t="inlineStr"/>
      <c r="AX16" t="inlineStr"/>
      <c r="AY16" t="inlineStr"/>
      <c r="AZ16" t="inlineStr"/>
      <c r="BA16" t="inlineStr"/>
      <c r="BB16" t="inlineStr">
        <is>
          <t>+35.0 nettoyage + categorie claire (4 termes) | +10 budget non affiche (a verifier) | +10 secteur cible Mairie | +9.5 delai 28 j | +1.5 dossier renseigne (3/4)</t>
        </is>
      </c>
      <c r="BC16" t="inlineStr">
        <is>
          <t>Mairie d'Emerainville publie un AO potentiellement pertinent pour CHRUTH : Nettoyage et entretien des locaux des bâtiments communaux. Zone : 77. Budget a verifier. Verifier le lien source avant contact.</t>
        </is>
      </c>
      <c r="BD16"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16"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2026-W35</t>
        </is>
      </c>
    </row>
    <row r="17">
      <c r="A17" t="inlineStr">
        <is>
          <t>BOAMP</t>
        </is>
      </c>
      <c r="B17" t="inlineStr">
        <is>
          <t>26-78821</t>
        </is>
      </c>
      <c r="C17" t="inlineStr">
        <is>
          <t>Prestations de nettoyage des locaux et des vitreries du Complexe Sportif et Culturel Camille Muffat.</t>
        </is>
      </c>
      <c r="D17" t="inlineStr">
        <is>
          <t>Seine Spport Culture</t>
        </is>
      </c>
      <c r="E17" t="inlineStr">
        <is>
          <t>99057630800011</t>
        </is>
      </c>
      <c r="F17" t="inlineStr">
        <is>
          <t>990576308</t>
        </is>
      </c>
      <c r="G17" t="inlineStr"/>
      <c r="H17" t="inlineStr"/>
      <c r="I17" t="inlineStr">
        <is>
          <t>fabien.lague@clichyhall.com</t>
        </is>
      </c>
      <c r="J17" t="inlineStr">
        <is>
          <t>0576308000</t>
        </is>
      </c>
      <c r="K17" t="inlineStr"/>
      <c r="L17" t="inlineStr"/>
      <c r="M17" t="inlineStr"/>
      <c r="N17" t="inlineStr">
        <is>
          <t>92</t>
        </is>
      </c>
      <c r="O17" t="inlineStr"/>
      <c r="P17" t="inlineStr">
        <is>
          <t>Ile-de-France</t>
        </is>
      </c>
      <c r="Q17" s="15" t="n">
        <v>46242</v>
      </c>
      <c r="R17" s="15" t="n">
        <v>46295</v>
      </c>
      <c r="S17" t="inlineStr"/>
      <c r="T17" t="inlineStr">
        <is>
          <t>A_VERIFIER_BUDGET</t>
        </is>
      </c>
      <c r="U17" t="inlineStr"/>
      <c r="V17" t="inlineStr">
        <is>
          <t>non</t>
        </is>
      </c>
      <c r="W17" t="inlineStr">
        <is>
          <t>Vitres</t>
        </is>
      </c>
      <c r="X17" t="inlineStr">
        <is>
          <t>Gymnase</t>
        </is>
      </c>
      <c r="Y17" t="inlineStr">
        <is>
          <t>SERVICES</t>
        </is>
      </c>
      <c r="Z17" t="inlineStr">
        <is>
          <t>Procédure Ouverte</t>
        </is>
      </c>
      <c r="AA17" t="inlineStr">
        <is>
          <t>Avis de marché</t>
        </is>
      </c>
      <c r="AB17" t="inlineStr">
        <is>
          <t>Nettoyage de locaux</t>
        </is>
      </c>
      <c r="AC17" t="inlineStr"/>
      <c r="AD17" s="11" t="inlineStr">
        <is>
          <t>https://www.boamp.fr/pages/avis/?q=idweb:26-78821</t>
        </is>
      </c>
      <c r="AE17" t="inlineStr">
        <is>
          <t>https://marches.maximilien.fr/entreprise/consultation/945004?orgAcronyme=a7k</t>
        </is>
      </c>
      <c r="AF17" t="inlineStr">
        <is>
          <t>https://marches.maximilien.fr/entreprise/consultation/945004?orgAcronyme=a7k</t>
        </is>
      </c>
      <c r="AG17" t="inlineStr">
        <is>
          <t>nettoyage, menage, desinfection</t>
        </is>
      </c>
      <c r="AH17" t="inlineStr">
        <is>
          <t>3</t>
        </is>
      </c>
      <c r="AI17" t="inlineStr">
        <is>
          <t>80</t>
        </is>
      </c>
      <c r="AJ17" t="inlineStr">
        <is>
          <t>INFO_PARTIELLE</t>
        </is>
      </c>
      <c r="AK17" t="inlineStr">
        <is>
          <t>65.5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17" t="inlineStr">
        <is>
          <t>Verifier url_avis et DCE si disponible</t>
        </is>
      </c>
      <c r="AV17" t="inlineStr">
        <is>
          <t>LIEN_SEUL</t>
        </is>
      </c>
      <c r="AW17" t="inlineStr"/>
      <c r="AX17" t="inlineStr"/>
      <c r="AY17" t="inlineStr"/>
      <c r="AZ17" t="inlineStr"/>
      <c r="BA17" t="inlineStr"/>
      <c r="BB17" t="inlineStr">
        <is>
          <t>+34.0 nettoyage + categorie claire (2 termes) | +10 budget non affiche (a verifier) | +10 secteur cible Gymnase | +10.0 delai 30 j | +1.5 dossier renseigne (3/4)</t>
        </is>
      </c>
      <c r="BC17" t="inlineStr">
        <is>
          <t>Seine Spport Culture publie un AO potentiellement pertinent pour CHRUTH : Prestations de nettoyage des locaux et des vitreries du Complexe Sportif et Culturel Camille Muffat.. Zone : 92. Budget a verifier. Verifier le lien source avant contact.</t>
        </is>
      </c>
      <c r="BD17"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17"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2026-W32</t>
        </is>
      </c>
    </row>
    <row r="18">
      <c r="A18" t="inlineStr">
        <is>
          <t>BOAMP</t>
        </is>
      </c>
      <c r="B18" t="inlineStr">
        <is>
          <t>26-80807</t>
        </is>
      </c>
      <c r="C18" t="inlineStr">
        <is>
          <t>PRESTATION DE NETTOYAGE, D’ENTRETIEN COURANT ET DE BLANCHISSERIE : STRUCTURES PETITE ENFANCE - MAISON DE L’ENFANCE « NICOLE CHAPEL », CRECHE COLLECTIVE « LES DAUPHINS » ET HALTE-GARDERIE « LES POUS...</t>
        </is>
      </c>
      <c r="D18" t="inlineStr">
        <is>
          <t>VILLE DE MELUN, Pôle ressources, Services à la population et Transition Ecologique</t>
        </is>
      </c>
      <c r="E18" t="inlineStr">
        <is>
          <t>21770288500013</t>
        </is>
      </c>
      <c r="F18" t="inlineStr">
        <is>
          <t>217702885</t>
        </is>
      </c>
      <c r="G18" t="inlineStr"/>
      <c r="H18" t="inlineStr"/>
      <c r="I18" t="inlineStr">
        <is>
          <t>Commande.publique@ville-melun.fr</t>
        </is>
      </c>
      <c r="J18" t="inlineStr">
        <is>
          <t>0288500013</t>
        </is>
      </c>
      <c r="K18" t="inlineStr"/>
      <c r="L18" t="inlineStr"/>
      <c r="M18" t="inlineStr"/>
      <c r="N18" t="inlineStr">
        <is>
          <t>77,91,93,75</t>
        </is>
      </c>
      <c r="O18" t="inlineStr"/>
      <c r="P18" t="inlineStr">
        <is>
          <t>Ile-de-France</t>
        </is>
      </c>
      <c r="Q18" s="15" t="n">
        <v>46250</v>
      </c>
      <c r="R18" s="15" t="n">
        <v>46294</v>
      </c>
      <c r="S18" t="inlineStr"/>
      <c r="T18" t="inlineStr">
        <is>
          <t>A_VERIFIER_BUDGET</t>
        </is>
      </c>
      <c r="U18" t="inlineStr"/>
      <c r="V18" t="inlineStr">
        <is>
          <t>non</t>
        </is>
      </c>
      <c r="W18" t="inlineStr">
        <is>
          <t>Batiments</t>
        </is>
      </c>
      <c r="X18" t="inlineStr">
        <is>
          <t>Ecole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https://www.boamp.fr/pages/avis/?q=idweb:26-80807</t>
        </is>
      </c>
      <c r="AE18" t="inlineStr">
        <is>
          <t>https://www.ville-melun.fr/la-ville/marches-publics</t>
        </is>
      </c>
      <c r="AF18" t="inlineStr"/>
      <c r="AG18" t="inlineStr">
        <is>
          <t>nettoyage, proprete</t>
        </is>
      </c>
      <c r="AH18" t="inlineStr">
        <is>
          <t>3</t>
        </is>
      </c>
      <c r="AI18" t="inlineStr">
        <is>
          <t>76</t>
        </is>
      </c>
      <c r="AJ18" t="inlineStr">
        <is>
          <t>INFO_PARTIELLE</t>
        </is>
      </c>
      <c r="AK18" t="inlineStr">
        <is>
          <t>65.2</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18" t="inlineStr">
        <is>
          <t>Verifier url_avis et DCE si disponible</t>
        </is>
      </c>
      <c r="AV18" t="inlineStr">
        <is>
          <t>LIEN_SEUL</t>
        </is>
      </c>
      <c r="AW18" t="inlineStr"/>
      <c r="AX18" t="inlineStr"/>
      <c r="AY18" t="inlineStr"/>
      <c r="AZ18" t="inlineStr"/>
      <c r="BA18" t="inlineStr"/>
      <c r="BB18" t="inlineStr">
        <is>
          <t>+34.0 nettoyage + categorie claire (2 termes) | +10 budget non affiche (a verifier) | +10 secteur cible Ecole | +9.8 delai 29 j | +1.5 dossier renseigne (3/4)</t>
        </is>
      </c>
      <c r="BC18"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18"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18"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2026-W33</t>
        </is>
      </c>
    </row>
    <row r="19">
      <c r="A19" t="inlineStr">
        <is>
          <t>BOAMP</t>
        </is>
      </c>
      <c r="B19" t="inlineStr">
        <is>
          <t>26-82481</t>
        </is>
      </c>
      <c r="C19" t="inlineStr">
        <is>
          <t>NETTOYAGE DES LOCAUX DANS LES ETABLISSMENTS DE LA PETITE ENFANCE</t>
        </is>
      </c>
      <c r="D19" t="inlineStr">
        <is>
          <t>Ville de Levallois</t>
        </is>
      </c>
      <c r="E19" t="inlineStr"/>
      <c r="F19" t="inlineStr"/>
      <c r="G19" t="inlineStr"/>
      <c r="H19" t="inlineStr"/>
      <c r="I19" t="inlineStr">
        <is>
          <t>publications-joue@aws-france.com</t>
        </is>
      </c>
      <c r="J19" t="inlineStr">
        <is>
          <t>+33480041260</t>
        </is>
      </c>
      <c r="K19" t="inlineStr"/>
      <c r="L19" t="inlineStr"/>
      <c r="M19" t="inlineStr"/>
      <c r="N19" t="inlineStr">
        <is>
          <t>92</t>
        </is>
      </c>
      <c r="O19" t="inlineStr"/>
      <c r="P19" t="inlineStr">
        <is>
          <t>Ile-de-France</t>
        </is>
      </c>
      <c r="Q19" s="15" t="n">
        <v>46257</v>
      </c>
      <c r="R19" s="15" t="n">
        <v>46297</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c r="AD19" s="11" t="inlineStr">
        <is>
          <t>https://www.boamp.fr/pages/avis/?q=idweb:26-82481</t>
        </is>
      </c>
      <c r="AE19" t="inlineStr">
        <is>
          <t>https://www.marches-publics.info/mpiaws/index.cfm?fuseaction=dematEnt.login&amp;amp;type=DCE&amp;amp;IDM=1863702</t>
        </is>
      </c>
      <c r="AF19" t="inlineStr">
        <is>
          <t>https://www.marches-publics.info/mpiaws/index.cfm?fuseaction=dematEnt.login&amp;amp;type=DCE&amp;amp;IDM=1863702</t>
        </is>
      </c>
      <c r="AG19" t="inlineStr">
        <is>
          <t>nettoyage</t>
        </is>
      </c>
      <c r="AH19" t="inlineStr">
        <is>
          <t>2</t>
        </is>
      </c>
      <c r="AI19" t="inlineStr">
        <is>
          <t>58</t>
        </is>
      </c>
      <c r="AJ19" t="inlineStr">
        <is>
          <t>INFO_PARTIELLE</t>
        </is>
      </c>
      <c r="AK19" t="inlineStr">
        <is>
          <t>65.0</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19" t="inlineStr">
        <is>
          <t>Verifier url_avis et DCE si disponible</t>
        </is>
      </c>
      <c r="AV19" t="inlineStr">
        <is>
          <t>LIEN_SEUL</t>
        </is>
      </c>
      <c r="AW19" t="inlineStr"/>
      <c r="AX19" t="inlineStr"/>
      <c r="AY19" t="inlineStr"/>
      <c r="AZ19" t="inlineStr"/>
      <c r="BA19" t="inlineStr"/>
      <c r="BB19" t="inlineStr">
        <is>
          <t>+33.5 nettoyage + categorie claire (1 termes) | +10 budget non affiche (a verifier) | +10 secteur cible Mairie | +10.0 delai 32 j | +1.5 dossier renseigne (3/4)</t>
        </is>
      </c>
      <c r="BC19" t="inlineStr">
        <is>
          <t>Ville de Levallois publie un AO potentiellement pertinent pour CHRUTH : NETTOYAGE DES LOCAUX DANS LES ETABLISSMENTS DE LA PETITE ENFANCE. Zone : 92. Budget a verifier. Verifier le lien source avant contact.</t>
        </is>
      </c>
      <c r="BD19"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19"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2026-W34</t>
        </is>
      </c>
    </row>
    <row r="20">
      <c r="A20" t="inlineStr">
        <is>
          <t>BOAMP</t>
        </is>
      </c>
      <c r="B20" t="inlineStr">
        <is>
          <t>26-72708</t>
        </is>
      </c>
      <c r="C20" t="inlineStr">
        <is>
          <t>Entretien ménager des locaux des sites mégalithiques de Carnac et Locmariaquer</t>
        </is>
      </c>
      <c r="D20" t="inlineStr">
        <is>
          <t>Centre Monuments Nationaux</t>
        </is>
      </c>
      <c r="E20" t="inlineStr">
        <is>
          <t>18004601300017</t>
        </is>
      </c>
      <c r="F20" t="inlineStr">
        <is>
          <t>180046013</t>
        </is>
      </c>
      <c r="G20" t="inlineStr"/>
      <c r="H20" t="inlineStr"/>
      <c r="I20" t="inlineStr">
        <is>
          <t>marches-publics@monuments-nationaux.fr</t>
        </is>
      </c>
      <c r="J20" t="inlineStr">
        <is>
          <t>0460130001</t>
        </is>
      </c>
      <c r="K20" t="inlineStr"/>
      <c r="L20" t="inlineStr"/>
      <c r="M20" t="inlineStr"/>
      <c r="N20" t="inlineStr">
        <is>
          <t>75,56</t>
        </is>
      </c>
      <c r="O20" t="inlineStr"/>
      <c r="P20" t="inlineStr">
        <is>
          <t>Ile-de-France</t>
        </is>
      </c>
      <c r="Q20" s="15" t="n">
        <v>46226</v>
      </c>
      <c r="R20" s="15" t="n">
        <v>46276</v>
      </c>
      <c r="S20" s="14" t="n">
        <v>60000</v>
      </c>
      <c r="T20" t="inlineStr">
        <is>
          <t>BUDGET_SOUS_SEUIL</t>
        </is>
      </c>
      <c r="U20" t="inlineStr">
        <is>
          <t>60000.0</t>
        </is>
      </c>
      <c r="V20" t="inlineStr">
        <is>
          <t>non</t>
        </is>
      </c>
      <c r="W20" t="inlineStr">
        <is>
          <t>Batiments</t>
        </is>
      </c>
      <c r="X20" t="inlineStr">
        <is>
          <t>Autre</t>
        </is>
      </c>
      <c r="Y20" t="inlineStr">
        <is>
          <t>SERVICES</t>
        </is>
      </c>
      <c r="Z20" t="inlineStr">
        <is>
          <t>Procédure Ouverte</t>
        </is>
      </c>
      <c r="AA20" t="inlineStr">
        <is>
          <t>Avis de marché</t>
        </is>
      </c>
      <c r="AB20" t="inlineStr">
        <is>
          <t>Nettoyage de locaux, Monuments historiques</t>
        </is>
      </c>
      <c r="AC20" t="inlineStr"/>
      <c r="AD20" s="11" t="inlineStr">
        <is>
          <t>https://www.boamp.fr/pages/avis/?q=idweb:26-72708</t>
        </is>
      </c>
      <c r="AE20" t="inlineStr">
        <is>
          <t>https://www.marches-publics.gouv.fr/entreprise</t>
        </is>
      </c>
      <c r="AF20" t="inlineStr">
        <is>
          <t>https://www.marches-publics.gouv.fr/entreprise</t>
        </is>
      </c>
      <c r="AG20" t="inlineStr">
        <is>
          <t>nettoyage, entretien menager</t>
        </is>
      </c>
      <c r="AH20" t="inlineStr">
        <is>
          <t>3</t>
        </is>
      </c>
      <c r="AI20" t="inlineStr">
        <is>
          <t>72</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45j</t>
        </is>
      </c>
      <c r="BC20" t="inlineStr">
        <is>
          <t>Centre Monuments Nationaux publie un AO potentiellement pertinent pour CHRUTH : Entretien ménager des locaux des sites mégalithiques de Carnac et Locmariaquer. Zone : 75,56. Budget detecte environ 60 000 EUR. Verifier le lien source avant contact.</t>
        </is>
      </c>
      <c r="BD20"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20"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26-71675</t>
        </is>
      </c>
      <c r="C21" t="inlineStr">
        <is>
          <t>Décontamination, dépoussiérage et reconditionnement des réserves documentaires n°2 et 3 du Château de Sceaux</t>
        </is>
      </c>
      <c r="D21" t="inlineStr">
        <is>
          <t>Département des Hauts-de-Seine</t>
        </is>
      </c>
      <c r="E21" t="inlineStr">
        <is>
          <t>22920050600611</t>
        </is>
      </c>
      <c r="F21" t="inlineStr">
        <is>
          <t>229200506</t>
        </is>
      </c>
      <c r="G21" t="inlineStr">
        <is>
          <t>cellulecontact.achats@hauts-de-seine.fr</t>
        </is>
      </c>
      <c r="H21" t="inlineStr"/>
      <c r="I21" t="inlineStr">
        <is>
          <t>cellulecontact.achats@hauts-de-seine.fr</t>
        </is>
      </c>
      <c r="J21" t="inlineStr">
        <is>
          <t>+33 806000092</t>
        </is>
      </c>
      <c r="K21" t="inlineStr">
        <is>
          <t>Château de Sceaux 92330 - SCEAUX</t>
        </is>
      </c>
      <c r="L21" t="inlineStr">
        <is>
          <t>92000</t>
        </is>
      </c>
      <c r="M21" t="inlineStr">
        <is>
          <t>NANTERRE</t>
        </is>
      </c>
      <c r="N21" t="inlineStr">
        <is>
          <t>92</t>
        </is>
      </c>
      <c r="O21" t="inlineStr"/>
      <c r="P21" t="inlineStr">
        <is>
          <t>Ile-de-France</t>
        </is>
      </c>
      <c r="Q21" s="15" t="n">
        <v>46220</v>
      </c>
      <c r="R21" s="15" t="n">
        <v>46276</v>
      </c>
      <c r="S21" s="14" t="n">
        <v>92000</v>
      </c>
      <c r="T21" t="inlineStr">
        <is>
          <t>BUDGET_SOUS_SEUIL</t>
        </is>
      </c>
      <c r="U21" t="inlineStr">
        <is>
          <t>92000.0</t>
        </is>
      </c>
      <c r="V21" t="inlineStr">
        <is>
          <t>non</t>
        </is>
      </c>
      <c r="W21" t="inlineStr">
        <is>
          <t>Batiments</t>
        </is>
      </c>
      <c r="X21" t="inlineStr">
        <is>
          <t>Autre</t>
        </is>
      </c>
      <c r="Y21" t="inlineStr">
        <is>
          <t>SERVICES</t>
        </is>
      </c>
      <c r="Z21" t="inlineStr">
        <is>
          <t>Procédure Ouverte</t>
        </is>
      </c>
      <c r="AA21" t="inlineStr">
        <is>
          <t>Avis de marché</t>
        </is>
      </c>
      <c r="AB21" t="inlineStr">
        <is>
          <t>Prestations de services</t>
        </is>
      </c>
      <c r="AC21" t="inlineStr">
        <is>
          <t>['environnementaux']</t>
        </is>
      </c>
      <c r="AD21" s="11" t="inlineStr">
        <is>
          <t>https://www.boamp.fr/pages/avis/?q=idweb:26-71675</t>
        </is>
      </c>
      <c r="AE21" t="inlineStr">
        <is>
          <t>https://www.marches-publics.info/mpiaws/index.cfm?fuseaction=dematent.login&amp;type=Dce&amp;Idm=1851815</t>
        </is>
      </c>
      <c r="AF21" t="inlineStr">
        <is>
          <t>https://www.marches-publics.info/mpiaws/index.cfm?fuseaction=dematent.login&amp;type=Dce&amp;Idm=1851815</t>
        </is>
      </c>
      <c r="AG21" t="inlineStr">
        <is>
          <t>nettoyage</t>
        </is>
      </c>
      <c r="AH21" t="inlineStr">
        <is>
          <t>6</t>
        </is>
      </c>
      <c r="AI21" t="inlineStr">
        <is>
          <t>98</t>
        </is>
      </c>
      <c r="AJ21" t="inlineStr">
        <is>
          <t>INFO_PARTIELLE</t>
        </is>
      </c>
      <c r="AK21" t="inlineStr">
        <is>
          <t>65</t>
        </is>
      </c>
      <c r="AL21" s="13" t="inlineStr">
        <is>
          <t>CHAUD</t>
        </is>
      </c>
      <c r="AM21" t="inlineStr"/>
      <c r="AN21" t="inlineStr"/>
      <c r="AO21" t="inlineStr"/>
      <c r="AP21" t="inlineStr"/>
      <c r="AQ21" t="inlineStr">
        <is>
          <t>IA_CONTROLE_SOURCE</t>
        </is>
      </c>
      <c r="AR21" t="inlineStr">
        <is>
          <t>Verifier rapidement la source avant contact.</t>
        </is>
      </c>
      <c r="AS21" t="inlineStr">
        <is>
          <t>Aucun champ critique manquant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21" t="inlineStr">
        <is>
          <t>Verifier url_avis et DCE si disponible</t>
        </is>
      </c>
      <c r="AV21" t="inlineStr"/>
      <c r="AW21" t="inlineStr"/>
      <c r="AX21" t="inlineStr"/>
      <c r="AY21" t="inlineStr"/>
      <c r="AZ21" t="inlineStr"/>
      <c r="BA21" t="inlineStr"/>
      <c r="BB21" t="inlineStr">
        <is>
          <t>+35 nettoyage + categorie claire | +20 budget annualise &lt;= 100 000 EUR | +10 delai confortable 45j</t>
        </is>
      </c>
      <c r="BC21"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21"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21"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26-71198</t>
        </is>
      </c>
      <c r="C22" t="inlineStr">
        <is>
          <t>CONCESSION DE SERVICE PUBLIC 
PORTANT SUR LA GESTION ET L'EXPLOITATION DES MARCHES FORAINS DE LA VILLE DE MONTROUGE</t>
        </is>
      </c>
      <c r="D22" t="inlineStr">
        <is>
          <t>Ville de Montrouge</t>
        </is>
      </c>
      <c r="E22" t="inlineStr"/>
      <c r="F22" t="inlineStr"/>
      <c r="G22" t="inlineStr">
        <is>
          <t>Le Bassard</t>
        </is>
      </c>
      <c r="H22" t="inlineStr"/>
      <c r="I22" t="inlineStr">
        <is>
          <t>marches@ville-montrouge.fr</t>
        </is>
      </c>
      <c r="J22" t="inlineStr">
        <is>
          <t>0146127303</t>
        </is>
      </c>
      <c r="K22" t="inlineStr"/>
      <c r="L22" t="inlineStr">
        <is>
          <t>92121</t>
        </is>
      </c>
      <c r="M22" t="inlineStr">
        <is>
          <t>Montrouge cedex</t>
        </is>
      </c>
      <c r="N22" t="inlineStr">
        <is>
          <t>92,75</t>
        </is>
      </c>
      <c r="O22" t="inlineStr"/>
      <c r="P22" t="inlineStr">
        <is>
          <t>Ile-de-France</t>
        </is>
      </c>
      <c r="Q22" s="15" t="n">
        <v>46219</v>
      </c>
      <c r="R22" s="15" t="n">
        <v>46295</v>
      </c>
      <c r="S22" t="inlineStr"/>
      <c r="T22" t="inlineStr">
        <is>
          <t>A_VERIFIER_BUDGET</t>
        </is>
      </c>
      <c r="U22" t="inlineStr"/>
      <c r="V22" t="inlineStr">
        <is>
          <t>non</t>
        </is>
      </c>
      <c r="W22" t="inlineStr">
        <is>
          <t>Batiments</t>
        </is>
      </c>
      <c r="X22" t="inlineStr">
        <is>
          <t>Mairie</t>
        </is>
      </c>
      <c r="Y22" t="inlineStr">
        <is>
          <t>SERVICES</t>
        </is>
      </c>
      <c r="Z22" t="inlineStr">
        <is>
          <t>Procédure NC</t>
        </is>
      </c>
      <c r="AA22" t="inlineStr">
        <is>
          <t>Avis de marché</t>
        </is>
      </c>
      <c r="AB22" t="inlineStr">
        <is>
          <t>Denrées alimentaires</t>
        </is>
      </c>
      <c r="AC22" t="inlineStr">
        <is>
          <t>['sociaux', 'environnementaux']</t>
        </is>
      </c>
      <c r="AD22" s="11" t="inlineStr">
        <is>
          <t>https://www.boamp.fr/pages/avis/?q=idweb:26-71198</t>
        </is>
      </c>
      <c r="AE22" t="inlineStr">
        <is>
          <t>https://www.achatpublic.com/sdm/ent2/gen/index.jsp</t>
        </is>
      </c>
      <c r="AF22" t="inlineStr">
        <is>
          <t>https://www.achatpublic.com/sdm/ent2/gen/index.jsp</t>
        </is>
      </c>
      <c r="AG22" t="inlineStr">
        <is>
          <t>nettoyage, proprete</t>
        </is>
      </c>
      <c r="AH22" t="inlineStr">
        <is>
          <t>4</t>
        </is>
      </c>
      <c r="AI22" t="inlineStr">
        <is>
          <t>86</t>
        </is>
      </c>
      <c r="AJ22" t="inlineStr">
        <is>
          <t>INFO_PARTIELLE</t>
        </is>
      </c>
      <c r="AK22" t="inlineStr">
        <is>
          <t>65</t>
        </is>
      </c>
      <c r="AL22" s="13" t="inlineStr">
        <is>
          <t>CHAUD</t>
        </is>
      </c>
      <c r="AM22" t="inlineStr"/>
      <c r="AN22" t="inlineStr"/>
      <c r="AO22" t="inlineStr"/>
      <c r="AP22" t="inlineStr"/>
      <c r="AQ22" t="inlineStr">
        <is>
          <t>IA_BUDGET_A_VERIFIER</t>
        </is>
      </c>
      <c r="AR22" t="inlineStr">
        <is>
          <t>Verifier le budget dans l'avis source ou le DCE avant decision commerciale.</t>
        </is>
      </c>
      <c r="AS22" t="inlineStr">
        <is>
          <t>SIRET, adresse,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secteur cible Mairie | +10 delai confortable 64j</t>
        </is>
      </c>
      <c r="BC22"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22"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22"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s>
  <pageMargins left="0.75" right="0.75" top="1" bottom="1" header="0.5" footer="0.5"/>
  <tableParts count="1">
    <tablePart xmlns:r="http://schemas.openxmlformats.org/officeDocument/2006/relationships" r:id="rId22"/>
  </tableParts>
</worksheet>
</file>

<file path=xl/worksheets/sheet8.xml><?xml version="1.0" encoding="utf-8"?>
<worksheet xmlns="http://schemas.openxmlformats.org/spreadsheetml/2006/main">
  <sheetPr>
    <outlinePr summaryBelow="1" summaryRight="1"/>
    <pageSetUpPr/>
  </sheetPr>
  <dimension ref="A1:BM3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21" customWidth="1" min="7" max="7"/>
    <col width="16" customWidth="1" min="8" max="8"/>
    <col width="45" customWidth="1" min="9" max="9"/>
    <col width="15" customWidth="1" min="10" max="10"/>
    <col width="10" customWidth="1" min="11" max="11"/>
    <col width="13" customWidth="1" min="12" max="12"/>
    <col width="24" customWidth="1" min="13" max="13"/>
    <col width="27"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3" customWidth="1" min="23" max="23"/>
    <col width="10" customWidth="1" min="24" max="24"/>
    <col width="13" customWidth="1" min="25" max="25"/>
    <col width="31" customWidth="1" min="26" max="26"/>
    <col width="16" customWidth="1" min="27" max="27"/>
    <col width="50"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2"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5" t="n">
        <v>46227</v>
      </c>
      <c r="R2" s="15"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1"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26-82885</t>
        </is>
      </c>
      <c r="C3" t="inlineStr">
        <is>
          <t>Balayage des voies, trottoirs et caniveaux</t>
        </is>
      </c>
      <c r="D3" t="inlineStr">
        <is>
          <t>Mairie de Maule</t>
        </is>
      </c>
      <c r="E3" t="inlineStr"/>
      <c r="F3" t="inlineStr"/>
      <c r="G3" t="inlineStr">
        <is>
          <t>SERENA</t>
        </is>
      </c>
      <c r="H3" t="inlineStr"/>
      <c r="I3" t="inlineStr">
        <is>
          <t>dserena@maule.fr</t>
        </is>
      </c>
      <c r="J3" t="inlineStr">
        <is>
          <t>0130904900</t>
        </is>
      </c>
      <c r="K3" t="inlineStr"/>
      <c r="L3" t="inlineStr">
        <is>
          <t>78580</t>
        </is>
      </c>
      <c r="M3" t="inlineStr">
        <is>
          <t>Maule</t>
        </is>
      </c>
      <c r="N3" t="inlineStr">
        <is>
          <t>78</t>
        </is>
      </c>
      <c r="O3" t="inlineStr"/>
      <c r="P3" t="inlineStr">
        <is>
          <t>Ile-de-France</t>
        </is>
      </c>
      <c r="Q3" s="15" t="n">
        <v>46259</v>
      </c>
      <c r="R3" s="15" t="n">
        <v>46295</v>
      </c>
      <c r="S3" t="inlineStr"/>
      <c r="T3" t="inlineStr">
        <is>
          <t>A_VERIFIER_BUDGET</t>
        </is>
      </c>
      <c r="U3" t="inlineStr"/>
      <c r="V3" t="inlineStr">
        <is>
          <t>non</t>
        </is>
      </c>
      <c r="W3" t="inlineStr">
        <is>
          <t>Mixte/Autre</t>
        </is>
      </c>
      <c r="X3" t="inlineStr">
        <is>
          <t>Mairie</t>
        </is>
      </c>
      <c r="Y3" t="inlineStr">
        <is>
          <t>SERVICES</t>
        </is>
      </c>
      <c r="Z3" t="inlineStr">
        <is>
          <t>Procédure Adaptée</t>
        </is>
      </c>
      <c r="AA3" t="inlineStr">
        <is>
          <t>Avis de marché</t>
        </is>
      </c>
      <c r="AB3" t="inlineStr">
        <is>
          <t>Nettoyage urbain</t>
        </is>
      </c>
      <c r="AC3" t="inlineStr"/>
      <c r="AD3" s="11" t="inlineStr">
        <is>
          <t>https://www.boamp.fr/pages/avis/?q=idweb:26-82885</t>
        </is>
      </c>
      <c r="AE3" t="inlineStr">
        <is>
          <t>https://www.achatpublic.com/sdm/ent2/gen/index.jsp</t>
        </is>
      </c>
      <c r="AF3" t="inlineStr">
        <is>
          <t>https://www.achatpublic.com/sdm/ent2/gen/index.jsp</t>
        </is>
      </c>
      <c r="AG3" t="inlineStr">
        <is>
          <t>nettoyage</t>
        </is>
      </c>
      <c r="AH3" t="inlineStr">
        <is>
          <t>4</t>
        </is>
      </c>
      <c r="AI3" t="inlineStr">
        <is>
          <t>78</t>
        </is>
      </c>
      <c r="AJ3" t="inlineStr">
        <is>
          <t>INFO_PARTIELLE</t>
        </is>
      </c>
      <c r="AK3" t="inlineStr">
        <is>
          <t>75.5</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3" t="inlineStr">
        <is>
          <t>Verifier url_avis et DCE si disponible</t>
        </is>
      </c>
      <c r="AV3" t="inlineStr">
        <is>
          <t>LIEN_SEUL</t>
        </is>
      </c>
      <c r="AW3" t="inlineStr"/>
      <c r="AX3" t="inlineStr"/>
      <c r="AY3" t="inlineStr"/>
      <c r="AZ3" t="inlineStr"/>
      <c r="BA3" t="inlineStr"/>
      <c r="BB3" t="inlineStr">
        <is>
          <t>+28.5 mots-cles nettoyage forts (1 termes) | +10 budget non affiche (a verifier) | +15 procedure adaptee / MAPA / allotissement | +10 secteur cible Mairie | +10.0 delai 30 j | +2.0 dossier renseigne (4/4)</t>
        </is>
      </c>
      <c r="BC3" t="inlineStr">
        <is>
          <t>Mairie de Maule publie un AO potentiellement pertinent pour CHRUTH : Balayage des voies, trottoirs et caniveaux. Zone : Maule. Budget a verifier. Verifier le lien source avant contact.</t>
        </is>
      </c>
      <c r="BD3"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3"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26-80740</t>
        </is>
      </c>
      <c r="C4" t="inlineStr">
        <is>
          <t>Entretien Ménager - Service Ordures Ménagères -</t>
        </is>
      </c>
      <c r="D4" t="inlineStr">
        <is>
          <t>SAEM de construction Maisons-Laffitte</t>
        </is>
      </c>
      <c r="E4" t="inlineStr"/>
      <c r="F4" t="inlineStr"/>
      <c r="G4" t="inlineStr">
        <is>
          <t>VEGAS M.JUAN CARLOS</t>
        </is>
      </c>
      <c r="H4" t="inlineStr"/>
      <c r="I4" t="inlineStr">
        <is>
          <t>service.saem@maisonslaffitte.fr</t>
        </is>
      </c>
      <c r="J4" t="inlineStr">
        <is>
          <t>0134937166</t>
        </is>
      </c>
      <c r="K4" t="inlineStr"/>
      <c r="L4" t="inlineStr">
        <is>
          <t>78605</t>
        </is>
      </c>
      <c r="M4" t="inlineStr">
        <is>
          <t>Maisons-Laffitte Cedex</t>
        </is>
      </c>
      <c r="N4" t="inlineStr">
        <is>
          <t>78</t>
        </is>
      </c>
      <c r="O4" t="inlineStr"/>
      <c r="P4" t="inlineStr">
        <is>
          <t>Ile-de-France</t>
        </is>
      </c>
      <c r="Q4" s="15" t="n">
        <v>46248</v>
      </c>
      <c r="R4" s="15" t="n">
        <v>46326</v>
      </c>
      <c r="S4" t="inlineStr"/>
      <c r="T4" t="inlineStr">
        <is>
          <t>A_VERIFIER_BUDGET</t>
        </is>
      </c>
      <c r="U4" t="inlineStr"/>
      <c r="V4" t="inlineStr">
        <is>
          <t>non</t>
        </is>
      </c>
      <c r="W4" t="inlineStr">
        <is>
          <t>Vitres</t>
        </is>
      </c>
      <c r="X4" t="inlineStr">
        <is>
          <t>Autre</t>
        </is>
      </c>
      <c r="Y4" t="inlineStr">
        <is>
          <t>SERVICES</t>
        </is>
      </c>
      <c r="Z4" t="inlineStr">
        <is>
          <t>Procédure Adaptée</t>
        </is>
      </c>
      <c r="AA4" t="inlineStr">
        <is>
          <t>Avis de marché</t>
        </is>
      </c>
      <c r="AB4" t="inlineStr">
        <is>
          <t>Nettoyage de locaux</t>
        </is>
      </c>
      <c r="AC4" t="inlineStr"/>
      <c r="AD4" s="11" t="inlineStr">
        <is>
          <t>https://www.boamp.fr/pages/avis/?q=idweb:26-80740</t>
        </is>
      </c>
      <c r="AE4" t="inlineStr">
        <is>
          <t>https://www.e-marchespublics.com/appel-offre/1178203</t>
        </is>
      </c>
      <c r="AF4" t="inlineStr">
        <is>
          <t>https://www.e-marchespublics.com/appel-offre/1178203</t>
        </is>
      </c>
      <c r="AG4" t="inlineStr">
        <is>
          <t>nettoyage, menage, entretien menager</t>
        </is>
      </c>
      <c r="AH4" t="inlineStr">
        <is>
          <t>4</t>
        </is>
      </c>
      <c r="AI4" t="inlineStr">
        <is>
          <t>90</t>
        </is>
      </c>
      <c r="AJ4" t="inlineStr">
        <is>
          <t>INFO_PARTIELLE</t>
        </is>
      </c>
      <c r="AK4" t="inlineStr">
        <is>
          <t>71.0</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SIRET, adresse,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4" t="inlineStr">
        <is>
          <t>Verifier url_avis et DCE si disponible</t>
        </is>
      </c>
      <c r="AV4" t="inlineStr">
        <is>
          <t>LIEN_SEUL</t>
        </is>
      </c>
      <c r="AW4" t="inlineStr"/>
      <c r="AX4" t="inlineStr"/>
      <c r="AY4" t="inlineStr"/>
      <c r="AZ4" t="inlineStr"/>
      <c r="BA4" t="inlineStr"/>
      <c r="BB4" t="inlineStr">
        <is>
          <t>+34.0 nettoyage + categorie claire (2 termes) | +10 budget non affiche (a verifier) | +15 procedure adaptee / MAPA / allotissement | +10.0 delai 61 j | +2.0 dossier renseigne (4/4)</t>
        </is>
      </c>
      <c r="BC4" t="inlineStr">
        <is>
          <t>SAEM de construction Maisons-Laffitte publie un AO potentiellement pertinent pour CHRUTH : Entretien Ménager - Service Ordures Ménagères -. Zone : Maisons-Laffitte Cedex. Budget a verifier. Verifier le lien source avant contact.</t>
        </is>
      </c>
      <c r="BD4"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4"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2026-W33</t>
        </is>
      </c>
    </row>
    <row r="5">
      <c r="A5" t="inlineStr">
        <is>
          <t>BOAMP</t>
        </is>
      </c>
      <c r="B5" t="inlineStr">
        <is>
          <t>26-84191</t>
        </is>
      </c>
      <c r="C5" t="inlineStr">
        <is>
          <t>Nettoyage et entretien des locaux des bâtiments communaux</t>
        </is>
      </c>
      <c r="D5" t="inlineStr">
        <is>
          <t>Mairie d'Emerainville</t>
        </is>
      </c>
      <c r="E5" t="inlineStr">
        <is>
          <t>21770169700013</t>
        </is>
      </c>
      <c r="F5" t="inlineStr">
        <is>
          <t>217701697</t>
        </is>
      </c>
      <c r="G5" t="inlineStr"/>
      <c r="H5" t="inlineStr"/>
      <c r="I5" t="inlineStr">
        <is>
          <t>maire@mairie-emerainville.fr</t>
        </is>
      </c>
      <c r="J5" t="inlineStr">
        <is>
          <t>0169700013</t>
        </is>
      </c>
      <c r="K5" t="inlineStr"/>
      <c r="L5" t="inlineStr"/>
      <c r="M5" t="inlineStr"/>
      <c r="N5" t="inlineStr">
        <is>
          <t>77</t>
        </is>
      </c>
      <c r="O5" t="inlineStr"/>
      <c r="P5" t="inlineStr">
        <is>
          <t>Ile-de-France</t>
        </is>
      </c>
      <c r="Q5" s="15" t="n">
        <v>46264</v>
      </c>
      <c r="R5" s="15" t="n">
        <v>46293</v>
      </c>
      <c r="S5" t="inlineStr"/>
      <c r="T5" t="inlineStr">
        <is>
          <t>A_VERIFIER_BUDGET</t>
        </is>
      </c>
      <c r="U5" t="inlineStr"/>
      <c r="V5" t="inlineStr">
        <is>
          <t>non</t>
        </is>
      </c>
      <c r="W5" t="inlineStr">
        <is>
          <t>Bureaux</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https://www.boamp.fr/pages/avis/?q=idweb:26-84191</t>
        </is>
      </c>
      <c r="AE5" t="inlineStr">
        <is>
          <t>https://www.mairie-emerainville.fr/</t>
        </is>
      </c>
      <c r="AF5" t="inlineStr"/>
      <c r="AG5" t="inlineStr">
        <is>
          <t>nettoyage, proprete, entretien des locaux, hygiene des locaux</t>
        </is>
      </c>
      <c r="AH5" t="inlineStr">
        <is>
          <t>3</t>
        </is>
      </c>
      <c r="AI5" t="inlineStr">
        <is>
          <t>92</t>
        </is>
      </c>
      <c r="AJ5" t="inlineStr">
        <is>
          <t>INFO_PARTIELLE</t>
        </is>
      </c>
      <c r="AK5" t="inlineStr">
        <is>
          <t>66.0</t>
        </is>
      </c>
      <c r="AL5" s="13" t="inlineStr">
        <is>
          <t>CHAUD</t>
        </is>
      </c>
      <c r="AM5" t="inlineStr"/>
      <c r="AN5" t="inlineStr"/>
      <c r="AO5" t="inlineStr"/>
      <c r="AP5" t="inlineStr"/>
      <c r="AQ5" t="inlineStr">
        <is>
          <t>IA_BUDGET_A_VERIFIER</t>
        </is>
      </c>
      <c r="AR5" t="inlineStr">
        <is>
          <t>Verifier le budget dans l'avis source ou le DCE avant decision commerciale.</t>
        </is>
      </c>
      <c r="AS5" t="inlineStr">
        <is>
          <t>adresse, ville, budget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5" t="inlineStr">
        <is>
          <t>Verifier url_avis et DCE si disponible</t>
        </is>
      </c>
      <c r="AV5" t="inlineStr">
        <is>
          <t>LIEN_SEUL</t>
        </is>
      </c>
      <c r="AW5" t="inlineStr"/>
      <c r="AX5" t="inlineStr"/>
      <c r="AY5" t="inlineStr"/>
      <c r="AZ5" t="inlineStr"/>
      <c r="BA5" t="inlineStr"/>
      <c r="BB5" t="inlineStr">
        <is>
          <t>+35.0 nettoyage + categorie claire (4 termes) | +10 budget non affiche (a verifier) | +10 secteur cible Mairie | +9.5 delai 28 j | +1.5 dossier renseigne (3/4)</t>
        </is>
      </c>
      <c r="BC5" t="inlineStr">
        <is>
          <t>Mairie d'Emerainville publie un AO potentiellement pertinent pour CHRUTH : Nettoyage et entretien des locaux des bâtiments communaux. Zone : 77. Budget a verifier. Verifier le lien source avant contact.</t>
        </is>
      </c>
      <c r="BD5"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5"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2026-W35</t>
        </is>
      </c>
    </row>
    <row r="6">
      <c r="A6" t="inlineStr">
        <is>
          <t>BOAMP</t>
        </is>
      </c>
      <c r="B6" t="inlineStr">
        <is>
          <t>26-78821</t>
        </is>
      </c>
      <c r="C6" t="inlineStr">
        <is>
          <t>Prestations de nettoyage des locaux et des vitreries du Complexe Sportif et Culturel Camille Muffat.</t>
        </is>
      </c>
      <c r="D6" t="inlineStr">
        <is>
          <t>Seine Spport Culture</t>
        </is>
      </c>
      <c r="E6" t="inlineStr">
        <is>
          <t>99057630800011</t>
        </is>
      </c>
      <c r="F6" t="inlineStr">
        <is>
          <t>990576308</t>
        </is>
      </c>
      <c r="G6" t="inlineStr"/>
      <c r="H6" t="inlineStr"/>
      <c r="I6" t="inlineStr">
        <is>
          <t>fabien.lague@clichyhall.com</t>
        </is>
      </c>
      <c r="J6" t="inlineStr">
        <is>
          <t>0576308000</t>
        </is>
      </c>
      <c r="K6" t="inlineStr"/>
      <c r="L6" t="inlineStr"/>
      <c r="M6" t="inlineStr"/>
      <c r="N6" t="inlineStr">
        <is>
          <t>92</t>
        </is>
      </c>
      <c r="O6" t="inlineStr"/>
      <c r="P6" t="inlineStr">
        <is>
          <t>Ile-de-France</t>
        </is>
      </c>
      <c r="Q6" s="15" t="n">
        <v>46242</v>
      </c>
      <c r="R6" s="15" t="n">
        <v>46295</v>
      </c>
      <c r="S6" t="inlineStr"/>
      <c r="T6" t="inlineStr">
        <is>
          <t>A_VERIFIER_BUDGET</t>
        </is>
      </c>
      <c r="U6" t="inlineStr"/>
      <c r="V6" t="inlineStr">
        <is>
          <t>non</t>
        </is>
      </c>
      <c r="W6" t="inlineStr">
        <is>
          <t>Vitres</t>
        </is>
      </c>
      <c r="X6" t="inlineStr">
        <is>
          <t>Gymnase</t>
        </is>
      </c>
      <c r="Y6" t="inlineStr">
        <is>
          <t>SERVICES</t>
        </is>
      </c>
      <c r="Z6" t="inlineStr">
        <is>
          <t>Procédure Ouverte</t>
        </is>
      </c>
      <c r="AA6" t="inlineStr">
        <is>
          <t>Avis de marché</t>
        </is>
      </c>
      <c r="AB6" t="inlineStr">
        <is>
          <t>Nettoyage de locaux</t>
        </is>
      </c>
      <c r="AC6" t="inlineStr"/>
      <c r="AD6" s="11" t="inlineStr">
        <is>
          <t>https://www.boamp.fr/pages/avis/?q=idweb:26-78821</t>
        </is>
      </c>
      <c r="AE6" t="inlineStr">
        <is>
          <t>https://marches.maximilien.fr/entreprise/consultation/945004?orgAcronyme=a7k</t>
        </is>
      </c>
      <c r="AF6" t="inlineStr">
        <is>
          <t>https://marches.maximilien.fr/entreprise/consultation/945004?orgAcronyme=a7k</t>
        </is>
      </c>
      <c r="AG6" t="inlineStr">
        <is>
          <t>nettoyage, menage, desinfection</t>
        </is>
      </c>
      <c r="AH6" t="inlineStr">
        <is>
          <t>3</t>
        </is>
      </c>
      <c r="AI6" t="inlineStr">
        <is>
          <t>80</t>
        </is>
      </c>
      <c r="AJ6" t="inlineStr">
        <is>
          <t>INFO_PARTIELLE</t>
        </is>
      </c>
      <c r="AK6" t="inlineStr">
        <is>
          <t>65.5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adresse, ville,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6" t="inlineStr">
        <is>
          <t>Verifier url_avis et DCE si disponible</t>
        </is>
      </c>
      <c r="AV6" t="inlineStr">
        <is>
          <t>LIEN_SEUL</t>
        </is>
      </c>
      <c r="AW6" t="inlineStr"/>
      <c r="AX6" t="inlineStr"/>
      <c r="AY6" t="inlineStr"/>
      <c r="AZ6" t="inlineStr"/>
      <c r="BA6" t="inlineStr"/>
      <c r="BB6" t="inlineStr">
        <is>
          <t>+34.0 nettoyage + categorie claire (2 termes) | +10 budget non affiche (a verifier) | +10 secteur cible Gymnase | +10.0 delai 30 j | +1.5 dossier renseigne (3/4)</t>
        </is>
      </c>
      <c r="BC6" t="inlineStr">
        <is>
          <t>Seine Spport Culture publie un AO potentiellement pertinent pour CHRUTH : Prestations de nettoyage des locaux et des vitreries du Complexe Sportif et Culturel Camille Muffat.. Zone : 92. Budget a verifier. Verifier le lien source avant contact.</t>
        </is>
      </c>
      <c r="BD6"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6"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2026-W32</t>
        </is>
      </c>
    </row>
    <row r="7">
      <c r="A7" t="inlineStr">
        <is>
          <t>BOAMP</t>
        </is>
      </c>
      <c r="B7" t="inlineStr">
        <is>
          <t>26-80807</t>
        </is>
      </c>
      <c r="C7" t="inlineStr">
        <is>
          <t>PRESTATION DE NETTOYAGE, D’ENTRETIEN COURANT ET DE BLANCHISSERIE : STRUCTURES PETITE ENFANCE - MAISON DE L’ENFANCE « NICOLE CHAPEL », CRECHE COLLECTIVE « LES DAUPHINS » ET HALTE-GARDERIE « LES POUS...</t>
        </is>
      </c>
      <c r="D7" t="inlineStr">
        <is>
          <t>VILLE DE MELUN, Pôle ressources, Services à la population et Transition Ecologique</t>
        </is>
      </c>
      <c r="E7" t="inlineStr">
        <is>
          <t>21770288500013</t>
        </is>
      </c>
      <c r="F7" t="inlineStr">
        <is>
          <t>217702885</t>
        </is>
      </c>
      <c r="G7" t="inlineStr"/>
      <c r="H7" t="inlineStr"/>
      <c r="I7" t="inlineStr">
        <is>
          <t>Commande.publique@ville-melun.fr</t>
        </is>
      </c>
      <c r="J7" t="inlineStr">
        <is>
          <t>0288500013</t>
        </is>
      </c>
      <c r="K7" t="inlineStr"/>
      <c r="L7" t="inlineStr"/>
      <c r="M7" t="inlineStr"/>
      <c r="N7" t="inlineStr">
        <is>
          <t>77,91,93,75</t>
        </is>
      </c>
      <c r="O7" t="inlineStr"/>
      <c r="P7" t="inlineStr">
        <is>
          <t>Ile-de-France</t>
        </is>
      </c>
      <c r="Q7" s="15" t="n">
        <v>46250</v>
      </c>
      <c r="R7" s="15" t="n">
        <v>46294</v>
      </c>
      <c r="S7" t="inlineStr"/>
      <c r="T7" t="inlineStr">
        <is>
          <t>A_VERIFIER_BUDGET</t>
        </is>
      </c>
      <c r="U7" t="inlineStr"/>
      <c r="V7" t="inlineStr">
        <is>
          <t>non</t>
        </is>
      </c>
      <c r="W7" t="inlineStr">
        <is>
          <t>Batiments</t>
        </is>
      </c>
      <c r="X7" t="inlineStr">
        <is>
          <t>Ecole</t>
        </is>
      </c>
      <c r="Y7" t="inlineStr">
        <is>
          <t>SERVICES</t>
        </is>
      </c>
      <c r="Z7" t="inlineStr">
        <is>
          <t>Procédure Ouverte</t>
        </is>
      </c>
      <c r="AA7" t="inlineStr">
        <is>
          <t>Avis de marché</t>
        </is>
      </c>
      <c r="AB7" t="inlineStr">
        <is>
          <t>Nettoyage de locaux</t>
        </is>
      </c>
      <c r="AC7" t="inlineStr">
        <is>
          <t>['environnementaux']</t>
        </is>
      </c>
      <c r="AD7" s="11" t="inlineStr">
        <is>
          <t>https://www.boamp.fr/pages/avis/?q=idweb:26-80807</t>
        </is>
      </c>
      <c r="AE7" t="inlineStr">
        <is>
          <t>https://www.ville-melun.fr/la-ville/marches-publics</t>
        </is>
      </c>
      <c r="AF7" t="inlineStr"/>
      <c r="AG7" t="inlineStr">
        <is>
          <t>nettoyage, proprete</t>
        </is>
      </c>
      <c r="AH7" t="inlineStr">
        <is>
          <t>3</t>
        </is>
      </c>
      <c r="AI7" t="inlineStr">
        <is>
          <t>76</t>
        </is>
      </c>
      <c r="AJ7" t="inlineStr">
        <is>
          <t>INFO_PARTIELLE</t>
        </is>
      </c>
      <c r="AK7" t="inlineStr">
        <is>
          <t>65.2</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adresse, ville,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7" t="inlineStr">
        <is>
          <t>Verifier url_avis et DCE si disponible</t>
        </is>
      </c>
      <c r="AV7" t="inlineStr">
        <is>
          <t>LIEN_SEUL</t>
        </is>
      </c>
      <c r="AW7" t="inlineStr"/>
      <c r="AX7" t="inlineStr"/>
      <c r="AY7" t="inlineStr"/>
      <c r="AZ7" t="inlineStr"/>
      <c r="BA7" t="inlineStr"/>
      <c r="BB7" t="inlineStr">
        <is>
          <t>+34.0 nettoyage + categorie claire (2 termes) | +10 budget non affiche (a verifier) | +10 secteur cible Ecole | +9.8 delai 29 j | +1.5 dossier renseigne (3/4)</t>
        </is>
      </c>
      <c r="BC7"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7"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7"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2026-W33</t>
        </is>
      </c>
    </row>
    <row r="8">
      <c r="A8" t="inlineStr">
        <is>
          <t>BOAMP</t>
        </is>
      </c>
      <c r="B8" t="inlineStr">
        <is>
          <t>26-82481</t>
        </is>
      </c>
      <c r="C8" t="inlineStr">
        <is>
          <t>NETTOYAGE DES LOCAUX DANS LES ETABLISSMENTS DE LA PETITE ENFANCE</t>
        </is>
      </c>
      <c r="D8" t="inlineStr">
        <is>
          <t>Ville de Levallois</t>
        </is>
      </c>
      <c r="E8" t="inlineStr"/>
      <c r="F8" t="inlineStr"/>
      <c r="G8" t="inlineStr"/>
      <c r="H8" t="inlineStr"/>
      <c r="I8" t="inlineStr">
        <is>
          <t>publications-joue@aws-france.com</t>
        </is>
      </c>
      <c r="J8" t="inlineStr">
        <is>
          <t>+33480041260</t>
        </is>
      </c>
      <c r="K8" t="inlineStr"/>
      <c r="L8" t="inlineStr"/>
      <c r="M8" t="inlineStr"/>
      <c r="N8" t="inlineStr">
        <is>
          <t>92</t>
        </is>
      </c>
      <c r="O8" t="inlineStr"/>
      <c r="P8" t="inlineStr">
        <is>
          <t>Ile-de-France</t>
        </is>
      </c>
      <c r="Q8" s="15" t="n">
        <v>46257</v>
      </c>
      <c r="R8" s="15" t="n">
        <v>46297</v>
      </c>
      <c r="S8" t="inlineStr"/>
      <c r="T8" t="inlineStr">
        <is>
          <t>A_VERIFIER_BUDGET</t>
        </is>
      </c>
      <c r="U8" t="inlineStr"/>
      <c r="V8" t="inlineStr">
        <is>
          <t>non</t>
        </is>
      </c>
      <c r="W8" t="inlineStr">
        <is>
          <t>Batiments</t>
        </is>
      </c>
      <c r="X8" t="inlineStr">
        <is>
          <t>Mairie</t>
        </is>
      </c>
      <c r="Y8" t="inlineStr">
        <is>
          <t>SERVICES</t>
        </is>
      </c>
      <c r="Z8" t="inlineStr">
        <is>
          <t>Procédure Ouverte</t>
        </is>
      </c>
      <c r="AA8" t="inlineStr">
        <is>
          <t>Avis de marché</t>
        </is>
      </c>
      <c r="AB8" t="inlineStr">
        <is>
          <t>Nettoyage de locaux</t>
        </is>
      </c>
      <c r="AC8" t="inlineStr"/>
      <c r="AD8" s="11" t="inlineStr">
        <is>
          <t>https://www.boamp.fr/pages/avis/?q=idweb:26-82481</t>
        </is>
      </c>
      <c r="AE8" t="inlineStr">
        <is>
          <t>https://www.marches-publics.info/mpiaws/index.cfm?fuseaction=dematEnt.login&amp;amp;type=DCE&amp;amp;IDM=1863702</t>
        </is>
      </c>
      <c r="AF8" t="inlineStr">
        <is>
          <t>https://www.marches-publics.info/mpiaws/index.cfm?fuseaction=dematEnt.login&amp;amp;type=DCE&amp;amp;IDM=1863702</t>
        </is>
      </c>
      <c r="AG8" t="inlineStr">
        <is>
          <t>nettoyage</t>
        </is>
      </c>
      <c r="AH8" t="inlineStr">
        <is>
          <t>2</t>
        </is>
      </c>
      <c r="AI8" t="inlineStr">
        <is>
          <t>58</t>
        </is>
      </c>
      <c r="AJ8" t="inlineStr">
        <is>
          <t>INFO_PARTIELLE</t>
        </is>
      </c>
      <c r="AK8" t="inlineStr">
        <is>
          <t>65.0</t>
        </is>
      </c>
      <c r="AL8" s="13" t="inlineStr">
        <is>
          <t>CHAUD</t>
        </is>
      </c>
      <c r="AM8" t="inlineStr"/>
      <c r="AN8" t="inlineStr"/>
      <c r="AO8" t="inlineStr"/>
      <c r="AP8" t="inlineStr"/>
      <c r="AQ8" t="inlineStr">
        <is>
          <t>IA_BUDGET_A_VERIFIER</t>
        </is>
      </c>
      <c r="AR8" t="inlineStr">
        <is>
          <t>Verifier le budget dans l'avis source ou le DCE avant decision commerciale.</t>
        </is>
      </c>
      <c r="AS8" t="inlineStr">
        <is>
          <t>SIRET, adresse, ville, budget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8" t="inlineStr">
        <is>
          <t>Verifier url_avis et DCE si disponible</t>
        </is>
      </c>
      <c r="AV8" t="inlineStr">
        <is>
          <t>LIEN_SEUL</t>
        </is>
      </c>
      <c r="AW8" t="inlineStr"/>
      <c r="AX8" t="inlineStr"/>
      <c r="AY8" t="inlineStr"/>
      <c r="AZ8" t="inlineStr"/>
      <c r="BA8" t="inlineStr"/>
      <c r="BB8" t="inlineStr">
        <is>
          <t>+33.5 nettoyage + categorie claire (1 termes) | +10 budget non affiche (a verifier) | +10 secteur cible Mairie | +10.0 delai 32 j | +1.5 dossier renseigne (3/4)</t>
        </is>
      </c>
      <c r="BC8" t="inlineStr">
        <is>
          <t>Ville de Levallois publie un AO potentiellement pertinent pour CHRUTH : NETTOYAGE DES LOCAUX DANS LES ETABLISSMENTS DE LA PETITE ENFANCE. Zone : 92. Budget a verifier. Verifier le lien source avant contact.</t>
        </is>
      </c>
      <c r="BD8"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8"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2026-W34</t>
        </is>
      </c>
    </row>
    <row r="9">
      <c r="A9" t="inlineStr">
        <is>
          <t>BOAMP</t>
        </is>
      </c>
      <c r="B9" t="inlineStr">
        <is>
          <t>26-71198</t>
        </is>
      </c>
      <c r="C9" t="inlineStr">
        <is>
          <t>CONCESSION DE SERVICE PUBLIC 
PORTANT SUR LA GESTION ET L'EXPLOITATION DES MARCHES FORAINS DE LA VILLE DE MONTROUGE</t>
        </is>
      </c>
      <c r="D9" t="inlineStr">
        <is>
          <t>Ville de Montrouge</t>
        </is>
      </c>
      <c r="E9" t="inlineStr"/>
      <c r="F9" t="inlineStr"/>
      <c r="G9" t="inlineStr">
        <is>
          <t>Le Bassard</t>
        </is>
      </c>
      <c r="H9" t="inlineStr"/>
      <c r="I9" t="inlineStr">
        <is>
          <t>marches@ville-montrouge.fr</t>
        </is>
      </c>
      <c r="J9" t="inlineStr">
        <is>
          <t>0146127303</t>
        </is>
      </c>
      <c r="K9" t="inlineStr"/>
      <c r="L9" t="inlineStr">
        <is>
          <t>92121</t>
        </is>
      </c>
      <c r="M9" t="inlineStr">
        <is>
          <t>Montrouge cedex</t>
        </is>
      </c>
      <c r="N9" t="inlineStr">
        <is>
          <t>92,75</t>
        </is>
      </c>
      <c r="O9" t="inlineStr"/>
      <c r="P9" t="inlineStr">
        <is>
          <t>Ile-de-France</t>
        </is>
      </c>
      <c r="Q9" s="15" t="n">
        <v>46219</v>
      </c>
      <c r="R9" s="15" t="n">
        <v>46295</v>
      </c>
      <c r="S9" t="inlineStr"/>
      <c r="T9" t="inlineStr">
        <is>
          <t>A_VERIFIER_BUDGET</t>
        </is>
      </c>
      <c r="U9" t="inlineStr"/>
      <c r="V9" t="inlineStr">
        <is>
          <t>non</t>
        </is>
      </c>
      <c r="W9" t="inlineStr">
        <is>
          <t>Batiments</t>
        </is>
      </c>
      <c r="X9" t="inlineStr">
        <is>
          <t>Mairie</t>
        </is>
      </c>
      <c r="Y9" t="inlineStr">
        <is>
          <t>SERVICES</t>
        </is>
      </c>
      <c r="Z9" t="inlineStr">
        <is>
          <t>Procédure NC</t>
        </is>
      </c>
      <c r="AA9" t="inlineStr">
        <is>
          <t>Avis de marché</t>
        </is>
      </c>
      <c r="AB9" t="inlineStr">
        <is>
          <t>Denrées alimentaires</t>
        </is>
      </c>
      <c r="AC9" t="inlineStr">
        <is>
          <t>['sociaux', 'environnementaux']</t>
        </is>
      </c>
      <c r="AD9" s="11" t="inlineStr">
        <is>
          <t>https://www.boamp.fr/pages/avis/?q=idweb:26-71198</t>
        </is>
      </c>
      <c r="AE9" t="inlineStr">
        <is>
          <t>https://www.achatpublic.com/sdm/ent2/gen/index.jsp</t>
        </is>
      </c>
      <c r="AF9" t="inlineStr">
        <is>
          <t>https://www.achatpublic.com/sdm/ent2/gen/index.jsp</t>
        </is>
      </c>
      <c r="AG9" t="inlineStr">
        <is>
          <t>nettoyage, proprete</t>
        </is>
      </c>
      <c r="AH9" t="inlineStr">
        <is>
          <t>4</t>
        </is>
      </c>
      <c r="AI9" t="inlineStr">
        <is>
          <t>86</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+10 secteur cible Mairie | +10 delai confortable 64j</t>
        </is>
      </c>
      <c r="BC9"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9"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9"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26-83560</t>
        </is>
      </c>
      <c r="C10" t="inlineStr">
        <is>
          <t>Prestations de nettoyage des bâtiments communaux de la ville de Sceaux 2027-2030</t>
        </is>
      </c>
      <c r="D10" t="inlineStr">
        <is>
          <t>ville de sceaux</t>
        </is>
      </c>
      <c r="E10" t="inlineStr">
        <is>
          <t>21920071400018</t>
        </is>
      </c>
      <c r="F10" t="inlineStr">
        <is>
          <t>219200714</t>
        </is>
      </c>
      <c r="G10" t="inlineStr"/>
      <c r="H10" t="inlineStr"/>
      <c r="I10" t="inlineStr">
        <is>
          <t>achats@sceaux.fr</t>
        </is>
      </c>
      <c r="J10" t="inlineStr">
        <is>
          <t>+33 141133300</t>
        </is>
      </c>
      <c r="K10" t="inlineStr"/>
      <c r="L10" t="inlineStr"/>
      <c r="M10" t="inlineStr"/>
      <c r="N10" t="inlineStr">
        <is>
          <t>92</t>
        </is>
      </c>
      <c r="O10" t="inlineStr"/>
      <c r="P10" t="inlineStr">
        <is>
          <t>Ile-de-France</t>
        </is>
      </c>
      <c r="Q10" s="15" t="n">
        <v>46262</v>
      </c>
      <c r="R10" s="15" t="n">
        <v>46294</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t>
        </is>
      </c>
      <c r="AC10" t="inlineStr"/>
      <c r="AD10" s="11" t="inlineStr">
        <is>
          <t>https://www.boamp.fr/pages/avis/?q=idweb:26-83560</t>
        </is>
      </c>
      <c r="AE10" t="inlineStr">
        <is>
          <t>https://marches.maximilien.fr/entreprise/consultation/945889?orgAcronyme=d7t</t>
        </is>
      </c>
      <c r="AF10" t="inlineStr">
        <is>
          <t>https://marches.maximilien.fr/entreprise/consultation/945889?orgAcronyme=d7t</t>
        </is>
      </c>
      <c r="AG10" t="inlineStr">
        <is>
          <t>nettoyage</t>
        </is>
      </c>
      <c r="AH10" t="inlineStr">
        <is>
          <t>3</t>
        </is>
      </c>
      <c r="AI10" t="inlineStr">
        <is>
          <t>68</t>
        </is>
      </c>
      <c r="AJ10" t="inlineStr">
        <is>
          <t>INFO_PARTIELLE</t>
        </is>
      </c>
      <c r="AK10" t="inlineStr">
        <is>
          <t>64.8</t>
        </is>
      </c>
      <c r="AL10" t="inlineStr">
        <is>
          <t>TIEDE</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26-83560. Objet: Prestations de nettoyage des bâtiments communaux de la ville de Sceaux 2027-2030. Acheteur: ville de sceaux. Lien: https://www.boamp.fr/pages/avis/?q=idweb:26-83560.</t>
        </is>
      </c>
      <c r="AU10" t="inlineStr">
        <is>
          <t>Verifier url_avis et DCE si disponible</t>
        </is>
      </c>
      <c r="AV10" t="inlineStr">
        <is>
          <t>LIEN_SEUL</t>
        </is>
      </c>
      <c r="AW10" t="inlineStr"/>
      <c r="AX10" t="inlineStr"/>
      <c r="AY10" t="inlineStr"/>
      <c r="AZ10" t="inlineStr"/>
      <c r="BA10" t="inlineStr"/>
      <c r="BB10" t="inlineStr">
        <is>
          <t>+33.5 nettoyage + categorie claire (1 termes) | +10 budget non affiche (a verifier) | +10 secteur cible Mairie | +9.8 delai 29 j | +1.5 dossier renseigne (3/4)</t>
        </is>
      </c>
      <c r="BC10" t="inlineStr">
        <is>
          <t>ville de sceaux publie un AO potentiellement pertinent pour CHRUTH : Prestations de nettoyage des bâtiments communaux de la ville de Sceaux 2027-2030. Zone : 92. Budget a verifier. Verifier le lien source avant contact.</t>
        </is>
      </c>
      <c r="BD10" t="inlineStr">
        <is>
          <t>Bonjour,
Je me permets de vous contacter au sujet de votre appel d'offres : Prestations de nettoyage des bâtiments communaux de la ville de Sceaux 2027-2030.
CHRUTH accompagne les structures publiques et privées sur les besoins de nettoyage, d'entretien des locaux et d'organisation de prestations de service.
Serait-il possible d'échanger rapidement afin de vérifier les modalités de réponse et les attentes de ville de sceaux ?
Cordialement,</t>
        </is>
      </c>
      <c r="BE10" t="inlineStr">
        <is>
          <t>Bonjour, je vous appelle concernant un appel d'offres publié par ville de sceaux.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2026-W35</t>
        </is>
      </c>
    </row>
    <row r="11">
      <c r="A11" t="inlineStr">
        <is>
          <t>BOAMP</t>
        </is>
      </c>
      <c r="B11" t="inlineStr">
        <is>
          <t>26-80351</t>
        </is>
      </c>
      <c r="C11" t="inlineStr">
        <is>
          <t>Prestations de nettoyage des vitres de l'ensemble des bâtiments communaux de la ville de Sarcelles</t>
        </is>
      </c>
      <c r="D11" t="inlineStr">
        <is>
          <t>Ville de Sarcelles</t>
        </is>
      </c>
      <c r="E11" t="inlineStr">
        <is>
          <t>21950585600019</t>
        </is>
      </c>
      <c r="F11" t="inlineStr">
        <is>
          <t>219505856</t>
        </is>
      </c>
      <c r="G11" t="inlineStr"/>
      <c r="H11" t="inlineStr"/>
      <c r="I11" t="inlineStr">
        <is>
          <t>commande.publique@sarcelles.fr</t>
        </is>
      </c>
      <c r="J11" t="inlineStr">
        <is>
          <t>0585600019</t>
        </is>
      </c>
      <c r="K11" t="inlineStr"/>
      <c r="L11" t="inlineStr"/>
      <c r="M11" t="inlineStr"/>
      <c r="N11" t="inlineStr">
        <is>
          <t>75,77,78,91,92,93,94,95</t>
        </is>
      </c>
      <c r="O11" t="inlineStr"/>
      <c r="P11" t="inlineStr">
        <is>
          <t>Ile-de-France</t>
        </is>
      </c>
      <c r="Q11" s="15" t="n">
        <v>46248</v>
      </c>
      <c r="R11" s="15" t="n">
        <v>46290</v>
      </c>
      <c r="S11" t="inlineStr"/>
      <c r="T11" t="inlineStr">
        <is>
          <t>A_VERIFIER_BUDGET</t>
        </is>
      </c>
      <c r="U11" t="inlineStr"/>
      <c r="V11" t="inlineStr">
        <is>
          <t>non</t>
        </is>
      </c>
      <c r="W11" t="inlineStr">
        <is>
          <t>Vitres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https://www.boamp.fr/pages/avis/?q=idweb:26-80351</t>
        </is>
      </c>
      <c r="AE11" t="inlineStr">
        <is>
          <t>https://sarcelles.e-marchespublics.com</t>
        </is>
      </c>
      <c r="AF11" t="inlineStr">
        <is>
          <t>https://sarcelles.e-marchespublics.com</t>
        </is>
      </c>
      <c r="AG11" t="inlineStr">
        <is>
          <t>nettoyage, proprete, proprete des locaux</t>
        </is>
      </c>
      <c r="AH11" t="inlineStr">
        <is>
          <t>3</t>
        </is>
      </c>
      <c r="AI11" t="inlineStr">
        <is>
          <t>80</t>
        </is>
      </c>
      <c r="AJ11" t="inlineStr">
        <is>
          <t>INFO_PARTIELLE</t>
        </is>
      </c>
      <c r="AK11" t="inlineStr">
        <is>
          <t>64.2</t>
        </is>
      </c>
      <c r="AL11" t="inlineStr">
        <is>
          <t>TIEDE</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26-80351. Objet: Prestations de nettoyage des vitres de l'ensemble des bâtiments communaux de la ville de Sarcelles. Acheteur: Ville de Sarcelles. Lien: https://www.boamp.fr/pages/avis/?q=idweb:26-80351.</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+10 secteur cible Mairie | +8.8 delai 25 j | +1.5 dossier renseigne (3/4)</t>
        </is>
      </c>
      <c r="BC11" t="inlineStr">
        <is>
          <t>Ville de Sarcelles publie un AO potentiellement pertinent pour CHRUTH : Prestations de nettoyage des vitres de l'ensemble des bâtiments communaux de la ville de Sarcelles. Zone : 75,77,78,91,92,93,94,95. Budget a verifier. Verifier le lien source avant contact.</t>
        </is>
      </c>
      <c r="BD11" t="inlineStr">
        <is>
          <t>Bonjour,
Je me permets de vous contacter au sujet de votre appel d'offres : Prestations de nettoyage des vitres de l'ensemble des bâtiments communaux de la ville de Sarcelles.
CHRUTH accompagne les structures publiques et privées sur les besoins de nettoyage, d'entretien des locaux et d'organisation de prestations de service.
Serait-il possible d'échanger rapidement afin de vérifier les modalités de réponse et les attentes de Ville de Sarcelles ?
Cordialement,</t>
        </is>
      </c>
      <c r="BE11" t="inlineStr">
        <is>
          <t>Bonjour, je vous appelle concernant un appel d'offres publié par Ville de Sarcelles.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26-81760</t>
        </is>
      </c>
      <c r="C12" t="inlineStr">
        <is>
          <t>Marché de prestations de service relatif au nettoyage des bâtiments municipaux : locaux et vitrerie.</t>
        </is>
      </c>
      <c r="D12" t="inlineStr">
        <is>
          <t>Commune de Villepreux</t>
        </is>
      </c>
      <c r="E12" t="inlineStr">
        <is>
          <t>21780674400108</t>
        </is>
      </c>
      <c r="F12" t="inlineStr">
        <is>
          <t>217806744</t>
        </is>
      </c>
      <c r="G12" t="inlineStr"/>
      <c r="H12" t="inlineStr"/>
      <c r="I12" t="inlineStr">
        <is>
          <t>achats@villepreux.fr</t>
        </is>
      </c>
      <c r="J12" t="inlineStr">
        <is>
          <t>0674400108</t>
        </is>
      </c>
      <c r="K12" t="inlineStr"/>
      <c r="L12" t="inlineStr"/>
      <c r="M12" t="inlineStr"/>
      <c r="N12" t="inlineStr">
        <is>
          <t>78</t>
        </is>
      </c>
      <c r="O12" t="inlineStr"/>
      <c r="P12" t="inlineStr">
        <is>
          <t>Ile-de-France</t>
        </is>
      </c>
      <c r="Q12" s="15" t="n">
        <v>46255</v>
      </c>
      <c r="R12" s="15" t="n">
        <v>46283</v>
      </c>
      <c r="S12" t="inlineStr"/>
      <c r="T12" t="inlineStr">
        <is>
          <t>A_VERIFIER_BUDGET</t>
        </is>
      </c>
      <c r="U12" t="inlineStr"/>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c r="AD12" s="11" t="inlineStr">
        <is>
          <t>https://www.boamp.fr/pages/avis/?q=idweb:26-81760</t>
        </is>
      </c>
      <c r="AE12" t="inlineStr">
        <is>
          <t>https://www.achatpublic.com/sdm/ent/gen/ent_detail.do?PCSLID=CSL_2026_B11a--YMRc</t>
        </is>
      </c>
      <c r="AF12" t="inlineStr">
        <is>
          <t>https://www.achatpublic.com/sdm/ent/gen/ent_detail.do?PCSLID=CSL_2026_B11a--YMRc</t>
        </is>
      </c>
      <c r="AG12" t="inlineStr">
        <is>
          <t>nettoyage</t>
        </is>
      </c>
      <c r="AH12" t="inlineStr">
        <is>
          <t>3</t>
        </is>
      </c>
      <c r="AI12" t="inlineStr">
        <is>
          <t>68</t>
        </is>
      </c>
      <c r="AJ12" t="inlineStr">
        <is>
          <t>INFO_PARTIELLE</t>
        </is>
      </c>
      <c r="AK12" t="inlineStr">
        <is>
          <t>62.0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26-81760. Objet: Marché de prestations de service relatif au nettoyage des bâtiments municipaux : locaux et vitrerie.. Acheteur: Commune de Villepreux. Lien: https://www.boamp.fr/pages/avis/?q=idweb:26-81760.</t>
        </is>
      </c>
      <c r="AU12" t="inlineStr">
        <is>
          <t>Verifier url_avis et DCE si disponible</t>
        </is>
      </c>
      <c r="AV12" t="inlineStr">
        <is>
          <t>LIEN_SEUL</t>
        </is>
      </c>
      <c r="AW12" t="inlineStr"/>
      <c r="AX12" t="inlineStr"/>
      <c r="AY12" t="inlineStr"/>
      <c r="AZ12" t="inlineStr"/>
      <c r="BA12" t="inlineStr"/>
      <c r="BB12" t="inlineStr">
        <is>
          <t>+33.5 nettoyage + categorie claire (1 termes) | +10 budget non affiche (a verifier) | +10 secteur cible Mairie | +7.0 delai 18 j | +1.5 dossier renseigne (3/4)</t>
        </is>
      </c>
      <c r="BC12" t="inlineStr">
        <is>
          <t>Commune de Villepreux publie un AO potentiellement pertinent pour CHRUTH : Marché de prestations de service relatif au nettoyage des bâtiments municipaux : locaux et vitrerie.. Zone : 78. Budget a verifier. Verifier le lien source avant contact.</t>
        </is>
      </c>
      <c r="BD12" t="inlineStr">
        <is>
          <t>Bonjour,
Je me permets de vous contacter au sujet de votre appel d'offres : Marché de prestations de service relatif au nettoyage des bâtiments municipaux : locaux et vitrerie..
CHRUTH accompagne les structures publiques et privées sur les besoins de nettoyage, d'entretien des locaux et d'organisation de prestations de service.
Serait-il possible d'échanger rapidement afin de vérifier les modalités de réponse et les attentes de Commune de Villepreux ?
Cordialement,</t>
        </is>
      </c>
      <c r="BE12" t="inlineStr">
        <is>
          <t>Bonjour, je vous appelle concernant un appel d'offres publié par Commune de Villepreux.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2026-W34</t>
        </is>
      </c>
    </row>
    <row r="13">
      <c r="A13" t="inlineStr">
        <is>
          <t>BOAMP</t>
        </is>
      </c>
      <c r="B13" t="inlineStr">
        <is>
          <t>26-83553</t>
        </is>
      </c>
      <c r="C13" t="inlineStr">
        <is>
          <t>Fourniture et prestations associées pour l'entretien de véhicules thermiques et électriques et l'équipement d'ateliers mécaniques</t>
        </is>
      </c>
      <c r="D13" t="inlineStr">
        <is>
          <t>Ville de Sevran</t>
        </is>
      </c>
      <c r="E13" t="inlineStr"/>
      <c r="F13" t="inlineStr"/>
      <c r="G13" t="inlineStr"/>
      <c r="H13" t="inlineStr"/>
      <c r="I13" t="inlineStr">
        <is>
          <t>publications-joue@aws-france.com</t>
        </is>
      </c>
      <c r="J13" t="inlineStr">
        <is>
          <t>+33480041260</t>
        </is>
      </c>
      <c r="K13" t="inlineStr"/>
      <c r="L13" t="inlineStr"/>
      <c r="M13" t="inlineStr"/>
      <c r="N13" t="inlineStr">
        <is>
          <t>93</t>
        </is>
      </c>
      <c r="O13" t="inlineStr"/>
      <c r="P13" t="inlineStr">
        <is>
          <t>Ile-de-France</t>
        </is>
      </c>
      <c r="Q13" s="15" t="n">
        <v>46262</v>
      </c>
      <c r="R13" s="15" t="n">
        <v>46295</v>
      </c>
      <c r="S13" t="inlineStr"/>
      <c r="T13" t="inlineStr">
        <is>
          <t>A_VERIFIER_BUDGET</t>
        </is>
      </c>
      <c r="U13" t="inlineStr"/>
      <c r="V13" t="inlineStr">
        <is>
          <t>non</t>
        </is>
      </c>
      <c r="W13" t="inlineStr">
        <is>
          <t>Mixte/Autre</t>
        </is>
      </c>
      <c r="X13" t="inlineStr">
        <is>
          <t>Mairie</t>
        </is>
      </c>
      <c r="Y13" t="inlineStr">
        <is>
          <t>FOURNITURES</t>
        </is>
      </c>
      <c r="Z13" t="inlineStr">
        <is>
          <t>Procédure Ouverte</t>
        </is>
      </c>
      <c r="AA13" t="inlineStr">
        <is>
          <t>Avis de marché</t>
        </is>
      </c>
      <c r="AB13" t="inlineStr">
        <is>
          <t>Mécanique, Véhicules</t>
        </is>
      </c>
      <c r="AC13" t="inlineStr"/>
      <c r="AD13" s="11" t="inlineStr">
        <is>
          <t>https://www.boamp.fr/pages/avis/?q=idweb:26-83553</t>
        </is>
      </c>
      <c r="AE13" t="inlineStr">
        <is>
          <t>https://www.marches-publics.info</t>
        </is>
      </c>
      <c r="AF13" t="inlineStr">
        <is>
          <t>https://www.marches-publics.info</t>
        </is>
      </c>
      <c r="AG13" t="inlineStr">
        <is>
          <t>nettoyage</t>
        </is>
      </c>
      <c r="AH13" t="inlineStr">
        <is>
          <t>2</t>
        </is>
      </c>
      <c r="AI13" t="inlineStr">
        <is>
          <t>58</t>
        </is>
      </c>
      <c r="AJ13" t="inlineStr">
        <is>
          <t>INFO_PARTIELLE</t>
        </is>
      </c>
      <c r="AK13" t="inlineStr">
        <is>
          <t>60.0</t>
        </is>
      </c>
      <c r="AL13" t="inlineStr">
        <is>
          <t>TIEDE</t>
        </is>
      </c>
      <c r="AM13" t="inlineStr"/>
      <c r="AN13" t="inlineStr"/>
      <c r="AO13" t="inlineStr"/>
      <c r="AP13" t="inlineStr"/>
      <c r="AQ13" t="inlineStr">
        <is>
          <t>IA_BUDGET_A_VERIFIER</t>
        </is>
      </c>
      <c r="AR13" t="inlineStr">
        <is>
          <t>Verifier le budget dans l'avis source ou le DCE avant decision commerciale.</t>
        </is>
      </c>
      <c r="AS13" t="inlineStr">
        <is>
          <t>SIRET, 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26-83553. Objet: Fourniture et prestations associées pour l'entretien de véhicules thermiques et électriques et l'équipement d'ateliers mécaniques. Acheteur: Ville de Sevran. Lien: https://www.boamp.fr/pages/avis/?q=idweb:26-83553.</t>
        </is>
      </c>
      <c r="AU13" t="inlineStr">
        <is>
          <t>Verifier url_avis et DCE si disponible</t>
        </is>
      </c>
      <c r="AV13" t="inlineStr">
        <is>
          <t>LIEN_SEUL</t>
        </is>
      </c>
      <c r="AW13" t="inlineStr"/>
      <c r="AX13" t="inlineStr"/>
      <c r="AY13" t="inlineStr"/>
      <c r="AZ13" t="inlineStr"/>
      <c r="BA13" t="inlineStr"/>
      <c r="BB13" t="inlineStr">
        <is>
          <t>+28.5 mots-cles nettoyage forts (1 termes) | +10 budget non affiche (a verifier) | +10 secteur cible Mairie | +10.0 delai 30 j | +1.5 dossier renseigne (3/4)</t>
        </is>
      </c>
      <c r="BC13" t="inlineStr">
        <is>
          <t>Ville de Sevran publie un AO potentiellement pertinent pour CHRUTH : Fourniture et prestations associées pour l'entretien de véhicules thermiques et électriques et l'équipement d'ateliers mécaniques. Zone : 93. Budget a verifier. Verifier le lien source avant contact.</t>
        </is>
      </c>
      <c r="BD13" t="inlineStr">
        <is>
          <t>Bonjour,
Je me permets de vous contacter au sujet de votre appel d'offres : Fourniture et prestations associées pour l'entretien de véhicules thermiques et électriques et l'équipement d'ateliers mécaniques.
CHRUTH accompagne les structures publiques et privées sur les besoins de nettoyage, d'entretien des locaux et d'organisation de prestations de service.
Serait-il possible d'échanger rapidement afin de vérifier les modalités de réponse et les attentes de Ville de Sevran ?
Cordialement,</t>
        </is>
      </c>
      <c r="BE13" t="inlineStr">
        <is>
          <t>Bonjour, je vous appelle concernant un appel d'offres publié par Ville de Sevran.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2026-W35</t>
        </is>
      </c>
    </row>
    <row r="14">
      <c r="A14" t="inlineStr">
        <is>
          <t>BOAMP</t>
        </is>
      </c>
      <c r="B14" t="inlineStr">
        <is>
          <t>26-72948</t>
        </is>
      </c>
      <c r="C14" t="inlineStr">
        <is>
          <t>26MF026 - Fourniture d'appareils ménagers et d'équipements professionnels</t>
        </is>
      </c>
      <c r="D14" t="inlineStr">
        <is>
          <t>Ville de Plaisir</t>
        </is>
      </c>
      <c r="E14" t="inlineStr">
        <is>
          <t>21780490500016</t>
        </is>
      </c>
      <c r="F14" t="inlineStr">
        <is>
          <t>217804905</t>
        </is>
      </c>
      <c r="G14" t="inlineStr"/>
      <c r="H14" t="inlineStr"/>
      <c r="I14" t="inlineStr">
        <is>
          <t>vermuseau-ma@ville-plaisir.fr</t>
        </is>
      </c>
      <c r="J14" t="inlineStr">
        <is>
          <t>0490500016</t>
        </is>
      </c>
      <c r="K14" t="inlineStr"/>
      <c r="L14" t="inlineStr"/>
      <c r="M14" t="inlineStr"/>
      <c r="N14" t="inlineStr">
        <is>
          <t>78</t>
        </is>
      </c>
      <c r="O14" t="inlineStr"/>
      <c r="P14" t="inlineStr">
        <is>
          <t>Ile-de-France</t>
        </is>
      </c>
      <c r="Q14" s="15" t="n">
        <v>46226</v>
      </c>
      <c r="R14" s="15" t="n">
        <v>46261</v>
      </c>
      <c r="S14" t="inlineStr"/>
      <c r="T14" t="inlineStr">
        <is>
          <t>A_VERIFIER_BUDGET</t>
        </is>
      </c>
      <c r="U14" t="inlineStr"/>
      <c r="V14" t="inlineStr">
        <is>
          <t>non</t>
        </is>
      </c>
      <c r="W14" t="inlineStr">
        <is>
          <t>Mixte/Autre</t>
        </is>
      </c>
      <c r="X14" t="inlineStr">
        <is>
          <t>Mairie</t>
        </is>
      </c>
      <c r="Y14" t="inlineStr">
        <is>
          <t>FOURNITURES</t>
        </is>
      </c>
      <c r="Z14" t="inlineStr">
        <is>
          <t>Procédure Ouverte</t>
        </is>
      </c>
      <c r="AA14" t="inlineStr">
        <is>
          <t>Avis de marché</t>
        </is>
      </c>
      <c r="AB14" t="inlineStr">
        <is>
          <t>Electroménager</t>
        </is>
      </c>
      <c r="AC14" t="inlineStr"/>
      <c r="AD14" s="11" t="inlineStr">
        <is>
          <t>https://www.boamp.fr/pages/avis/?q=idweb:26-72948</t>
        </is>
      </c>
      <c r="AE14" t="inlineStr">
        <is>
          <t>https://ville-plaisir.e-marches-publics.com</t>
        </is>
      </c>
      <c r="AF14" t="inlineStr"/>
      <c r="AG14" t="inlineStr">
        <is>
          <t>nettoyage</t>
        </is>
      </c>
      <c r="AH14" t="inlineStr">
        <is>
          <t>3</t>
        </is>
      </c>
      <c r="AI14" t="inlineStr">
        <is>
          <t>68</t>
        </is>
      </c>
      <c r="AJ14" t="inlineStr">
        <is>
          <t>INFO_PARTIELLE</t>
        </is>
      </c>
      <c r="AK14" t="inlineStr">
        <is>
          <t>60</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14" t="inlineStr">
        <is>
          <t>Verifier url_avis et DCE si disponible</t>
        </is>
      </c>
      <c r="AV14" t="inlineStr">
        <is>
          <t>LIEN_SEUL</t>
        </is>
      </c>
      <c r="AW14" t="inlineStr"/>
      <c r="AX14" t="inlineStr"/>
      <c r="AY14" t="inlineStr"/>
      <c r="AZ14" t="inlineStr"/>
      <c r="BA14" t="inlineStr"/>
      <c r="BB14" t="inlineStr">
        <is>
          <t>+30 mots-cles nettoyage forts | +10 budget non affiche (a verifier) | +10 secteur cible Mairie | +10 delai confortable 30j</t>
        </is>
      </c>
      <c r="BC14" t="inlineStr">
        <is>
          <t>Ville de Plaisir publie un AO potentiellement pertinent pour CHRUTH : 26MF026 - Fourniture d'appareils ménagers et d'équipements professionnels. Zone : 78. Budget a verifier. Verifier le lien source avant contact.</t>
        </is>
      </c>
      <c r="BD14"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14"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2026-W30</t>
        </is>
      </c>
    </row>
    <row r="15">
      <c r="A15" t="inlineStr">
        <is>
          <t>BOAMP</t>
        </is>
      </c>
      <c r="B15" t="inlineStr">
        <is>
          <t>26-71986</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46224</v>
      </c>
      <c r="R15" s="15" t="n">
        <v>46240</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https://www.boamp.fr/pages/avis/?q=idweb:26-71986</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60</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+5 delai court 9j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2026-W30</t>
        </is>
      </c>
    </row>
    <row r="16">
      <c r="A16" t="inlineStr">
        <is>
          <t>BOAMP</t>
        </is>
      </c>
      <c r="B16" t="inlineStr">
        <is>
          <t>26-79275</t>
        </is>
      </c>
      <c r="C16" t="inlineStr">
        <is>
          <t>NETTOYAGE, COLLECTE, EVACUATION ET TRAITEMENT DES DECHETS DU MARCHE COMMUNAL</t>
        </is>
      </c>
      <c r="D16" t="inlineStr">
        <is>
          <t>Commune de Chanteloup les Vignes</t>
        </is>
      </c>
      <c r="E16" t="inlineStr">
        <is>
          <t>21780138000015</t>
        </is>
      </c>
      <c r="F16" t="inlineStr">
        <is>
          <t>217801380</t>
        </is>
      </c>
      <c r="G16" t="inlineStr"/>
      <c r="H16" t="inlineStr"/>
      <c r="I16" t="inlineStr">
        <is>
          <t>commandespubliques@chanteloup-les-vignes.fr</t>
        </is>
      </c>
      <c r="J16" t="inlineStr">
        <is>
          <t>0138000015</t>
        </is>
      </c>
      <c r="K16" t="inlineStr"/>
      <c r="L16" t="inlineStr"/>
      <c r="M16" t="inlineStr"/>
      <c r="N16" t="inlineStr">
        <is>
          <t>78</t>
        </is>
      </c>
      <c r="O16" t="inlineStr"/>
      <c r="P16" t="inlineStr">
        <is>
          <t>Ile-de-France</t>
        </is>
      </c>
      <c r="Q16" s="15" t="n">
        <v>46243</v>
      </c>
      <c r="R16" s="15" t="n">
        <v>46283</v>
      </c>
      <c r="S16" t="inlineStr"/>
      <c r="T16" t="inlineStr">
        <is>
          <t>A_VERIFIER_BUDGET</t>
        </is>
      </c>
      <c r="U16" t="inlineStr"/>
      <c r="V16" t="inlineStr">
        <is>
          <t>non</t>
        </is>
      </c>
      <c r="W16" t="inlineStr">
        <is>
          <t>Mixte/Autre</t>
        </is>
      </c>
      <c r="X16" t="inlineStr">
        <is>
          <t>Mairie</t>
        </is>
      </c>
      <c r="Y16" t="inlineStr">
        <is>
          <t>SERVICES</t>
        </is>
      </c>
      <c r="Z16" t="inlineStr">
        <is>
          <t>Procédure Ouverte</t>
        </is>
      </c>
      <c r="AA16" t="inlineStr">
        <is>
          <t>Avis de marché</t>
        </is>
      </c>
      <c r="AB16" t="inlineStr">
        <is>
          <t>Déchets non ménagers (prestations)</t>
        </is>
      </c>
      <c r="AC16" t="inlineStr">
        <is>
          <t>['environnementaux']</t>
        </is>
      </c>
      <c r="AD16" s="11" t="inlineStr">
        <is>
          <t>https://www.boamp.fr/pages/avis/?q=idweb:26-79275</t>
        </is>
      </c>
      <c r="AE16" t="inlineStr">
        <is>
          <t>https://www.achatpublic.com/sdm/ent/gen/ent_detail.do?PCSLID=CSL_2026_-fifweNbVP</t>
        </is>
      </c>
      <c r="AF16" t="inlineStr">
        <is>
          <t>https://www.achatpublic.com/sdm/ent/gen/ent_detail.do?PCSLID=CSL_2026_-fifweNbVP</t>
        </is>
      </c>
      <c r="AG16" t="inlineStr">
        <is>
          <t>nettoyage</t>
        </is>
      </c>
      <c r="AH16" t="inlineStr">
        <is>
          <t>3</t>
        </is>
      </c>
      <c r="AI16" t="inlineStr">
        <is>
          <t>68</t>
        </is>
      </c>
      <c r="AJ16" t="inlineStr">
        <is>
          <t>INFO_PARTIELLE</t>
        </is>
      </c>
      <c r="AK16" t="inlineStr">
        <is>
          <t>57.0</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26-79275. Objet: NETTOYAGE, COLLECTE, EVACUATION ET TRAITEMENT DES DECHETS DU MARCHE COMMUNAL. Acheteur: Commune de Chanteloup les Vignes. Lien: https://www.boamp.fr/pages/avis/?q=idweb:26-79275.</t>
        </is>
      </c>
      <c r="AU16" t="inlineStr">
        <is>
          <t>Verifier url_avis et DCE si disponible</t>
        </is>
      </c>
      <c r="AV16" t="inlineStr">
        <is>
          <t>LIEN_SEUL</t>
        </is>
      </c>
      <c r="AW16" t="inlineStr"/>
      <c r="AX16" t="inlineStr"/>
      <c r="AY16" t="inlineStr"/>
      <c r="AZ16" t="inlineStr"/>
      <c r="BA16" t="inlineStr"/>
      <c r="BB16" t="inlineStr">
        <is>
          <t>+28.5 mots-cles nettoyage forts (1 termes) | +10 budget non affiche (a verifier) | +10 secteur cible Mairie | +7.0 delai 18 j | +1.5 dossier renseigne (3/4)</t>
        </is>
      </c>
      <c r="BC16" t="inlineStr">
        <is>
          <t>Commune de Chanteloup les Vignes publie un AO potentiellement pertinent pour CHRUTH : NETTOYAGE, COLLECTE, EVACUATION ET TRAITEMENT DES DECHETS DU MARCHE COMMUNAL. Zone : 78. Budget a verifier. Verifier le lien source avant contact.</t>
        </is>
      </c>
      <c r="BD16" t="inlineStr">
        <is>
          <t>Bonjour,
Je me permets de vous contacter au sujet de votre appel d'offres : NETTOYAGE, COLLECTE, EVACUATION ET TRAITEMENT DES DECHETS DU MARCHE COMMUNAL.
CHRUTH accompagne les structures publiques et privées sur les besoins de nettoyage, d'entretien des locaux et d'organisation de prestations de service.
Serait-il possible d'échanger rapidement afin de vérifier les modalités de réponse et les attentes de Commune de Chanteloup les Vignes ?
Cordialement,</t>
        </is>
      </c>
      <c r="BE16" t="inlineStr">
        <is>
          <t>Bonjour, je vous appelle concernant un appel d'offres publié par Commune de Chanteloup les Vignes.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2026-W32</t>
        </is>
      </c>
    </row>
    <row r="17">
      <c r="A17" t="inlineStr">
        <is>
          <t>BOAMP</t>
        </is>
      </c>
      <c r="B17" t="inlineStr">
        <is>
          <t>26-83118</t>
        </is>
      </c>
      <c r="C17" t="inlineStr">
        <is>
          <t>2026-61359767 (avis de publicité)  et référence DIPADEST sur Place</t>
        </is>
      </c>
      <c r="D17" t="inlineStr">
        <is>
          <t>DGDDI DI PARIS-AEROPORTS</t>
        </is>
      </c>
      <c r="E17" t="inlineStr">
        <is>
          <t>17950230700053</t>
        </is>
      </c>
      <c r="F17" t="inlineStr">
        <is>
          <t>179502307</t>
        </is>
      </c>
      <c r="G17" t="inlineStr"/>
      <c r="H17" t="inlineStr"/>
      <c r="I17" t="inlineStr">
        <is>
          <t>dipa-immobilier@douane.finances.gouv.fr</t>
        </is>
      </c>
      <c r="J17" t="inlineStr">
        <is>
          <t>0230700053</t>
        </is>
      </c>
      <c r="K17" t="inlineStr"/>
      <c r="L17" t="inlineStr"/>
      <c r="M17" t="inlineStr"/>
      <c r="N17" t="inlineStr">
        <is>
          <t>95,93,94,75,77</t>
        </is>
      </c>
      <c r="O17" t="inlineStr"/>
      <c r="P17" t="inlineStr">
        <is>
          <t>Ile-de-France</t>
        </is>
      </c>
      <c r="Q17" s="15" t="n">
        <v>46261</v>
      </c>
      <c r="R17" s="15" t="n">
        <v>46307</v>
      </c>
      <c r="S17" t="inlineStr"/>
      <c r="T17" t="inlineStr">
        <is>
          <t>A_VERIFIER_BUDGET</t>
        </is>
      </c>
      <c r="U17" t="inlineStr"/>
      <c r="V17" t="inlineStr">
        <is>
          <t>non</t>
        </is>
      </c>
      <c r="W17" t="inlineStr">
        <is>
          <t>Bureaux</t>
        </is>
      </c>
      <c r="X17" t="inlineStr">
        <is>
          <t>Autre</t>
        </is>
      </c>
      <c r="Y17" t="inlineStr">
        <is>
          <t>SERVICES</t>
        </is>
      </c>
      <c r="Z17" t="inlineStr">
        <is>
          <t>Procédure Ouverte</t>
        </is>
      </c>
      <c r="AA17" t="inlineStr">
        <is>
          <t>Avis de marché</t>
        </is>
      </c>
      <c r="AB17" t="inlineStr">
        <is>
          <t>Déchets non ménagers (prestations)</t>
        </is>
      </c>
      <c r="AC17" t="inlineStr">
        <is>
          <t>['sociaux', 'environnementaux']</t>
        </is>
      </c>
      <c r="AD17" s="11" t="inlineStr">
        <is>
          <t>https://www.boamp.fr/pages/avis/?q=idweb:26-83118</t>
        </is>
      </c>
      <c r="AE17" t="inlineStr">
        <is>
          <t>https://www.marches-publics.gouv.fr</t>
        </is>
      </c>
      <c r="AF17" t="inlineStr">
        <is>
          <t>https://www.marches-publics.gouv.fr</t>
        </is>
      </c>
      <c r="AG17" t="inlineStr"/>
      <c r="AH17" t="inlineStr">
        <is>
          <t>3</t>
        </is>
      </c>
      <c r="AI17" t="inlineStr">
        <is>
          <t>60</t>
        </is>
      </c>
      <c r="AJ17" t="inlineStr">
        <is>
          <t>INFO_PARTIELLE</t>
        </is>
      </c>
      <c r="AK17" t="inlineStr">
        <is>
          <t>55.0</t>
        </is>
      </c>
      <c r="AL17" t="inlineStr">
        <is>
          <t>TIEDE</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26-83118. Objet: 2026-61359767 (avis de publicité)  et référence DIPADEST sur Place. Acheteur: DGDDI DI PARIS-AEROPORTS. Lien: https://www.boamp.fr/pages/avis/?q=idweb:26-83118.</t>
        </is>
      </c>
      <c r="AU17" t="inlineStr">
        <is>
          <t>Verifier url_avis et DCE si disponible</t>
        </is>
      </c>
      <c r="AV17" t="inlineStr">
        <is>
          <t>LIEN_SEUL</t>
        </is>
      </c>
      <c r="AW17" t="inlineStr"/>
      <c r="AX17" t="inlineStr"/>
      <c r="AY17" t="inlineStr"/>
      <c r="AZ17" t="inlineStr"/>
      <c r="BA17" t="inlineStr"/>
      <c r="BB17" t="inlineStr">
        <is>
          <t>+33.5 nettoyage + categorie claire (1 termes) | +10 budget non affiche (a verifier) | +10.0 delai 42 j | +1.5 dossier renseigne (3/4)</t>
        </is>
      </c>
      <c r="BC17" t="inlineStr">
        <is>
          <t>DGDDI DI PARIS-AEROPORTS publie un AO potentiellement pertinent pour CHRUTH : 2026-61359767 (avis de publicité)  et référence DIPADEST sur Place. Zone : 95,93,94,75,77. Budget a verifier. Verifier le lien source avant contact.</t>
        </is>
      </c>
      <c r="BD17" t="inlineStr">
        <is>
          <t>Bonjour,
Je me permets de vous contacter au sujet de votre appel d'offres : 2026-61359767 (avis de publicité)  et référence DIPADEST sur Place.
CHRUTH accompagne les structures publiques et privées sur les besoins de nettoyage, d'entretien des locaux et d'organisation de prestations de service.
Serait-il possible d'échanger rapidement afin de vérifier les modalités de réponse et les attentes de DGDDI DI PARIS-AEROPORTS ?
Cordialement,</t>
        </is>
      </c>
      <c r="BE17" t="inlineStr">
        <is>
          <t>Bonjour, je vous appelle concernant un appel d'offres publié par DGDDI DI PARIS-AEROPORTS.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2026-W35</t>
        </is>
      </c>
    </row>
    <row r="18">
      <c r="A18" t="inlineStr">
        <is>
          <t>BOAMP</t>
        </is>
      </c>
      <c r="B18" t="inlineStr">
        <is>
          <t>26-73898</t>
        </is>
      </c>
      <c r="C18" t="inlineStr">
        <is>
          <t>Fourniture de petits matériels et de consommables d'entretien et d'hygiène</t>
        </is>
      </c>
      <c r="D18" t="inlineStr">
        <is>
          <t>Département des Hauts-de-Seine</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46228</v>
      </c>
      <c r="R18" s="15" t="n">
        <v>46280</v>
      </c>
      <c r="S18" t="inlineStr"/>
      <c r="T18" t="inlineStr">
        <is>
          <t>A_VERIFIER_BUDGET</t>
        </is>
      </c>
      <c r="U18" t="inlineStr"/>
      <c r="V18" t="inlineStr">
        <is>
          <t>non</t>
        </is>
      </c>
      <c r="W18" t="inlineStr">
        <is>
          <t>Batiments</t>
        </is>
      </c>
      <c r="X18" t="inlineStr">
        <is>
          <t>Autre</t>
        </is>
      </c>
      <c r="Y18" t="inlineStr">
        <is>
          <t>FOURNITURES</t>
        </is>
      </c>
      <c r="Z18" t="inlineStr">
        <is>
          <t>Procédure Ouverte</t>
        </is>
      </c>
      <c r="AA18" t="inlineStr">
        <is>
          <t>Avis de marché</t>
        </is>
      </c>
      <c r="AB18" t="inlineStr">
        <is>
          <t>Produits d'entretien</t>
        </is>
      </c>
      <c r="AC18" t="inlineStr">
        <is>
          <t>['sociaux', 'environnementaux']</t>
        </is>
      </c>
      <c r="AD18" s="11" t="inlineStr">
        <is>
          <t>https://www.boamp.fr/pages/avis/?q=idweb:26-73898</t>
        </is>
      </c>
      <c r="AE18" t="inlineStr">
        <is>
          <t>https://www.marches-publics.info/mpiaws/index.cfm?fuseaction=dematEnt.login&amp;amp;type=DCE&amp;amp;IDM=1854121</t>
        </is>
      </c>
      <c r="AF18" t="inlineStr">
        <is>
          <t>https://www.marches-publics.info/mpiaws/index.cfm?fuseaction=dematEnt.login&amp;amp;type=DCE&amp;amp;IDM=1854121</t>
        </is>
      </c>
      <c r="AG18" t="inlineStr">
        <is>
          <t>hygiene des locaux</t>
        </is>
      </c>
      <c r="AH18" t="inlineStr">
        <is>
          <t>2</t>
        </is>
      </c>
      <c r="AI18" t="inlineStr">
        <is>
          <t>58</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delai confortable 49j</t>
        </is>
      </c>
      <c r="BC18" t="inlineStr">
        <is>
          <t>Département des Hauts-de-Seine publie un AO potentiellement pertinent pour CHRUTH : Fourniture de petits matériels et de consommables d'entretien et d'hygiène. Zone : 92. Budget a verifier. Verifier le lien source avant contact.</t>
        </is>
      </c>
      <c r="BD18"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18"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2026-W30</t>
        </is>
      </c>
    </row>
    <row r="19">
      <c r="A19" t="inlineStr">
        <is>
          <t>BOAMP</t>
        </is>
      </c>
      <c r="B19" t="inlineStr">
        <is>
          <t>26-72955</t>
        </is>
      </c>
      <c r="C19" t="inlineStr">
        <is>
          <t>Prestations de nettoyage courant des locaux du CNRS et de vitreries incluant la fourniture des produits d’entretien et d’hygiène</t>
        </is>
      </c>
      <c r="D19" t="inlineStr">
        <is>
          <t>CNRS Délégation paris-Centre</t>
        </is>
      </c>
      <c r="E19" t="inlineStr">
        <is>
          <t>18008901303282</t>
        </is>
      </c>
      <c r="F19" t="inlineStr">
        <is>
          <t>180089013</t>
        </is>
      </c>
      <c r="G19" t="inlineStr"/>
      <c r="H19" t="inlineStr"/>
      <c r="I19" t="inlineStr">
        <is>
          <t>marchesdr2@dr2.cnrs.fr</t>
        </is>
      </c>
      <c r="J19" t="inlineStr">
        <is>
          <t>0890130328</t>
        </is>
      </c>
      <c r="K19" t="inlineStr"/>
      <c r="L19" t="inlineStr"/>
      <c r="M19" t="inlineStr"/>
      <c r="N19" t="inlineStr">
        <is>
          <t>75,77,78,91,92,93,94,95</t>
        </is>
      </c>
      <c r="O19" t="inlineStr"/>
      <c r="P19" t="inlineStr">
        <is>
          <t>Ile-de-France</t>
        </is>
      </c>
      <c r="Q19" s="15" t="n">
        <v>46225</v>
      </c>
      <c r="R19" s="15" t="n">
        <v>46269</v>
      </c>
      <c r="S19" t="inlineStr"/>
      <c r="T19" t="inlineStr">
        <is>
          <t>A_VERIFIER_BUDGET</t>
        </is>
      </c>
      <c r="U19" t="inlineStr"/>
      <c r="V19" t="inlineStr">
        <is>
          <t>non</t>
        </is>
      </c>
      <c r="W19" t="inlineStr">
        <is>
          <t>Batiments</t>
        </is>
      </c>
      <c r="X19" t="inlineStr">
        <is>
          <t>Autre</t>
        </is>
      </c>
      <c r="Y19" t="inlineStr">
        <is>
          <t>SERVICES</t>
        </is>
      </c>
      <c r="Z19" t="inlineStr">
        <is>
          <t>Procédure Ouverte</t>
        </is>
      </c>
      <c r="AA19" t="inlineStr">
        <is>
          <t>Avis de marché</t>
        </is>
      </c>
      <c r="AB19" t="inlineStr">
        <is>
          <t>Nettoyage de locaux</t>
        </is>
      </c>
      <c r="AC19" t="inlineStr"/>
      <c r="AD19" s="11" t="inlineStr">
        <is>
          <t>https://www.boamp.fr/pages/avis/?q=idweb:26-72955</t>
        </is>
      </c>
      <c r="AE19" t="inlineStr">
        <is>
          <t>https://www.marches-publics.gouv.fr</t>
        </is>
      </c>
      <c r="AF19" t="inlineStr">
        <is>
          <t>https://www.marches-publics.gouv.fr</t>
        </is>
      </c>
      <c r="AG19" t="inlineStr">
        <is>
          <t>nettoyage</t>
        </is>
      </c>
      <c r="AH19" t="inlineStr">
        <is>
          <t>3</t>
        </is>
      </c>
      <c r="AI19" t="inlineStr">
        <is>
          <t>68</t>
        </is>
      </c>
      <c r="AJ19" t="inlineStr">
        <is>
          <t>INFO_PARTIELLE</t>
        </is>
      </c>
      <c r="AK19" t="inlineStr">
        <is>
          <t>55</t>
        </is>
      </c>
      <c r="AL19" t="inlineStr">
        <is>
          <t>TIEDE</t>
        </is>
      </c>
      <c r="AM19" t="inlineStr"/>
      <c r="AN19" t="inlineStr"/>
      <c r="AO19" t="inlineStr"/>
      <c r="AP19" t="inlineStr"/>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delai confortable 38j</t>
        </is>
      </c>
      <c r="BC19"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19"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19"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2026-W30</t>
        </is>
      </c>
    </row>
    <row r="20">
      <c r="A20" t="inlineStr">
        <is>
          <t>BOAMP</t>
        </is>
      </c>
      <c r="B20" t="inlineStr">
        <is>
          <t>26-72105</t>
        </is>
      </c>
      <c r="C20" t="inlineStr">
        <is>
          <t>PRESTATIONS DE SERVICES DE NETTOYAGE ET BIONETTOYAGE DES LOCAUX, DE LA VITRERIE ET SERVICES ASSOCIES POUR LE CHIMM</t>
        </is>
      </c>
      <c r="D20" t="inlineStr">
        <is>
          <t>Centre Hospitalier Poissy/Saint-Germain-En-Laye</t>
        </is>
      </c>
      <c r="E20" t="inlineStr">
        <is>
          <t>26780580200316</t>
        </is>
      </c>
      <c r="F20" t="inlineStr">
        <is>
          <t>267805802</t>
        </is>
      </c>
      <c r="G20" t="inlineStr"/>
      <c r="H20" t="inlineStr"/>
      <c r="I20" t="inlineStr">
        <is>
          <t>clementine.hee@ght-yvelinesnord.fr</t>
        </is>
      </c>
      <c r="J20" t="inlineStr">
        <is>
          <t>0580200316</t>
        </is>
      </c>
      <c r="K20" t="inlineStr"/>
      <c r="L20" t="inlineStr"/>
      <c r="M20" t="inlineStr"/>
      <c r="N20" t="inlineStr">
        <is>
          <t>78</t>
        </is>
      </c>
      <c r="O20" t="inlineStr"/>
      <c r="P20" t="inlineStr">
        <is>
          <t>Ile-de-France</t>
        </is>
      </c>
      <c r="Q20" s="15" t="n">
        <v>46224</v>
      </c>
      <c r="R20" s="15" t="n">
        <v>46293</v>
      </c>
      <c r="S20" t="inlineStr"/>
      <c r="T20" t="inlineStr">
        <is>
          <t>A_VERIFIER_BUDGET</t>
        </is>
      </c>
      <c r="U20" t="inlineStr"/>
      <c r="V20" t="inlineStr">
        <is>
          <t>non</t>
        </is>
      </c>
      <c r="W20" t="inlineStr">
        <is>
          <t>Vitres</t>
        </is>
      </c>
      <c r="X20" t="inlineStr">
        <is>
          <t>Autre</t>
        </is>
      </c>
      <c r="Y20" t="inlineStr">
        <is>
          <t>SERVICES</t>
        </is>
      </c>
      <c r="Z20" t="inlineStr">
        <is>
          <t>Procédure Ouverte</t>
        </is>
      </c>
      <c r="AA20" t="inlineStr">
        <is>
          <t>Avis de marché</t>
        </is>
      </c>
      <c r="AB20" t="inlineStr">
        <is>
          <t>Nettoyage de locaux, Vitrerie</t>
        </is>
      </c>
      <c r="AC20" t="inlineStr"/>
      <c r="AD20" s="11" t="inlineStr">
        <is>
          <t>https://www.boamp.fr/pages/avis/?q=idweb:26-72105</t>
        </is>
      </c>
      <c r="AE20" t="inlineStr">
        <is>
          <t>https://marches.maximilien.fr/entreprise/consultation/943757?orgAcronyme=a2k</t>
        </is>
      </c>
      <c r="AF20" t="inlineStr">
        <is>
          <t>https://marches.maximilien.fr/entreprise/consultation/943757?orgAcronyme=a2k</t>
        </is>
      </c>
      <c r="AG20" t="inlineStr">
        <is>
          <t>nettoyage, bionettoyage</t>
        </is>
      </c>
      <c r="AH20" t="inlineStr">
        <is>
          <t>3</t>
        </is>
      </c>
      <c r="AI20" t="inlineStr">
        <is>
          <t>76</t>
        </is>
      </c>
      <c r="AJ20" t="inlineStr">
        <is>
          <t>INFO_PARTIELLE</t>
        </is>
      </c>
      <c r="AK20" t="inlineStr">
        <is>
          <t>55</t>
        </is>
      </c>
      <c r="AL20" t="inlineStr">
        <is>
          <t>TIEDE</t>
        </is>
      </c>
      <c r="AM20" t="inlineStr"/>
      <c r="AN20" t="inlineStr"/>
      <c r="AO20" t="inlineStr"/>
      <c r="AP20" t="inlineStr"/>
      <c r="AQ20" t="inlineStr">
        <is>
          <t>IA_BUDGET_A_VERIFIER</t>
        </is>
      </c>
      <c r="AR20" t="inlineStr">
        <is>
          <t>Verifier le budget dans l'avis source ou le DCE avant decision commerciale.</t>
        </is>
      </c>
      <c r="AS20" t="inlineStr">
        <is>
          <t>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delai confortable 62j</t>
        </is>
      </c>
      <c r="BC20"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20"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20"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26-70522</t>
        </is>
      </c>
      <c r="C21" t="inlineStr">
        <is>
          <t>PRESTATIONS DE COACHING ET D’ACCOMPAGNEMENT DES MEMBRES D’UN CODIR AU PROFIT DE L’EPIDE</t>
        </is>
      </c>
      <c r="D21" t="inlineStr">
        <is>
          <t>EPIDE</t>
        </is>
      </c>
      <c r="E21" t="inlineStr">
        <is>
          <t>18009259500131</t>
        </is>
      </c>
      <c r="F21" t="inlineStr">
        <is>
          <t>180092595</t>
        </is>
      </c>
      <c r="G21" t="inlineStr"/>
      <c r="H21" t="inlineStr"/>
      <c r="I21" t="inlineStr">
        <is>
          <t>achats@epide.fr</t>
        </is>
      </c>
      <c r="J21" t="inlineStr">
        <is>
          <t>0925950013</t>
        </is>
      </c>
      <c r="K21" t="inlineStr"/>
      <c r="L21" t="inlineStr"/>
      <c r="M21" t="inlineStr"/>
      <c r="N21" t="inlineStr">
        <is>
          <t>92,67,68,24,33,40,47,64,3</t>
        </is>
      </c>
      <c r="O21" t="inlineStr"/>
      <c r="P21" t="inlineStr">
        <is>
          <t>Ile-de-France</t>
        </is>
      </c>
      <c r="Q21" s="15" t="n">
        <v>46220</v>
      </c>
      <c r="R21" s="15" t="n">
        <v>46259</v>
      </c>
      <c r="S21" t="inlineStr"/>
      <c r="T21" t="inlineStr">
        <is>
          <t>A_VERIFIER_BUDGET</t>
        </is>
      </c>
      <c r="U21" t="inlineStr"/>
      <c r="V21" t="inlineStr">
        <is>
          <t>non</t>
        </is>
      </c>
      <c r="W21" t="inlineStr">
        <is>
          <t>Batiments</t>
        </is>
      </c>
      <c r="X21" t="inlineStr">
        <is>
          <t>Autre</t>
        </is>
      </c>
      <c r="Y21" t="inlineStr">
        <is>
          <t>SERVICES</t>
        </is>
      </c>
      <c r="Z21" t="inlineStr">
        <is>
          <t>Procédure Ouverte</t>
        </is>
      </c>
      <c r="AA21" t="inlineStr">
        <is>
          <t>Avis de marché</t>
        </is>
      </c>
      <c r="AB21" t="inlineStr">
        <is>
          <t>Nettoyage de locaux</t>
        </is>
      </c>
      <c r="AC21" t="inlineStr"/>
      <c r="AD21" s="11" t="inlineStr">
        <is>
          <t>https://www.boamp.fr/pages/avis/?q=idweb:26-70522</t>
        </is>
      </c>
      <c r="AE21" t="inlineStr">
        <is>
          <t>https://www.epide.fr/</t>
        </is>
      </c>
      <c r="AF21" t="inlineStr"/>
      <c r="AG21" t="inlineStr">
        <is>
          <t>nettoyage</t>
        </is>
      </c>
      <c r="AH21" t="inlineStr">
        <is>
          <t>3</t>
        </is>
      </c>
      <c r="AI21" t="inlineStr">
        <is>
          <t>68</t>
        </is>
      </c>
      <c r="AJ21" t="inlineStr">
        <is>
          <t>INFO_PARTIELLE</t>
        </is>
      </c>
      <c r="AK21" t="inlineStr">
        <is>
          <t>55</t>
        </is>
      </c>
      <c r="AL21" t="inlineStr">
        <is>
          <t>TIEDE</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delai confortable 28j</t>
        </is>
      </c>
      <c r="BC21" t="inlineStr">
        <is>
          <t>EPIDE publie un AO potentiellement pertinent pour CHRUTH : PRESTATIONS DE COACHING ET D’ACCOMPAGNEMENT DES MEMBRES D’UN CODIR AU PROFIT DE L’EPIDE. Zone : 92,67,68,24,33,40,47,64,3. Budget a verifier. Verifier le lien source avant contact.</t>
        </is>
      </c>
      <c r="BD21"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21"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26-70503</t>
        </is>
      </c>
      <c r="C22" t="inlineStr">
        <is>
          <t>Prestations de nettoyage des locaux et de la vitrerie et prestations associées pour les sites du GHT Grand Paris Nord-Est</t>
        </is>
      </c>
      <c r="D22" t="inlineStr">
        <is>
          <t>GHT GPNE</t>
        </is>
      </c>
      <c r="E22" t="inlineStr">
        <is>
          <t>20001803400013</t>
        </is>
      </c>
      <c r="F22" t="inlineStr">
        <is>
          <t>200018034</t>
        </is>
      </c>
      <c r="G22" t="inlineStr"/>
      <c r="H22" t="inlineStr"/>
      <c r="I22" t="inlineStr">
        <is>
          <t>ght.cellule-des-marches@ght-gpne.fr</t>
        </is>
      </c>
      <c r="J22" t="inlineStr">
        <is>
          <t>0180340001</t>
        </is>
      </c>
      <c r="K22" t="inlineStr"/>
      <c r="L22" t="inlineStr"/>
      <c r="M22" t="inlineStr"/>
      <c r="N22" t="inlineStr">
        <is>
          <t>93</t>
        </is>
      </c>
      <c r="O22" t="inlineStr"/>
      <c r="P22" t="inlineStr">
        <is>
          <t>Ile-de-France</t>
        </is>
      </c>
      <c r="Q22" s="15" t="n">
        <v>46220</v>
      </c>
      <c r="R22" s="15" t="n">
        <v>46269</v>
      </c>
      <c r="S22" t="inlineStr"/>
      <c r="T22" t="inlineStr">
        <is>
          <t>A_VERIFIER_BUDGET</t>
        </is>
      </c>
      <c r="U22" t="inlineStr"/>
      <c r="V22" t="inlineStr">
        <is>
          <t>non</t>
        </is>
      </c>
      <c r="W22" t="inlineStr">
        <is>
          <t>Vitres</t>
        </is>
      </c>
      <c r="X22" t="inlineStr">
        <is>
          <t>Autre</t>
        </is>
      </c>
      <c r="Y22" t="inlineStr">
        <is>
          <t>SERVICES</t>
        </is>
      </c>
      <c r="Z22" t="inlineStr">
        <is>
          <t>Procédure Ouverte</t>
        </is>
      </c>
      <c r="AA22" t="inlineStr">
        <is>
          <t>Avis de marché</t>
        </is>
      </c>
      <c r="AB22" t="inlineStr">
        <is>
          <t>Nettoyage de locaux</t>
        </is>
      </c>
      <c r="AC22" t="inlineStr"/>
      <c r="AD22" s="11" t="inlineStr">
        <is>
          <t>https://www.boamp.fr/pages/avis/?q=idweb:26-70503</t>
        </is>
      </c>
      <c r="AE22" t="inlineStr">
        <is>
          <t>https://marches.maximilien.fr/entreprise/consultation/943277?orgAcronyme=a1j</t>
        </is>
      </c>
      <c r="AF22" t="inlineStr">
        <is>
          <t>https://marches.maximilien.fr/entreprise/consultation/943277?orgAcronyme=a1j</t>
        </is>
      </c>
      <c r="AG22" t="inlineStr">
        <is>
          <t>nettoyage</t>
        </is>
      </c>
      <c r="AH22" t="inlineStr">
        <is>
          <t>3</t>
        </is>
      </c>
      <c r="AI22" t="inlineStr">
        <is>
          <t>68</t>
        </is>
      </c>
      <c r="AJ22" t="inlineStr">
        <is>
          <t>INFO_PARTIELLE</t>
        </is>
      </c>
      <c r="AK22" t="inlineStr">
        <is>
          <t>55</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delai confortable 38j</t>
        </is>
      </c>
      <c r="BC22" t="inlineStr">
        <is>
          <t>GHT GPNE publie un AO potentiellement pertinent pour CHRUTH : Prestations de nettoyage des locaux et de la vitrerie et prestations associées pour les sites du GHT Grand Paris Nord-Est. Zone : 93. Budget a verifier. Verifier le lien source avant contact.</t>
        </is>
      </c>
      <c r="BD22"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22"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row r="23">
      <c r="A23" t="inlineStr">
        <is>
          <t>BOAMP</t>
        </is>
      </c>
      <c r="B23" t="inlineStr">
        <is>
          <t>26-77541</t>
        </is>
      </c>
      <c r="C23" t="inlineStr">
        <is>
          <t>Le présent contrat a pour objet la délégation de l'exploitation du Centre Départemental d'initiation au golf de la Poudrerie à Livry-Gargan</t>
        </is>
      </c>
      <c r="D23" t="inlineStr">
        <is>
          <t>Département de la Seine-Saint-Denis</t>
        </is>
      </c>
      <c r="E23" t="inlineStr"/>
      <c r="F23" t="inlineStr"/>
      <c r="G23" t="inlineStr"/>
      <c r="H23" t="inlineStr"/>
      <c r="I23" t="inlineStr">
        <is>
          <t>publications-joue@aws-france.com</t>
        </is>
      </c>
      <c r="J23" t="inlineStr">
        <is>
          <t>+33480041260</t>
        </is>
      </c>
      <c r="K23" t="inlineStr"/>
      <c r="L23" t="inlineStr"/>
      <c r="M23" t="inlineStr"/>
      <c r="N23" t="inlineStr">
        <is>
          <t>93</t>
        </is>
      </c>
      <c r="O23" t="inlineStr"/>
      <c r="P23" t="inlineStr">
        <is>
          <t>Ile-de-France</t>
        </is>
      </c>
      <c r="Q23" s="15" t="n">
        <v>46239</v>
      </c>
      <c r="R23" s="15" t="n">
        <v>46286</v>
      </c>
      <c r="S23" t="inlineStr"/>
      <c r="T23" t="inlineStr">
        <is>
          <t>A_VERIFIER_BUDGET</t>
        </is>
      </c>
      <c r="U23" t="inlineStr"/>
      <c r="V23" t="inlineStr">
        <is>
          <t>non</t>
        </is>
      </c>
      <c r="W23" t="inlineStr">
        <is>
          <t>Personnel</t>
        </is>
      </c>
      <c r="X23" t="inlineStr">
        <is>
          <t>Autre</t>
        </is>
      </c>
      <c r="Y23" t="inlineStr">
        <is>
          <t>SERVICES</t>
        </is>
      </c>
      <c r="Z23" t="inlineStr">
        <is>
          <t>Procédure NC</t>
        </is>
      </c>
      <c r="AA23" t="inlineStr">
        <is>
          <t>Avis de marché</t>
        </is>
      </c>
      <c r="AB23" t="inlineStr">
        <is>
          <t>Equipement sportif, Délégation de service public</t>
        </is>
      </c>
      <c r="AC23" t="inlineStr">
        <is>
          <t>['environnementaux']</t>
        </is>
      </c>
      <c r="AD23" s="11" t="inlineStr">
        <is>
          <t>https://www.boamp.fr/pages/avis/?q=idweb:26-77541</t>
        </is>
      </c>
      <c r="AE23" t="inlineStr">
        <is>
          <t>https://www.marches-publics.info/mpiaws/index.cfm?fuseaction=dematEnt.login&amp;amp;type=DCE&amp;amp;IDM=1858330</t>
        </is>
      </c>
      <c r="AF23" t="inlineStr">
        <is>
          <t>https://www.marches-publics.info/mpiaws/index.cfm?fuseaction=dematEnt.login&amp;amp;type=DCE&amp;amp;IDM=1858330</t>
        </is>
      </c>
      <c r="AG23" t="inlineStr">
        <is>
          <t>nettoyage</t>
        </is>
      </c>
      <c r="AH23" t="inlineStr">
        <is>
          <t>2</t>
        </is>
      </c>
      <c r="AI23" t="inlineStr">
        <is>
          <t>58</t>
        </is>
      </c>
      <c r="AJ23" t="inlineStr">
        <is>
          <t>INFO_PARTIELLE</t>
        </is>
      </c>
      <c r="AK23" t="inlineStr">
        <is>
          <t>52.8</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SIRET, 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26-77541. Objet: Le présent contrat a pour objet la délégation de l'exploitation du Centre Départemental d'initiation au golf de la Poudrerie à Livry-Gargan. Acheteur: Département de la Seine-Saint-Denis. Lien: https://www.boamp.fr/pages/avis/?q=idweb:26-77541.</t>
        </is>
      </c>
      <c r="AU23" t="inlineStr">
        <is>
          <t>Verifier url_avis et DCE si disponible</t>
        </is>
      </c>
      <c r="AV23" t="inlineStr">
        <is>
          <t>LIEN_SEUL</t>
        </is>
      </c>
      <c r="AW23" t="inlineStr"/>
      <c r="AX23" t="inlineStr"/>
      <c r="AY23" t="inlineStr"/>
      <c r="AZ23" t="inlineStr"/>
      <c r="BA23" t="inlineStr"/>
      <c r="BB23" t="inlineStr">
        <is>
          <t>+33.5 nettoyage + categorie claire (1 termes) | +10 budget non affiche (a verifier) | +7.8 delai 21 j | +1.5 dossier renseigne (3/4)</t>
        </is>
      </c>
      <c r="BC23" t="inlineStr">
        <is>
          <t>Département de la Seine-Saint-Denis publie un AO potentiellement pertinent pour CHRUTH : Le présent contrat a pour objet la délégation de l'exploitation du Centre Départemental d'initiation au golf de la Poudrerie à Livry-Gargan. Zone : 93. Budget a verifier. Verifier le lien source avant contact.</t>
        </is>
      </c>
      <c r="BD23" t="inlineStr">
        <is>
          <t>Bonjour,
Je me permets de vous contacter au sujet de votre appel d'offres : Le présent contrat a pour objet la délégation de l'exploitation du Centre Départemental d'initiation au golf de la Poudrerie à Livry-Gargan.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23"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2026-W32</t>
        </is>
      </c>
    </row>
    <row r="24">
      <c r="A24" t="inlineStr">
        <is>
          <t>BOAMP</t>
        </is>
      </c>
      <c r="B24" t="inlineStr">
        <is>
          <t>26-77581</t>
        </is>
      </c>
      <c r="C24" t="inlineStr">
        <is>
          <t>Marché de service de nettoyage de divers locaux communaux de la commune de Marcoussis</t>
        </is>
      </c>
      <c r="D24" t="inlineStr">
        <is>
          <t>COMMUNE DE MARCOUSSIS</t>
        </is>
      </c>
      <c r="E24" t="inlineStr">
        <is>
          <t>21910363700019</t>
        </is>
      </c>
      <c r="F24" t="inlineStr">
        <is>
          <t>219103637</t>
        </is>
      </c>
      <c r="G24" t="inlineStr"/>
      <c r="H24" t="inlineStr"/>
      <c r="I24" t="inlineStr">
        <is>
          <t>affairesjuridiques@marcoussis.fr</t>
        </is>
      </c>
      <c r="J24" t="inlineStr">
        <is>
          <t>0363700019</t>
        </is>
      </c>
      <c r="K24" t="inlineStr"/>
      <c r="L24" t="inlineStr"/>
      <c r="M24" t="inlineStr"/>
      <c r="N24" t="inlineStr">
        <is>
          <t>91</t>
        </is>
      </c>
      <c r="O24" t="inlineStr"/>
      <c r="P24" t="inlineStr">
        <is>
          <t>Ile-de-France</t>
        </is>
      </c>
      <c r="Q24" s="15" t="n">
        <v>46239</v>
      </c>
      <c r="R24" s="15" t="n">
        <v>46272</v>
      </c>
      <c r="S24" t="inlineStr"/>
      <c r="T24" t="inlineStr">
        <is>
          <t>A_VERIFIER_BUDGET</t>
        </is>
      </c>
      <c r="U24" t="inlineStr"/>
      <c r="V24" t="inlineStr">
        <is>
          <t>non</t>
        </is>
      </c>
      <c r="W24" t="inlineStr">
        <is>
          <t>Vitres</t>
        </is>
      </c>
      <c r="X24" t="inlineStr">
        <is>
          <t>Mairie</t>
        </is>
      </c>
      <c r="Y24" t="inlineStr">
        <is>
          <t>SERVICES</t>
        </is>
      </c>
      <c r="Z24" t="inlineStr">
        <is>
          <t>Procédure Ouverte</t>
        </is>
      </c>
      <c r="AA24" t="inlineStr">
        <is>
          <t>Avis de marché</t>
        </is>
      </c>
      <c r="AB24" t="inlineStr">
        <is>
          <t>Nettoyage de locaux</t>
        </is>
      </c>
      <c r="AC24" t="inlineStr">
        <is>
          <t>['sociaux', 'environnementaux']</t>
        </is>
      </c>
      <c r="AD24" s="11" t="inlineStr">
        <is>
          <t>https://www.boamp.fr/pages/avis/?q=idweb:26-77581</t>
        </is>
      </c>
      <c r="AE24" t="inlineStr">
        <is>
          <t>https://marcoussis.fr/</t>
        </is>
      </c>
      <c r="AF24" t="inlineStr"/>
      <c r="AG24" t="inlineStr">
        <is>
          <t>nettoyage</t>
        </is>
      </c>
      <c r="AH24" t="inlineStr">
        <is>
          <t>3</t>
        </is>
      </c>
      <c r="AI24" t="inlineStr">
        <is>
          <t>68</t>
        </is>
      </c>
      <c r="AJ24" t="inlineStr">
        <is>
          <t>INFO_PARTIELLE</t>
        </is>
      </c>
      <c r="AK24" t="inlineStr">
        <is>
          <t>52.0</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26-77581. Objet: Marché de service de nettoyage de divers locaux communaux de la commune de Marcoussis. Acheteur: COMMUNE DE MARCOUSSIS. Lien: https://www.boamp.fr/pages/avis/?q=idweb:26-77581.</t>
        </is>
      </c>
      <c r="AU24" t="inlineStr">
        <is>
          <t>Verifier url_avis et DCE si disponible</t>
        </is>
      </c>
      <c r="AV24" t="inlineStr">
        <is>
          <t>LIEN_SEUL</t>
        </is>
      </c>
      <c r="AW24" t="inlineStr"/>
      <c r="AX24" t="inlineStr"/>
      <c r="AY24" t="inlineStr"/>
      <c r="AZ24" t="inlineStr"/>
      <c r="BA24" t="inlineStr"/>
      <c r="BB24" t="inlineStr">
        <is>
          <t>+33.5 nettoyage + categorie claire (1 termes) | +10 budget non affiche (a verifier) | +10 secteur cible Mairie | -3.0 delai 7 j | +1.5 dossier renseigne (3/4)</t>
        </is>
      </c>
      <c r="BC24" t="inlineStr">
        <is>
          <t>COMMUNE DE MARCOUSSIS publie un AO potentiellement pertinent pour CHRUTH : Marché de service de nettoyage de divers locaux communaux de la commune de Marcoussis. Zone : 91. Budget a verifier. Verifier le lien source avant contact.</t>
        </is>
      </c>
      <c r="BD24" t="inlineStr">
        <is>
          <t>Bonjour,
Je me permets de vous contacter au sujet de votre appel d'offres : Marché de service de nettoyage de divers locaux communaux de la commune de Marcoussis.
CHRUTH accompagne les structures publiques et privées sur les besoins de nettoyage, d'entretien des locaux et d'organisation de prestations de service.
Serait-il possible d'échanger rapidement afin de vérifier les modalités de réponse et les attentes de COMMUNE DE MARCOUSSIS ?
Cordialement,</t>
        </is>
      </c>
      <c r="BE24" t="inlineStr">
        <is>
          <t>Bonjour, je vous appelle concernant un appel d'offres publié par COMMUNE DE MARCOUSSIS.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2026-W32</t>
        </is>
      </c>
    </row>
    <row r="25">
      <c r="A25" t="inlineStr">
        <is>
          <t>BOAMP</t>
        </is>
      </c>
      <c r="B25" t="inlineStr">
        <is>
          <t>26-77150</t>
        </is>
      </c>
      <c r="C25" t="inlineStr">
        <is>
          <t>Maintenance des installations frigorifiques de la patinoire</t>
        </is>
      </c>
      <c r="D25" t="inlineStr">
        <is>
          <t>Ville de Franconville-la-Garenne</t>
        </is>
      </c>
      <c r="E25" t="inlineStr"/>
      <c r="F25" t="inlineStr"/>
      <c r="G25" t="inlineStr"/>
      <c r="H25" t="inlineStr"/>
      <c r="I25" t="inlineStr">
        <is>
          <t>publications-joue@aws-france.com</t>
        </is>
      </c>
      <c r="J25" t="inlineStr">
        <is>
          <t>+33480041260</t>
        </is>
      </c>
      <c r="K25" t="inlineStr"/>
      <c r="L25" t="inlineStr"/>
      <c r="M25" t="inlineStr"/>
      <c r="N25" t="inlineStr">
        <is>
          <t>95</t>
        </is>
      </c>
      <c r="O25" t="inlineStr"/>
      <c r="P25" t="inlineStr">
        <is>
          <t>Ile-de-France</t>
        </is>
      </c>
      <c r="Q25" s="15" t="n">
        <v>46236</v>
      </c>
      <c r="R25" s="15" t="n">
        <v>46269</v>
      </c>
      <c r="S25" t="inlineStr"/>
      <c r="T25" t="inlineStr">
        <is>
          <t>A_VERIFIER_BUDGET</t>
        </is>
      </c>
      <c r="U25" t="inlineStr"/>
      <c r="V25" t="inlineStr">
        <is>
          <t>non</t>
        </is>
      </c>
      <c r="W25" t="inlineStr">
        <is>
          <t>Batiments</t>
        </is>
      </c>
      <c r="X25" t="inlineStr">
        <is>
          <t>Mairie</t>
        </is>
      </c>
      <c r="Y25" t="inlineStr">
        <is>
          <t>SERVICES</t>
        </is>
      </c>
      <c r="Z25" t="inlineStr">
        <is>
          <t>Procédure Ouverte</t>
        </is>
      </c>
      <c r="AA25" t="inlineStr">
        <is>
          <t>Avis de marché</t>
        </is>
      </c>
      <c r="AB25" t="inlineStr">
        <is>
          <t>Chambre froide, Equipement sportif, Maintenance</t>
        </is>
      </c>
      <c r="AC25" t="inlineStr">
        <is>
          <t>['environnementaux']</t>
        </is>
      </c>
      <c r="AD25" s="11" t="inlineStr">
        <is>
          <t>https://www.boamp.fr/pages/avis/?q=idweb:26-77150</t>
        </is>
      </c>
      <c r="AE25" t="inlineStr">
        <is>
          <t>http://agysoft.marches-publics.info/</t>
        </is>
      </c>
      <c r="AF25" t="inlineStr">
        <is>
          <t>http://agysoft.marches-publics.info/</t>
        </is>
      </c>
      <c r="AG25" t="inlineStr">
        <is>
          <t>proprete</t>
        </is>
      </c>
      <c r="AH25" t="inlineStr">
        <is>
          <t>2</t>
        </is>
      </c>
      <c r="AI25" t="inlineStr">
        <is>
          <t>58</t>
        </is>
      </c>
      <c r="AJ25" t="inlineStr">
        <is>
          <t>INFO_PARTIELLE</t>
        </is>
      </c>
      <c r="AK25" t="inlineStr">
        <is>
          <t>44.0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SIRET, 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26-77150. Objet: Maintenance des installations frigorifiques de la patinoire. Acheteur: Ville de Franconville-la-Garenne. Lien: https://www.boamp.fr/pages/avis/?q=idweb:26-77150.</t>
        </is>
      </c>
      <c r="AU25" t="inlineStr">
        <is>
          <t>Verifier url_avis et DCE si disponible</t>
        </is>
      </c>
      <c r="AV25" t="inlineStr">
        <is>
          <t>LIEN_SEUL</t>
        </is>
      </c>
      <c r="AW25" t="inlineStr"/>
      <c r="AX25" t="inlineStr"/>
      <c r="AY25" t="inlineStr"/>
      <c r="AZ25" t="inlineStr"/>
      <c r="BA25" t="inlineStr"/>
      <c r="BB25" t="inlineStr">
        <is>
          <t>+33.5 nettoyage + categorie claire (1 termes) | +10 budget non affiche (a verifier) | +10 secteur cible Mairie | -11.0 delai 4 j | +1.5 dossier renseigne (3/4)</t>
        </is>
      </c>
      <c r="BC25" t="inlineStr">
        <is>
          <t>Ville de Franconville-la-Garenne publie un AO potentiellement pertinent pour CHRUTH : Maintenance des installations frigorifiques de la patinoire. Zone : 95. Budget a verifier. Verifier le lien source avant contact.</t>
        </is>
      </c>
      <c r="BD25" t="inlineStr">
        <is>
          <t>Bonjour,
Je me permets de vous contacter au sujet de votre appel d'offres : Maintenance des installations frigorifiques de la patinoire.
CHRUTH accompagne les structures publiques et privées sur les besoins de nettoyage, d'entretien des locaux et d'organisation de prestations de service.
Serait-il possible d'échanger rapidement afin de vérifier les modalités de réponse et les attentes de Ville de Franconville-la-Garenne ?
Cordialement,</t>
        </is>
      </c>
      <c r="BE25" t="inlineStr">
        <is>
          <t>Bonjour, je vous appelle concernant un appel d'offres publié par Ville de Franconville-la-Garenne.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2026-W31</t>
        </is>
      </c>
    </row>
    <row r="26">
      <c r="A26" t="inlineStr">
        <is>
          <t>BOAMP</t>
        </is>
      </c>
      <c r="B26" t="inlineStr">
        <is>
          <t>26-83350</t>
        </is>
      </c>
      <c r="C26" t="inlineStr">
        <is>
          <t>Sécurité des évènements</t>
        </is>
      </c>
      <c r="D26" t="inlineStr">
        <is>
          <t>Ville de Vitry-sur-Seine</t>
        </is>
      </c>
      <c r="E26" t="inlineStr">
        <is>
          <t>21940081900575</t>
        </is>
      </c>
      <c r="F26" t="inlineStr">
        <is>
          <t>219400819</t>
        </is>
      </c>
      <c r="G26" t="inlineStr"/>
      <c r="H26" t="inlineStr"/>
      <c r="I26" t="inlineStr">
        <is>
          <t>sebastien.guillot@mairie-vitry94.fr</t>
        </is>
      </c>
      <c r="J26" t="inlineStr">
        <is>
          <t>+33 146828378</t>
        </is>
      </c>
      <c r="K26" t="inlineStr"/>
      <c r="L26" t="inlineStr"/>
      <c r="M26" t="inlineStr"/>
      <c r="N26" t="inlineStr">
        <is>
          <t>94</t>
        </is>
      </c>
      <c r="O26" t="inlineStr"/>
      <c r="P26" t="inlineStr">
        <is>
          <t>Ile-de-France</t>
        </is>
      </c>
      <c r="Q26" s="15" t="n">
        <v>46261</v>
      </c>
      <c r="R26" s="15" t="n">
        <v>46300</v>
      </c>
      <c r="S26" t="inlineStr"/>
      <c r="T26" t="inlineStr">
        <is>
          <t>A_VERIFIER_BUDGET</t>
        </is>
      </c>
      <c r="U26" t="inlineStr"/>
      <c r="V26" t="inlineStr">
        <is>
          <t>non</t>
        </is>
      </c>
      <c r="W26" t="inlineStr">
        <is>
          <t>Personnel</t>
        </is>
      </c>
      <c r="X26" t="inlineStr">
        <is>
          <t>Mairie</t>
        </is>
      </c>
      <c r="Y26" t="inlineStr">
        <is>
          <t>SERVICES</t>
        </is>
      </c>
      <c r="Z26" t="inlineStr">
        <is>
          <t>Procédure NC</t>
        </is>
      </c>
      <c r="AA26" t="inlineStr">
        <is>
          <t>Avis de marché</t>
        </is>
      </c>
      <c r="AB26" t="inlineStr">
        <is>
          <t>Gardiennage</t>
        </is>
      </c>
      <c r="AC26" t="inlineStr"/>
      <c r="AD26" s="11" t="inlineStr">
        <is>
          <t>https://www.boamp.fr/pages/avis/?q=idweb:26-83350</t>
        </is>
      </c>
      <c r="AE26" t="inlineStr">
        <is>
          <t>https://marches.maximilien.fr</t>
        </is>
      </c>
      <c r="AF26" t="inlineStr">
        <is>
          <t>https://marches.maximilien.fr</t>
        </is>
      </c>
      <c r="AG26" t="inlineStr"/>
      <c r="AH26" t="inlineStr">
        <is>
          <t>3</t>
        </is>
      </c>
      <c r="AI26" t="inlineStr">
        <is>
          <t>60</t>
        </is>
      </c>
      <c r="AJ26" t="inlineStr">
        <is>
          <t>INFO_PARTIELLE</t>
        </is>
      </c>
      <c r="AK26" t="inlineStr">
        <is>
          <t>31.5</t>
        </is>
      </c>
      <c r="AL26" s="16" t="inlineStr">
        <is>
          <t>FROID</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26-83350. Objet: Sécurité des évènements. Acheteur: Ville de Vitry-sur-Seine. Lien: https://www.boamp.fr/pages/avis/?q=idweb:26-83350.</t>
        </is>
      </c>
      <c r="AU26" t="inlineStr">
        <is>
          <t>Verifier url_avis et DCE si disponible</t>
        </is>
      </c>
      <c r="AV26" t="inlineStr">
        <is>
          <t>LIEN_SEUL</t>
        </is>
      </c>
      <c r="AW26" t="inlineStr"/>
      <c r="AX26" t="inlineStr"/>
      <c r="AY26" t="inlineStr"/>
      <c r="AZ26" t="inlineStr"/>
      <c r="BA26" t="inlineStr"/>
      <c r="BB26" t="inlineStr">
        <is>
          <t>0 pertinence metier faible | +10 budget non affiche (a verifier) | +10 secteur cible Mairie | +10.0 delai 35 j | +1.5 dossier renseigne (3/4)</t>
        </is>
      </c>
      <c r="BC26" t="inlineStr">
        <is>
          <t>Ville de Vitry-sur-Seine publie un AO potentiellement pertinent pour CHRUTH : Sécurité des évènements. Zone : 94. Budget a verifier. Verifier le lien source avant contact.</t>
        </is>
      </c>
      <c r="BD26" t="inlineStr">
        <is>
          <t>Bonjour,
Je me permets de vous contacter au sujet de votre appel d'offres : Sécurité des évènements.
CHRUTH accompagne les structures publiques et privées sur les besoins de nettoyage, d'entretien des locaux et d'organisation de prestations de service.
Serait-il possible d'échanger rapidement afin de vérifier les modalités de réponse et les attentes de Ville de Vitry-sur-Seine ?
Cordialement,</t>
        </is>
      </c>
      <c r="BE26" t="inlineStr">
        <is>
          <t>Bonjour, je vous appelle concernant un appel d'offres publié par Ville de Vitry-sur-Seine.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2026-W35</t>
        </is>
      </c>
    </row>
    <row r="27">
      <c r="A27" t="inlineStr">
        <is>
          <t>BOAMP</t>
        </is>
      </c>
      <c r="B27" t="inlineStr">
        <is>
          <t>26-78332</t>
        </is>
      </c>
      <c r="C27" t="inlineStr">
        <is>
          <t>ENTRETIEN DES ESPACES VERTS</t>
        </is>
      </c>
      <c r="D27" t="inlineStr">
        <is>
          <t>COMMUNE DE FONTENAY-SOUS-BOIS</t>
        </is>
      </c>
      <c r="E27" t="inlineStr">
        <is>
          <t>21940033000011</t>
        </is>
      </c>
      <c r="F27" t="inlineStr">
        <is>
          <t>219400330</t>
        </is>
      </c>
      <c r="G27" t="inlineStr"/>
      <c r="H27" t="inlineStr"/>
      <c r="I27" t="inlineStr">
        <is>
          <t>achats@fontenay-sous-bois.fr</t>
        </is>
      </c>
      <c r="J27" t="inlineStr">
        <is>
          <t>+33 149747474</t>
        </is>
      </c>
      <c r="K27" t="inlineStr"/>
      <c r="L27" t="inlineStr"/>
      <c r="M27" t="inlineStr"/>
      <c r="N27" t="inlineStr">
        <is>
          <t>94</t>
        </is>
      </c>
      <c r="O27" t="inlineStr"/>
      <c r="P27" t="inlineStr">
        <is>
          <t>Ile-de-France</t>
        </is>
      </c>
      <c r="Q27" s="15" t="n">
        <v>46241</v>
      </c>
      <c r="R27" s="15" t="n">
        <v>46283</v>
      </c>
      <c r="S27" t="inlineStr"/>
      <c r="T27" t="inlineStr">
        <is>
          <t>A_VERIFIER_BUDGET</t>
        </is>
      </c>
      <c r="U27" t="inlineStr"/>
      <c r="V27" t="inlineStr">
        <is>
          <t>non</t>
        </is>
      </c>
      <c r="W27" t="inlineStr">
        <is>
          <t>Personnel</t>
        </is>
      </c>
      <c r="X27" t="inlineStr">
        <is>
          <t>Mairie</t>
        </is>
      </c>
      <c r="Y27" t="inlineStr">
        <is>
          <t>SERVICES</t>
        </is>
      </c>
      <c r="Z27" t="inlineStr">
        <is>
          <t>Procédure Ouverte</t>
        </is>
      </c>
      <c r="AA27" t="inlineStr">
        <is>
          <t>Avis de marché</t>
        </is>
      </c>
      <c r="AB27" t="inlineStr">
        <is>
          <t>Espaces verts</t>
        </is>
      </c>
      <c r="AC27" t="inlineStr"/>
      <c r="AD27" s="11" t="inlineStr">
        <is>
          <t>https://www.boamp.fr/pages/avis/?q=idweb:26-78332</t>
        </is>
      </c>
      <c r="AE27" t="inlineStr">
        <is>
          <t>https://www.fontenay.fr/index.html</t>
        </is>
      </c>
      <c r="AF27" t="inlineStr"/>
      <c r="AG27" t="inlineStr"/>
      <c r="AH27" t="inlineStr">
        <is>
          <t>3</t>
        </is>
      </c>
      <c r="AI27" t="inlineStr">
        <is>
          <t>60</t>
        </is>
      </c>
      <c r="AJ27" t="inlineStr">
        <is>
          <t>INFO_PARTIELLE</t>
        </is>
      </c>
      <c r="AK27" t="inlineStr">
        <is>
          <t>28.5</t>
        </is>
      </c>
      <c r="AL27" s="16" t="inlineStr">
        <is>
          <t>FROID</t>
        </is>
      </c>
      <c r="AM27" t="inlineStr"/>
      <c r="AN27" t="inlineStr"/>
      <c r="AO27" t="inlineStr"/>
      <c r="AP27" t="inlineStr"/>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26-78332. Objet: ENTRETIEN DES ESPACES VERTS. Acheteur: COMMUNE DE FONTENAY-SOUS-BOIS. Lien: https://www.boamp.fr/pages/avis/?q=idweb:26-78332.</t>
        </is>
      </c>
      <c r="AU27" t="inlineStr">
        <is>
          <t>Verifier url_avis et DCE si disponible</t>
        </is>
      </c>
      <c r="AV27" t="inlineStr">
        <is>
          <t>LIEN_SEUL</t>
        </is>
      </c>
      <c r="AW27" t="inlineStr"/>
      <c r="AX27" t="inlineStr"/>
      <c r="AY27" t="inlineStr"/>
      <c r="AZ27" t="inlineStr"/>
      <c r="BA27" t="inlineStr"/>
      <c r="BB27" t="inlineStr">
        <is>
          <t>0 pertinence metier faible | +10 budget non affiche (a verifier) | +10 secteur cible Mairie | +7.0 delai 18 j | +1.5 dossier renseigne (3/4)</t>
        </is>
      </c>
      <c r="BC27" t="inlineStr">
        <is>
          <t>COMMUNE DE FONTENAY-SOUS-BOIS publie un AO potentiellement pertinent pour CHRUTH : ENTRETIEN DES ESPACES VERTS. Zone : 94. Budget a verifier. Verifier le lien source avant contact.</t>
        </is>
      </c>
      <c r="BD27" t="inlineStr">
        <is>
          <t>Bonjour,
Je me permets de vous contacter au sujet de votre appel d'offres : ENTRETIEN DES ESPACES VERTS.
CHRUTH accompagne les structures publiques et privées sur les besoins de nettoyage, d'entretien des locaux et d'organisation de prestations de service.
Serait-il possible d'échanger rapidement afin de vérifier les modalités de réponse et les attentes de COMMUNE DE FONTENAY-SOUS-BOIS ?
Cordialement,</t>
        </is>
      </c>
      <c r="BE27" t="inlineStr">
        <is>
          <t>Bonjour, je vous appelle concernant un appel d'offres publié par COMMUNE DE FONTENAY-SOUS-BOIS.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2026-W32</t>
        </is>
      </c>
    </row>
    <row r="28">
      <c r="A28" t="inlineStr">
        <is>
          <t>BOAMP</t>
        </is>
      </c>
      <c r="B28" t="inlineStr">
        <is>
          <t>26-79241</t>
        </is>
      </c>
      <c r="C28" t="inlineStr">
        <is>
          <t>Prestations de suppléance dans les collèges publics du département de Seine-et-Marne via l’insertion par l’activité économique</t>
        </is>
      </c>
      <c r="D28" t="inlineStr">
        <is>
          <t>Département de Seine-et-Marne</t>
        </is>
      </c>
      <c r="E28" t="inlineStr">
        <is>
          <t>22770001000019</t>
        </is>
      </c>
      <c r="F28" t="inlineStr">
        <is>
          <t>227700010</t>
        </is>
      </c>
      <c r="G28" t="inlineStr"/>
      <c r="H28" t="inlineStr"/>
      <c r="I28" t="inlineStr">
        <is>
          <t>youblehoue.zionto@departement77.fr</t>
        </is>
      </c>
      <c r="J28" t="inlineStr">
        <is>
          <t>+33 164147467</t>
        </is>
      </c>
      <c r="K28" t="inlineStr"/>
      <c r="L28" t="inlineStr"/>
      <c r="M28" t="inlineStr"/>
      <c r="N28" t="inlineStr">
        <is>
          <t>77</t>
        </is>
      </c>
      <c r="O28" t="inlineStr"/>
      <c r="P28" t="inlineStr">
        <is>
          <t>Ile-de-France</t>
        </is>
      </c>
      <c r="Q28" s="15" t="n">
        <v>46243</v>
      </c>
      <c r="R28" s="15" t="n">
        <v>46290</v>
      </c>
      <c r="S28" t="inlineStr"/>
      <c r="T28" t="inlineStr">
        <is>
          <t>A_VERIFIER_BUDGET</t>
        </is>
      </c>
      <c r="U28" t="inlineStr"/>
      <c r="V28" t="inlineStr">
        <is>
          <t>non</t>
        </is>
      </c>
      <c r="W28" t="inlineStr">
        <is>
          <t>Personnel</t>
        </is>
      </c>
      <c r="X28" t="inlineStr">
        <is>
          <t>Autre</t>
        </is>
      </c>
      <c r="Y28" t="inlineStr">
        <is>
          <t>SERVICES</t>
        </is>
      </c>
      <c r="Z28" t="inlineStr">
        <is>
          <t>Procédure Ouverte</t>
        </is>
      </c>
      <c r="AA28" t="inlineStr">
        <is>
          <t>Avis de marché</t>
        </is>
      </c>
      <c r="AB28" t="inlineStr">
        <is>
          <t>Mise à disposition de personnel</t>
        </is>
      </c>
      <c r="AC28" t="inlineStr"/>
      <c r="AD28" s="11" t="inlineStr">
        <is>
          <t>https://www.boamp.fr/pages/avis/?q=idweb:26-79241</t>
        </is>
      </c>
      <c r="AE28" t="inlineStr">
        <is>
          <t>https://marches.maximilien.fr/entreprise/consultation/944928?orgAcronyme=g3h</t>
        </is>
      </c>
      <c r="AF28" t="inlineStr">
        <is>
          <t>https://marches.maximilien.fr/entreprise/consultation/944928?orgAcronyme=g3h</t>
        </is>
      </c>
      <c r="AG28" t="inlineStr"/>
      <c r="AH28" t="inlineStr">
        <is>
          <t>3</t>
        </is>
      </c>
      <c r="AI28" t="inlineStr">
        <is>
          <t>60</t>
        </is>
      </c>
      <c r="AJ28" t="inlineStr">
        <is>
          <t>INFO_PARTIELLE</t>
        </is>
      </c>
      <c r="AK28" t="inlineStr">
        <is>
          <t>20.2</t>
        </is>
      </c>
      <c r="AL28" s="16" t="inlineStr">
        <is>
          <t>FROID</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26-79241. Objet: Prestations de suppléance dans les collèges publics du département de Seine-et-Marne via l’insertion par l’activité économique. Acheteur: Département de Seine-et-Marne. Lien: https://www.boamp.fr/pages/avis/?q=idweb:26-79241.</t>
        </is>
      </c>
      <c r="AU28" t="inlineStr">
        <is>
          <t>Verifier url_avis et DCE si disponible</t>
        </is>
      </c>
      <c r="AV28" t="inlineStr">
        <is>
          <t>LIEN_SEUL</t>
        </is>
      </c>
      <c r="AW28" t="inlineStr"/>
      <c r="AX28" t="inlineStr"/>
      <c r="AY28" t="inlineStr"/>
      <c r="AZ28" t="inlineStr"/>
      <c r="BA28" t="inlineStr"/>
      <c r="BB28" t="inlineStr">
        <is>
          <t>0 pertinence metier faible | +10 budget non affiche (a verifier) | +8.8 delai 25 j | +1.5 dossier renseigne (3/4)</t>
        </is>
      </c>
      <c r="BC28" t="inlineStr">
        <is>
          <t>Département de Seine-et-Marne publie un AO potentiellement pertinent pour CHRUTH : Prestations de suppléance dans les collèges publics du département de Seine-et-Marne via l’insertion par l’activité économique. Zone : 77. Budget a verifier. Verifier le lien source avant contact.</t>
        </is>
      </c>
      <c r="BD28" t="inlineStr">
        <is>
          <t>Bonjour,
Je me permets de vous contacter au sujet de votre appel d'offres : Prestations de suppléance dans les collèges publics du département de Seine-et-Marne via l’insertion par l’activité économique.
CHRUTH accompagne les structures publiques et privées sur les besoins de nettoyage, d'entretien des locaux et d'organisation de prestations de service.
Serait-il possible d'échanger rapidement afin de vérifier les modalités de réponse et les attentes de Département de Seine-et-Marne ?
Cordialement,</t>
        </is>
      </c>
      <c r="BE28" t="inlineStr">
        <is>
          <t>Bonjour, je vous appelle concernant un appel d'offres publié par Département de Seine-et-Marne.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2026-W32</t>
        </is>
      </c>
    </row>
    <row r="29">
      <c r="A29" t="inlineStr">
        <is>
          <t>BOAMP</t>
        </is>
      </c>
      <c r="B29" t="inlineStr">
        <is>
          <t>26-70841</t>
        </is>
      </c>
      <c r="C29" t="inlineStr">
        <is>
          <t>Prestations d'hébergement de l'Espace d'exposition faisant partie du pavillon Occitanie pour le 56e Salon International de l'Aéronautique et de l'Espace Paris - Relance consultation 26OCC09L</t>
        </is>
      </c>
      <c r="D29" t="inlineStr">
        <is>
          <t>CCI OCCITANIE PYRENEES-MEDITERRANEE</t>
        </is>
      </c>
      <c r="E29" t="inlineStr"/>
      <c r="F29" t="inlineStr"/>
      <c r="G29" t="inlineStr"/>
      <c r="H29" t="inlineStr"/>
      <c r="I29" t="inlineStr">
        <is>
          <t>publications-joue@aws-france.com</t>
        </is>
      </c>
      <c r="J29" t="inlineStr">
        <is>
          <t>+33480041260</t>
        </is>
      </c>
      <c r="K29" t="inlineStr"/>
      <c r="L29" t="inlineStr"/>
      <c r="M29" t="inlineStr"/>
      <c r="N29" t="inlineStr">
        <is>
          <t>75</t>
        </is>
      </c>
      <c r="O29" t="inlineStr"/>
      <c r="P29" t="inlineStr">
        <is>
          <t>Ile-de-France</t>
        </is>
      </c>
      <c r="Q29" s="15" t="n">
        <v>46220</v>
      </c>
      <c r="R29" s="15" t="n">
        <v>46251</v>
      </c>
      <c r="S29" t="inlineStr"/>
      <c r="T29" t="inlineStr">
        <is>
          <t>A_VERIFIER_BUDGET</t>
        </is>
      </c>
      <c r="U29" t="inlineStr"/>
      <c r="V29" t="inlineStr">
        <is>
          <t>non</t>
        </is>
      </c>
      <c r="W29" t="inlineStr">
        <is>
          <t>Personnel</t>
        </is>
      </c>
      <c r="X29" t="inlineStr">
        <is>
          <t>Autre</t>
        </is>
      </c>
      <c r="Y29" t="inlineStr">
        <is>
          <t>SERVICES</t>
        </is>
      </c>
      <c r="Z29" t="inlineStr">
        <is>
          <t>Procédure Ouverte</t>
        </is>
      </c>
      <c r="AA29" t="inlineStr">
        <is>
          <t>Avis de marché</t>
        </is>
      </c>
      <c r="AB29" t="inlineStr">
        <is>
          <t>Evénementiel</t>
        </is>
      </c>
      <c r="AC29" t="inlineStr"/>
      <c r="AD29" s="11" t="inlineStr">
        <is>
          <t>https://www.boamp.fr/pages/avis/?q=idweb:26-70841</t>
        </is>
      </c>
      <c r="AE29" t="inlineStr">
        <is>
          <t>https://www.marches-publics.gouv.fr/entreprise</t>
        </is>
      </c>
      <c r="AF29" t="inlineStr">
        <is>
          <t>https://www.marches-publics.gouv.fr/entreprise</t>
        </is>
      </c>
      <c r="AG29" t="inlineStr"/>
      <c r="AH29" t="inlineStr">
        <is>
          <t>2</t>
        </is>
      </c>
      <c r="AI29" t="inlineStr">
        <is>
          <t>50</t>
        </is>
      </c>
      <c r="AJ29" t="inlineStr">
        <is>
          <t>INFO_PARTIELLE</t>
        </is>
      </c>
      <c r="AK29" t="inlineStr">
        <is>
          <t>20</t>
        </is>
      </c>
      <c r="AL29" s="16" t="inlineStr">
        <is>
          <t>FROID</t>
        </is>
      </c>
      <c r="AM29" t="inlineStr"/>
      <c r="AN29" t="inlineStr"/>
      <c r="AO29" t="inlineStr"/>
      <c r="AP29" t="inlineStr"/>
      <c r="AQ29" t="inlineStr">
        <is>
          <t>IA_BUDGET_A_VERIFIER</t>
        </is>
      </c>
      <c r="AR29" t="inlineStr">
        <is>
          <t>Verifier le budget dans l'avis source ou le DCE avant decision commerciale.</t>
        </is>
      </c>
      <c r="AS29" t="inlineStr">
        <is>
          <t>SIRET, 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29" t="inlineStr">
        <is>
          <t>Verifier url_avis et DCE si disponible</t>
        </is>
      </c>
      <c r="AV29" t="inlineStr">
        <is>
          <t>LIEN_SEUL</t>
        </is>
      </c>
      <c r="AW29" t="inlineStr"/>
      <c r="AX29" t="inlineStr"/>
      <c r="AY29" t="inlineStr"/>
      <c r="AZ29" t="inlineStr"/>
      <c r="BA29" t="inlineStr"/>
      <c r="BB29" t="inlineStr">
        <is>
          <t>0 pertinence metier faible | +10 budget non affiche (a verifier) | +10 delai confortable 20j</t>
        </is>
      </c>
      <c r="BC29"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29"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29"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26-70040</t>
        </is>
      </c>
      <c r="C30" t="inlineStr">
        <is>
          <t>Prestations de gardiennage et sécurité incendie pour le campus HEC Paris</t>
        </is>
      </c>
      <c r="D30" t="inlineStr">
        <is>
          <t>HEC Paris</t>
        </is>
      </c>
      <c r="E30" t="inlineStr"/>
      <c r="F30" t="inlineStr"/>
      <c r="G30" t="inlineStr"/>
      <c r="H30" t="inlineStr"/>
      <c r="I30" t="inlineStr">
        <is>
          <t>publications-joue@aws-france.com</t>
        </is>
      </c>
      <c r="J30" t="inlineStr">
        <is>
          <t>+33480041260</t>
        </is>
      </c>
      <c r="K30" t="inlineStr"/>
      <c r="L30" t="inlineStr"/>
      <c r="M30" t="inlineStr"/>
      <c r="N30" t="inlineStr">
        <is>
          <t>78</t>
        </is>
      </c>
      <c r="O30" t="inlineStr"/>
      <c r="P30" t="inlineStr">
        <is>
          <t>Ile-de-France</t>
        </is>
      </c>
      <c r="Q30" s="15" t="n">
        <v>46218</v>
      </c>
      <c r="R30" s="15" t="n">
        <v>46282</v>
      </c>
      <c r="S30" t="inlineStr"/>
      <c r="T30" t="inlineStr">
        <is>
          <t>A_VERIFIER_BUDGET</t>
        </is>
      </c>
      <c r="U30" t="inlineStr"/>
      <c r="V30" t="inlineStr">
        <is>
          <t>non</t>
        </is>
      </c>
      <c r="W30" t="inlineStr">
        <is>
          <t>Personnel</t>
        </is>
      </c>
      <c r="X30" t="inlineStr">
        <is>
          <t>Autre</t>
        </is>
      </c>
      <c r="Y30" t="inlineStr">
        <is>
          <t>SERVICES</t>
        </is>
      </c>
      <c r="Z30" t="inlineStr">
        <is>
          <t>Procédure Ouverte</t>
        </is>
      </c>
      <c r="AA30" t="inlineStr">
        <is>
          <t>Avis de marché</t>
        </is>
      </c>
      <c r="AB30" t="inlineStr">
        <is>
          <t>Sécurité incendie, Gardiennage</t>
        </is>
      </c>
      <c r="AC30" t="inlineStr">
        <is>
          <t>['sociaux', 'environnementaux']</t>
        </is>
      </c>
      <c r="AD30" s="11" t="inlineStr">
        <is>
          <t>https://www.boamp.fr/pages/avis/?q=idweb:26-70040</t>
        </is>
      </c>
      <c r="AE30" t="inlineStr">
        <is>
          <t>https://www.marches-publics.info/mpiaws/index.cfm?fuseaction=dematEnt.login&amp;amp;type=DCE&amp;amp;IDM=1850314</t>
        </is>
      </c>
      <c r="AF30" t="inlineStr">
        <is>
          <t>https://www.marches-publics.info/mpiaws/index.cfm?fuseaction=dematEnt.login&amp;amp;type=DCE&amp;amp;IDM=1850314</t>
        </is>
      </c>
      <c r="AG30" t="inlineStr"/>
      <c r="AH30" t="inlineStr">
        <is>
          <t>2</t>
        </is>
      </c>
      <c r="AI30" t="inlineStr">
        <is>
          <t>50</t>
        </is>
      </c>
      <c r="AJ30" t="inlineStr">
        <is>
          <t>INFO_PARTIELLE</t>
        </is>
      </c>
      <c r="AK30" t="inlineStr">
        <is>
          <t>20</t>
        </is>
      </c>
      <c r="AL30" s="16" t="inlineStr">
        <is>
          <t>FROID</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30" t="inlineStr">
        <is>
          <t>Verifier url_avis et DCE si disponible</t>
        </is>
      </c>
      <c r="AV30" t="inlineStr">
        <is>
          <t>LIEN_SEUL</t>
        </is>
      </c>
      <c r="AW30" t="inlineStr"/>
      <c r="AX30" t="inlineStr"/>
      <c r="AY30" t="inlineStr"/>
      <c r="AZ30" t="inlineStr"/>
      <c r="BA30" t="inlineStr"/>
      <c r="BB30" t="inlineStr">
        <is>
          <t>0 pertinence metier faible | +10 budget non affiche (a verifier) | +10 delai confortable 51j</t>
        </is>
      </c>
      <c r="BC30" t="inlineStr">
        <is>
          <t>HEC Paris publie un AO potentiellement pertinent pour CHRUTH : Prestations de gardiennage et sécurité incendie pour le campus HEC Paris. Zone : 78. Budget a verifier. Verifier le lien source avant contact.</t>
        </is>
      </c>
      <c r="BD30"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30"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2026-W29</t>
        </is>
      </c>
    </row>
    <row r="31">
      <c r="A31" t="inlineStr">
        <is>
          <t>BOAMP</t>
        </is>
      </c>
      <c r="B31" t="inlineStr">
        <is>
          <t>26-79560</t>
        </is>
      </c>
      <c r="C31" t="inlineStr">
        <is>
          <t>Confection et fourniture de vêtements de travail pour les agents d'accueil et agents d'entretien sanitaires de la tour Eiffel</t>
        </is>
      </c>
      <c r="D31" t="inlineStr">
        <is>
          <t>Société d'Exploitation de la Tour Eiffel</t>
        </is>
      </c>
      <c r="E31" t="inlineStr">
        <is>
          <t>48262252900048</t>
        </is>
      </c>
      <c r="F31" t="inlineStr">
        <is>
          <t>482622529</t>
        </is>
      </c>
      <c r="G31" t="inlineStr"/>
      <c r="H31" t="inlineStr"/>
      <c r="I31" t="inlineStr">
        <is>
          <t>marches@toureiffel.paris</t>
        </is>
      </c>
      <c r="J31" t="inlineStr">
        <is>
          <t>0144112346</t>
        </is>
      </c>
      <c r="K31" t="inlineStr"/>
      <c r="L31" t="inlineStr"/>
      <c r="M31" t="inlineStr"/>
      <c r="N31" t="inlineStr">
        <is>
          <t>75,77,78,60</t>
        </is>
      </c>
      <c r="O31" t="inlineStr"/>
      <c r="P31" t="inlineStr">
        <is>
          <t>Ile-de-France</t>
        </is>
      </c>
      <c r="Q31" s="15" t="n">
        <v>46246</v>
      </c>
      <c r="R31" t="inlineStr"/>
      <c r="S31" t="inlineStr"/>
      <c r="T31" t="inlineStr">
        <is>
          <t>A_VERIFIER_BUDGET</t>
        </is>
      </c>
      <c r="U31" t="inlineStr"/>
      <c r="V31" t="inlineStr">
        <is>
          <t>non</t>
        </is>
      </c>
      <c r="W31" t="inlineStr">
        <is>
          <t>Personnel</t>
        </is>
      </c>
      <c r="X31" t="inlineStr">
        <is>
          <t>Autre</t>
        </is>
      </c>
      <c r="Y31" t="inlineStr">
        <is>
          <t>FOURNITURES</t>
        </is>
      </c>
      <c r="Z31" t="inlineStr">
        <is>
          <t>Procédure Dialogue compétitif</t>
        </is>
      </c>
      <c r="AA31" t="inlineStr">
        <is>
          <t>Avis de marché</t>
        </is>
      </c>
      <c r="AB31" t="inlineStr">
        <is>
          <t>Habillement</t>
        </is>
      </c>
      <c r="AC31" t="inlineStr">
        <is>
          <t>['sociaux', 'environnementaux']</t>
        </is>
      </c>
      <c r="AD31" s="11" t="inlineStr">
        <is>
          <t>https://www.boamp.fr/pages/avis/?q=idweb:26-79560</t>
        </is>
      </c>
      <c r="AE31" t="inlineStr">
        <is>
          <t>https://www.achatpublic.com/sdm/ent/gen/ent_detail.do?PCSLID=CSL_2026_lNMqePOVGB</t>
        </is>
      </c>
      <c r="AF31" t="inlineStr">
        <is>
          <t>https://www.achatpublic.com/sdm/ent/gen/ent_detail.do?PCSLID=CSL_2026_lNMqePOVGB</t>
        </is>
      </c>
      <c r="AG31" t="inlineStr"/>
      <c r="AH31" t="inlineStr">
        <is>
          <t>3</t>
        </is>
      </c>
      <c r="AI31" t="inlineStr">
        <is>
          <t>60</t>
        </is>
      </c>
      <c r="AJ31" t="inlineStr">
        <is>
          <t>INFO_PARTIELLE</t>
        </is>
      </c>
      <c r="AK31" t="inlineStr">
        <is>
          <t>11.5</t>
        </is>
      </c>
      <c r="AL31" s="16" t="inlineStr">
        <is>
          <t>FROID</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26-79560. Objet: Confection et fourniture de vêtements de travail pour les agents d'accueil et agents d'entretien sanitaires de la tour Eiffel. Acheteur: Société d'Exploitation de la Tour Eiffel. Lien: https://www.boamp.fr/pages/avis/?q=idweb:26-79560.</t>
        </is>
      </c>
      <c r="AU31" t="inlineStr">
        <is>
          <t>Verifier url_avis et DCE si disponible</t>
        </is>
      </c>
      <c r="AV31" t="inlineStr">
        <is>
          <t>LIEN_SEUL</t>
        </is>
      </c>
      <c r="AW31" t="inlineStr"/>
      <c r="AX31" t="inlineStr"/>
      <c r="AY31" t="inlineStr"/>
      <c r="AZ31" t="inlineStr"/>
      <c r="BA31" t="inlineStr"/>
      <c r="BB31" t="inlineStr">
        <is>
          <t>0 pertinence metier faible | +10 budget non affiche (a verifier) | 0 date limite absente | +1.5 dossier renseigne (3/4)</t>
        </is>
      </c>
      <c r="BC31" t="inlineStr">
        <is>
          <t>Société d'Exploitation de la Tour Eiffel publie un AO potentiellement pertinent pour CHRUTH : Confection et fourniture de vêtements de travail pour les agents d'accueil et agents d'entretien sanitaires de la tour Eiffel. Zone : 75,77,78,60. Budget a verifier. Verifier le lien source avant contact.</t>
        </is>
      </c>
      <c r="BD31" t="inlineStr">
        <is>
          <t>Bonjour,
Je me permets de vous contacter au sujet de votre appel d'offres : Confection et fourniture de vêtements de travail pour les agents d'accueil et agents d'entretien sanitaires de la tour Eiffel.
CHRUTH accompagne les structures publiques et privées sur les besoins de nettoyage, d'entretien des locaux et d'organisation de prestations de service.
Serait-il possible d'échanger rapidement afin de vérifier les modalités de réponse et les attentes de Société d'Exploitation de la Tour Eiffel ?
Cordialement,</t>
        </is>
      </c>
      <c r="BE31" t="inlineStr">
        <is>
          <t>Bonjour, je vous appelle concernant un appel d'offres publié par Société d'Exploitation de la Tour Eiffel.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2026-W33</t>
        </is>
      </c>
    </row>
    <row r="32">
      <c r="A32" t="inlineStr">
        <is>
          <t>BOAMP</t>
        </is>
      </c>
      <c r="B32" t="inlineStr">
        <is>
          <t>26-76712</t>
        </is>
      </c>
      <c r="C32" t="inlineStr">
        <is>
          <t>ACCORD CADRE N°26066-S-AC
DE PRESTATIONS DE SURETE, SECURITE ET MULTI-MAINTENANCE POUR LES SITES :
- JARDIN DES PLANTES
- MUSEE DE L'HOMME
- PARC ZOOLOGIQUE DE PARIS
POUR LE COMPTE DU MUSEUM MNHN</t>
        </is>
      </c>
      <c r="D32" t="inlineStr">
        <is>
          <t>Museum National d'Histoire Naturelle</t>
        </is>
      </c>
      <c r="E32" t="inlineStr">
        <is>
          <t>45072478600030</t>
        </is>
      </c>
      <c r="F32" t="inlineStr">
        <is>
          <t>450724786</t>
        </is>
      </c>
      <c r="G32" t="inlineStr"/>
      <c r="H32" t="inlineStr"/>
      <c r="I32" t="inlineStr">
        <is>
          <t>thierry.lejeune@mnhn.fr</t>
        </is>
      </c>
      <c r="J32" t="inlineStr">
        <is>
          <t>+33 140793247</t>
        </is>
      </c>
      <c r="K32" t="inlineStr"/>
      <c r="L32" t="inlineStr"/>
      <c r="M32" t="inlineStr"/>
      <c r="N32" t="inlineStr">
        <is>
          <t>75</t>
        </is>
      </c>
      <c r="O32" t="inlineStr"/>
      <c r="P32" t="inlineStr">
        <is>
          <t>Ile-de-France</t>
        </is>
      </c>
      <c r="Q32" s="15" t="n">
        <v>46236</v>
      </c>
      <c r="R32" t="inlineStr"/>
      <c r="S32" t="inlineStr"/>
      <c r="T32" t="inlineStr">
        <is>
          <t>A_VERIFIER_BUDGET</t>
        </is>
      </c>
      <c r="U32" t="inlineStr"/>
      <c r="V32" t="inlineStr">
        <is>
          <t>non</t>
        </is>
      </c>
      <c r="W32" t="inlineStr">
        <is>
          <t>Personnel</t>
        </is>
      </c>
      <c r="X32" t="inlineStr">
        <is>
          <t>Autre</t>
        </is>
      </c>
      <c r="Y32" t="inlineStr">
        <is>
          <t>SERVICES</t>
        </is>
      </c>
      <c r="Z32" t="inlineStr">
        <is>
          <t>Procédure Restreinte</t>
        </is>
      </c>
      <c r="AA32" t="inlineStr">
        <is>
          <t>Avis de marché</t>
        </is>
      </c>
      <c r="AB32" t="inlineStr">
        <is>
          <t>Gardiennage, Maintenance</t>
        </is>
      </c>
      <c r="AC32" t="inlineStr"/>
      <c r="AD32" s="11" t="inlineStr">
        <is>
          <t>https://www.boamp.fr/pages/avis/?q=idweb:26-76712</t>
        </is>
      </c>
      <c r="AE32" t="inlineStr">
        <is>
          <t>https://mnhn.e-marchespublics.com</t>
        </is>
      </c>
      <c r="AF32" t="inlineStr">
        <is>
          <t>https://mnhn.e-marchespublics.com</t>
        </is>
      </c>
      <c r="AG32" t="inlineStr"/>
      <c r="AH32" t="inlineStr">
        <is>
          <t>3</t>
        </is>
      </c>
      <c r="AI32" t="inlineStr">
        <is>
          <t>60</t>
        </is>
      </c>
      <c r="AJ32" t="inlineStr">
        <is>
          <t>INFO_PARTIELLE</t>
        </is>
      </c>
      <c r="AK32" t="inlineStr">
        <is>
          <t>11.5</t>
        </is>
      </c>
      <c r="AL32" s="16" t="inlineStr">
        <is>
          <t>FROID</t>
        </is>
      </c>
      <c r="AM32" t="inlineStr"/>
      <c r="AN32" t="inlineStr"/>
      <c r="AO32" t="inlineStr"/>
      <c r="AP32" t="inlineStr"/>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26-76712. Objet: ACCORD CADRE N°26066-S-AC
DE PRESTATIONS DE SURETE, SECURITE ET MULTI-MAINTENANCE POUR LES SITES :
- JARDIN DES PLANTES
- MUSEE DE L'HOMME
- PARC ZOOLOGIQUE DE PARIS
POUR LE COMPTE DU MUSEUM MNHN. Acheteur: Museum National d'Histoire Naturelle. Lien: https://www.boamp.fr/pages/avis/?q=idweb:26-76712.</t>
        </is>
      </c>
      <c r="AU32" t="inlineStr">
        <is>
          <t>Verifier url_avis et DCE si disponible</t>
        </is>
      </c>
      <c r="AV32" t="inlineStr">
        <is>
          <t>LIEN_SEUL</t>
        </is>
      </c>
      <c r="AW32" t="inlineStr"/>
      <c r="AX32" t="inlineStr"/>
      <c r="AY32" t="inlineStr"/>
      <c r="AZ32" t="inlineStr"/>
      <c r="BA32" t="inlineStr"/>
      <c r="BB32" t="inlineStr">
        <is>
          <t>0 pertinence metier faible | +10 budget non affiche (a verifier) | 0 date limite absente | +1.5 dossier renseigne (3/4)</t>
        </is>
      </c>
      <c r="BC32" t="inlineStr">
        <is>
          <t>Museum National d'Histoire Naturelle publie un AO potentiellement pertinent pour CHRUTH : ACCORD CADRE N°26066-S-AC
DE PRESTATIONS DE SURETE, SECURITE ET MULTI-MAINTENANCE POUR LES SITES :
- JARDIN DES PLANTES
- MUSEE DE L'HOMME
- PARC ZOOLOGIQUE DE PARIS
POUR LE COMPTE DU MUSEUM MNHN. Zone : 75. Budget a verifier. Verifier le lien source avant contact.</t>
        </is>
      </c>
      <c r="BD32" t="inlineStr">
        <is>
          <t>Bonjour,
Je me permets de vous contacter au sujet de votre appel d'offres : ACCORD CADRE N°26066-S-AC
DE PRESTATIONS DE SURETE, SECURITE ET MULTI-MAINTENANCE POUR LES SITES :
- JARDIN DES PLANTES
- MUSEE DE L'HOMME
- PARC ZOOLOGIQUE DE PARIS
POUR LE COMPTE DU MUSEUM MNHN.
CHRUTH accompagne les structures publiques et privées sur les besoins de nettoyage, d'entretien des locaux et d'organisation de prestations de service.
Serait-il possible d'échanger rapidement afin de vérifier les modalités de réponse et les attentes de Museum National d'Histoire Naturelle ?
Cordialement,</t>
        </is>
      </c>
      <c r="BE32" t="inlineStr">
        <is>
          <t>Bonjour, je vous appelle concernant un appel d'offres publié par Museum National d'Histoire Naturelle.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2026-W31</t>
        </is>
      </c>
    </row>
    <row r="33">
      <c r="A33" t="inlineStr">
        <is>
          <t>BOAMP</t>
        </is>
      </c>
      <c r="B33" t="inlineStr">
        <is>
          <t>26-72867</t>
        </is>
      </c>
      <c r="C33" t="inlineStr">
        <is>
          <t>La présente consultation a pour objet des prestations de sécurité incendie, de gardiennage des locaux et d’assistance aux personnels et usagers de l’arrondissement judiciaire de Paris.</t>
        </is>
      </c>
      <c r="D33" t="inlineStr">
        <is>
          <t>Cour d'appel de Paris - SAR</t>
        </is>
      </c>
      <c r="E33" t="inlineStr"/>
      <c r="F33" t="inlineStr"/>
      <c r="G33" t="inlineStr"/>
      <c r="H33" t="inlineStr"/>
      <c r="I33" t="inlineStr">
        <is>
          <t>mp.sar.ca-paris@justice.fr</t>
        </is>
      </c>
      <c r="J33" t="inlineStr">
        <is>
          <t>0144325084</t>
        </is>
      </c>
      <c r="K33" t="inlineStr"/>
      <c r="L33" t="inlineStr"/>
      <c r="M33" t="inlineStr"/>
      <c r="N33" t="inlineStr">
        <is>
          <t>75,77,89,91,93,94,95</t>
        </is>
      </c>
      <c r="O33" t="inlineStr"/>
      <c r="P33" t="inlineStr">
        <is>
          <t>Ile-de-France</t>
        </is>
      </c>
      <c r="Q33" s="15" t="n">
        <v>46226</v>
      </c>
      <c r="R33" t="inlineStr"/>
      <c r="S33" t="inlineStr"/>
      <c r="T33" t="inlineStr">
        <is>
          <t>A_VERIFIER_BUDGET</t>
        </is>
      </c>
      <c r="U33" t="inlineStr"/>
      <c r="V33" t="inlineStr">
        <is>
          <t>non</t>
        </is>
      </c>
      <c r="W33" t="inlineStr">
        <is>
          <t>Personnel</t>
        </is>
      </c>
      <c r="X33" t="inlineStr">
        <is>
          <t>Autre</t>
        </is>
      </c>
      <c r="Y33" t="inlineStr">
        <is>
          <t>SERVICES</t>
        </is>
      </c>
      <c r="Z33" t="inlineStr">
        <is>
          <t>Procédure Restreinte</t>
        </is>
      </c>
      <c r="AA33" t="inlineStr">
        <is>
          <t>Avis de marché</t>
        </is>
      </c>
      <c r="AB33" t="inlineStr">
        <is>
          <t>Gardiennage, Sécurité incendie</t>
        </is>
      </c>
      <c r="AC33" t="inlineStr"/>
      <c r="AD33" s="11" t="inlineStr">
        <is>
          <t>https://www.boamp.fr/pages/avis/?q=idweb:26-72867</t>
        </is>
      </c>
      <c r="AE33" t="inlineStr">
        <is>
          <t>https://www.marches-publics.gouv.fr/entreprise</t>
        </is>
      </c>
      <c r="AF33" t="inlineStr">
        <is>
          <t>https://www.marches-publics.gouv.fr/entreprise</t>
        </is>
      </c>
      <c r="AG33" t="inlineStr"/>
      <c r="AH33" t="inlineStr">
        <is>
          <t>2</t>
        </is>
      </c>
      <c r="AI33" t="inlineStr">
        <is>
          <t>50</t>
        </is>
      </c>
      <c r="AJ33" t="inlineStr">
        <is>
          <t>INFO_PARTIELLE</t>
        </is>
      </c>
      <c r="AK33" t="inlineStr">
        <is>
          <t>10</t>
        </is>
      </c>
      <c r="AL33" s="16" t="inlineStr">
        <is>
          <t>FROID</t>
        </is>
      </c>
      <c r="AM33" t="inlineStr"/>
      <c r="AN33" t="inlineStr"/>
      <c r="AO33" t="inlineStr"/>
      <c r="AP33" t="inlineStr"/>
      <c r="AQ33" t="inlineStr">
        <is>
          <t>IA_BUDGET_A_VERIFIER</t>
        </is>
      </c>
      <c r="AR33" t="inlineStr">
        <is>
          <t>Verifier le budget dans l'avis source ou le DCE avant decision commerciale.</t>
        </is>
      </c>
      <c r="AS33" t="inlineStr">
        <is>
          <t>SIRET, 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33" t="inlineStr">
        <is>
          <t>Verifier url_avis et DCE si disponible</t>
        </is>
      </c>
      <c r="AV33" t="inlineStr">
        <is>
          <t>LIEN_SEUL</t>
        </is>
      </c>
      <c r="AW33" t="inlineStr"/>
      <c r="AX33" t="inlineStr"/>
      <c r="AY33" t="inlineStr"/>
      <c r="AZ33" t="inlineStr"/>
      <c r="BA33" t="inlineStr"/>
      <c r="BB33" t="inlineStr">
        <is>
          <t>0 pertinence metier faible | +10 budget non affiche (a verifier) | 0 date limite absente</t>
        </is>
      </c>
      <c r="BC33"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33"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33"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2026-W30</t>
        </is>
      </c>
    </row>
    <row r="34">
      <c r="A34" t="inlineStr">
        <is>
          <t>BOAMP</t>
        </is>
      </c>
      <c r="B34" t="inlineStr">
        <is>
          <t>26-79004</t>
        </is>
      </c>
      <c r="C34" t="inlineStr">
        <is>
          <t>Accord-cadre relatif à la mise à disposition de personnel intérimaire</t>
        </is>
      </c>
      <c r="D34" t="inlineStr">
        <is>
          <t>ANRU.</t>
        </is>
      </c>
      <c r="E34" t="inlineStr">
        <is>
          <t>45367825200025</t>
        </is>
      </c>
      <c r="F34" t="inlineStr">
        <is>
          <t>453678252</t>
        </is>
      </c>
      <c r="G34" t="inlineStr"/>
      <c r="H34" t="inlineStr"/>
      <c r="I34" t="inlineStr">
        <is>
          <t>scapet@anru.fr</t>
        </is>
      </c>
      <c r="J34" t="inlineStr">
        <is>
          <t>0761066208</t>
        </is>
      </c>
      <c r="K34" t="inlineStr"/>
      <c r="L34" t="inlineStr"/>
      <c r="M34" t="inlineStr"/>
      <c r="N34" t="inlineStr">
        <is>
          <t>93</t>
        </is>
      </c>
      <c r="O34" t="inlineStr"/>
      <c r="P34" t="inlineStr">
        <is>
          <t>Ile-de-France</t>
        </is>
      </c>
      <c r="Q34" s="15" t="n">
        <v>46243</v>
      </c>
      <c r="R34" s="15" t="n">
        <v>46272</v>
      </c>
      <c r="S34" t="inlineStr"/>
      <c r="T34" t="inlineStr">
        <is>
          <t>A_VERIFIER_BUDGET</t>
        </is>
      </c>
      <c r="U34" t="inlineStr"/>
      <c r="V34" t="inlineStr">
        <is>
          <t>non</t>
        </is>
      </c>
      <c r="W34" t="inlineStr">
        <is>
          <t>Personnel</t>
        </is>
      </c>
      <c r="X34" t="inlineStr">
        <is>
          <t>Autre</t>
        </is>
      </c>
      <c r="Y34" t="inlineStr">
        <is>
          <t>SERVICES</t>
        </is>
      </c>
      <c r="Z34" t="inlineStr">
        <is>
          <t>Procédure Ouverte</t>
        </is>
      </c>
      <c r="AA34" t="inlineStr">
        <is>
          <t>Avis de marché</t>
        </is>
      </c>
      <c r="AB34" t="inlineStr">
        <is>
          <t>Prestations de services</t>
        </is>
      </c>
      <c r="AC34" t="inlineStr">
        <is>
          <t>['sociaux', 'environnementaux']</t>
        </is>
      </c>
      <c r="AD34" s="11" t="inlineStr">
        <is>
          <t>https://www.boamp.fr/pages/avis/?q=idweb:26-79004</t>
        </is>
      </c>
      <c r="AE34" t="inlineStr">
        <is>
          <t>https://www.marches-publics.gouv.fr/entreprise</t>
        </is>
      </c>
      <c r="AF34" t="inlineStr">
        <is>
          <t>https://www.marches-publics.gouv.fr/entreprise</t>
        </is>
      </c>
      <c r="AG34" t="inlineStr"/>
      <c r="AH34" t="inlineStr">
        <is>
          <t>3</t>
        </is>
      </c>
      <c r="AI34" t="inlineStr">
        <is>
          <t>60</t>
        </is>
      </c>
      <c r="AJ34" t="inlineStr">
        <is>
          <t>INFO_PARTIELLE</t>
        </is>
      </c>
      <c r="AK34" t="inlineStr">
        <is>
          <t>8.5</t>
        </is>
      </c>
      <c r="AL34" s="16" t="inlineStr">
        <is>
          <t>FROID</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26-79004. Objet: Accord-cadre relatif à la mise à disposition de personnel intérimaire. Acheteur: ANRU.. Lien: https://www.boamp.fr/pages/avis/?q=idweb:26-79004.</t>
        </is>
      </c>
      <c r="AU34" t="inlineStr">
        <is>
          <t>Verifier url_avis et DCE si disponible</t>
        </is>
      </c>
      <c r="AV34" t="inlineStr">
        <is>
          <t>LIEN_SEUL</t>
        </is>
      </c>
      <c r="AW34" t="inlineStr"/>
      <c r="AX34" t="inlineStr"/>
      <c r="AY34" t="inlineStr"/>
      <c r="AZ34" t="inlineStr"/>
      <c r="BA34" t="inlineStr"/>
      <c r="BB34" t="inlineStr">
        <is>
          <t>0 pertinence metier faible | +10 budget non affiche (a verifier) | -3.0 delai 7 j | +1.5 dossier renseigne (3/4)</t>
        </is>
      </c>
      <c r="BC34" t="inlineStr">
        <is>
          <t>ANRU. publie un AO potentiellement pertinent pour CHRUTH : Accord-cadre relatif à la mise à disposition de personnel intérimaire. Zone : 93. Budget a verifier. Verifier le lien source avant contact.</t>
        </is>
      </c>
      <c r="BD34" t="inlineStr">
        <is>
          <t>Bonjour,
Je me permets de vous contacter au sujet de votre appel d'offres : Accord-cadre relatif à la mise à disposition de personnel intérimaire.
CHRUTH accompagne les structures publiques et privées sur les besoins de nettoyage, d'entretien des locaux et d'organisation de prestations de service.
Serait-il possible d'échanger rapidement afin de vérifier les modalités de réponse et les attentes de ANRU. ?
Cordialement,</t>
        </is>
      </c>
      <c r="BE34" t="inlineStr">
        <is>
          <t>Bonjour, je vous appelle concernant un appel d'offres publié par ANRU..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2026-W32</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s>
  <pageMargins left="0.75" right="0.75" top="1" bottom="1" header="0.5" footer="0.5"/>
  <tableParts count="1">
    <tablePart xmlns:r="http://schemas.openxmlformats.org/officeDocument/2006/relationships" r:id="rId34"/>
  </tableParts>
</worksheet>
</file>

<file path=xl/worksheets/sheet9.xml><?xml version="1.0" encoding="utf-8"?>
<worksheet xmlns="http://schemas.openxmlformats.org/spreadsheetml/2006/main">
  <sheetPr>
    <outlinePr summaryBelow="1" summaryRight="1"/>
    <pageSetUpPr/>
  </sheetPr>
  <dimension ref="A1:G37"/>
  <sheetViews>
    <sheetView workbookViewId="0">
      <pane xSplit="2" ySplit="1" topLeftCell="C2" activePane="bottomRight" state="frozen"/>
      <selection pane="topRight"/>
      <selection pane="bottomLeft"/>
      <selection pane="bottomRight" activeCell="A1" sqref="A1"/>
    </sheetView>
  </sheetViews>
  <sheetFormatPr baseColWidth="8" defaultRowHeight="15"/>
  <cols>
    <col width="10" customWidth="1" min="1" max="1"/>
    <col width="55" customWidth="1" min="2" max="2"/>
    <col width="55" customWidth="1" min="3" max="3"/>
    <col width="55" customWidth="1" min="4" max="4"/>
    <col width="55" customWidth="1" min="5" max="5"/>
    <col width="12" customWidth="1" min="6" max="6"/>
    <col width="17" customWidth="1" min="7" max="7"/>
  </cols>
  <sheetData>
    <row r="1">
      <c r="A1" s="12" t="inlineStr">
        <is>
          <t>id_ao</t>
        </is>
      </c>
      <c r="B1" s="12" t="inlineStr">
        <is>
          <t>objet</t>
        </is>
      </c>
      <c r="C1" s="12" t="inlineStr">
        <is>
          <t>acheteur</t>
        </is>
      </c>
      <c r="D1" s="12" t="inlineStr">
        <is>
          <t>url_dce</t>
        </is>
      </c>
      <c r="E1" s="12" t="inlineStr">
        <is>
          <t>url_profil_acheteur</t>
        </is>
      </c>
      <c r="F1" s="12" t="inlineStr">
        <is>
          <t>dce_statut</t>
        </is>
      </c>
      <c r="G1" s="12" t="inlineStr">
        <is>
          <t>fichier_attendu</t>
        </is>
      </c>
    </row>
    <row r="2">
      <c r="A2" t="inlineStr">
        <is>
          <t>26-73275</t>
        </is>
      </c>
      <c r="B2" t="inlineStr">
        <is>
          <t>ENTRETIEN, REMISE EN ETAT ET AMENAGEMENT D'ESPACES VERTS POUR LA VILLE DE GENNEVILLIERS
LOT N°1 : Entretien des secteurs d'habitation Nord et du cimetière, remise en état et aménagement d'e</t>
        </is>
      </c>
      <c r="C2" t="inlineStr">
        <is>
          <t>Ville de Gennevilliers</t>
        </is>
      </c>
      <c r="D2" t="inlineStr">
        <is>
          <t>https://www.marches-publics.info/mpiaws/index.cfm?fuseaction=dematEnt.login&amp;amp;type=DCE&amp;amp;IDM=1848323</t>
        </is>
      </c>
      <c r="E2" t="inlineStr">
        <is>
          <t>https://www.marches-publics.info/mpiaws/index.cfm?fuseaction=dematEnt.login&amp;amp;type=DCE&amp;amp;IDM=1848323</t>
        </is>
      </c>
      <c r="F2" t="inlineStr">
        <is>
          <t>LIEN_SEUL</t>
        </is>
      </c>
      <c r="G2" t="inlineStr">
        <is>
          <t>26-73275.pdf</t>
        </is>
      </c>
    </row>
    <row r="3">
      <c r="A3" t="inlineStr">
        <is>
          <t>26-82885</t>
        </is>
      </c>
      <c r="B3" t="inlineStr">
        <is>
          <t>Balayage des voies, trottoirs et caniveaux</t>
        </is>
      </c>
      <c r="C3" t="inlineStr">
        <is>
          <t>Mairie de Maule</t>
        </is>
      </c>
      <c r="D3" t="inlineStr">
        <is>
          <t>https://www.achatpublic.com/sdm/ent2/gen/index.jsp</t>
        </is>
      </c>
      <c r="E3" t="inlineStr">
        <is>
          <t>https://www.achatpublic.com/sdm/ent2/gen/index.jsp</t>
        </is>
      </c>
      <c r="F3" t="inlineStr">
        <is>
          <t>LIEN_SEUL</t>
        </is>
      </c>
      <c r="G3" t="inlineStr">
        <is>
          <t>26-82885.pdf</t>
        </is>
      </c>
    </row>
    <row r="4">
      <c r="A4" t="inlineStr">
        <is>
          <t>26-74949</t>
        </is>
      </c>
      <c r="B4" t="inlineStr">
        <is>
          <t>Prestations D'Entretien Ménager Des Gymnases De La Ville De Roissy-En-Brie</t>
        </is>
      </c>
      <c r="C4" t="inlineStr">
        <is>
          <t>Mairie de Roissy-en-Brie</t>
        </is>
      </c>
      <c r="D4" t="inlineStr">
        <is>
          <t>https://www.marches-publics.info/mpiaws/index.cfm?fuseaction=dematent.login&amp;type=Dce&amp;Idm=1855543</t>
        </is>
      </c>
      <c r="E4" t="inlineStr">
        <is>
          <t>https://www.marches-publics.info/mpiaws/index.cfm?fuseaction=dematent.login&amp;type=Dce&amp;Idm=1855543</t>
        </is>
      </c>
      <c r="F4" t="inlineStr">
        <is>
          <t>LIEN_SEUL</t>
        </is>
      </c>
      <c r="G4" t="inlineStr">
        <is>
          <t>26-74949.pdf</t>
        </is>
      </c>
    </row>
    <row r="5">
      <c r="A5" t="inlineStr">
        <is>
          <t>26-80740</t>
        </is>
      </c>
      <c r="B5" t="inlineStr">
        <is>
          <t>Entretien Ménager - Service Ordures Ménagères -</t>
        </is>
      </c>
      <c r="C5" t="inlineStr">
        <is>
          <t>SAEM de construction Maisons-Laffitte</t>
        </is>
      </c>
      <c r="D5" t="inlineStr">
        <is>
          <t>https://www.e-marchespublics.com/appel-offre/1178203</t>
        </is>
      </c>
      <c r="E5" t="inlineStr">
        <is>
          <t>https://www.e-marchespublics.com/appel-offre/1178203</t>
        </is>
      </c>
      <c r="F5" t="inlineStr">
        <is>
          <t>LIEN_SEUL</t>
        </is>
      </c>
      <c r="G5" t="inlineStr">
        <is>
          <t>26-80740.pdf</t>
        </is>
      </c>
    </row>
    <row r="6">
      <c r="A6" t="inlineStr">
        <is>
          <t>26-78436</t>
        </is>
      </c>
      <c r="B6" t="inlineStr">
        <is>
          <t>Nettoyage Des Batiments Communaux Et Nettoyage Des Vitres</t>
        </is>
      </c>
      <c r="C6" t="inlineStr">
        <is>
          <t>Mairie De Gouvernes</t>
        </is>
      </c>
      <c r="D6" t="inlineStr">
        <is>
          <t>https://www.marches-publics.info/mpiaws/index.cfm?fuseaction=dematent.login&amp;type=Dce&amp;Idm=1859473</t>
        </is>
      </c>
      <c r="E6" t="inlineStr">
        <is>
          <t>https://www.marches-publics.info/mpiaws/index.cfm?fuseaction=dematent.login&amp;type=Dce&amp;Idm=1859473</t>
        </is>
      </c>
      <c r="F6" t="inlineStr">
        <is>
          <t>LIEN_SEUL</t>
        </is>
      </c>
      <c r="G6" t="inlineStr">
        <is>
          <t>26-78436.pdf</t>
        </is>
      </c>
    </row>
    <row r="7">
      <c r="A7" t="inlineStr">
        <is>
          <t>26-83338</t>
        </is>
      </c>
      <c r="B7" t="inlineStr">
        <is>
          <t>Nettoyage Des Vitres Dans Les Batiments Communaux</t>
        </is>
      </c>
      <c r="C7" t="inlineStr">
        <is>
          <t>Mairie de Bonneuil sur Marne</t>
        </is>
      </c>
      <c r="D7" t="inlineStr">
        <is>
          <t>https://www.marches-publics.info/mpiaws/index.cfm?fuseaction=dematent.login&amp;type=Dce&amp;Idm=1864838</t>
        </is>
      </c>
      <c r="E7" t="inlineStr">
        <is>
          <t>https://www.marches-publics.info/mpiaws/index.cfm?fuseaction=dematent.login&amp;type=Dce&amp;Idm=1864838</t>
        </is>
      </c>
      <c r="F7" t="inlineStr">
        <is>
          <t>LIEN_SEUL</t>
        </is>
      </c>
      <c r="G7" t="inlineStr">
        <is>
          <t>26-83338.pdf</t>
        </is>
      </c>
    </row>
    <row r="8">
      <c r="A8" t="inlineStr">
        <is>
          <t>26-84191</t>
        </is>
      </c>
      <c r="B8" t="inlineStr">
        <is>
          <t>Nettoyage et entretien des locaux des bâtiments communaux</t>
        </is>
      </c>
      <c r="C8" t="inlineStr">
        <is>
          <t>Mairie d'Emerainville</t>
        </is>
      </c>
      <c r="D8" t="inlineStr">
        <is>
          <t>https://www.mairie-emerainville.fr/</t>
        </is>
      </c>
      <c r="E8" t="inlineStr"/>
      <c r="F8" t="inlineStr">
        <is>
          <t>LIEN_SEUL</t>
        </is>
      </c>
      <c r="G8" t="inlineStr">
        <is>
          <t>26-84191.pdf</t>
        </is>
      </c>
    </row>
    <row r="9">
      <c r="A9" t="inlineStr">
        <is>
          <t>26-78821</t>
        </is>
      </c>
      <c r="B9" t="inlineStr">
        <is>
          <t>Prestations de nettoyage des locaux et des vitreries du Complexe Sportif et Culturel Camille Muffat.</t>
        </is>
      </c>
      <c r="C9" t="inlineStr">
        <is>
          <t>Seine Spport Culture</t>
        </is>
      </c>
      <c r="D9" t="inlineStr">
        <is>
          <t>https://marches.maximilien.fr/entreprise/consultation/945004?orgAcronyme=a7k</t>
        </is>
      </c>
      <c r="E9" t="inlineStr">
        <is>
          <t>https://marches.maximilien.fr/entreprise/consultation/945004?orgAcronyme=a7k</t>
        </is>
      </c>
      <c r="F9" t="inlineStr">
        <is>
          <t>LIEN_SEUL</t>
        </is>
      </c>
      <c r="G9" t="inlineStr">
        <is>
          <t>26-78821.pdf</t>
        </is>
      </c>
    </row>
    <row r="10">
      <c r="A10" t="inlineStr">
        <is>
          <t>26-80807</t>
        </is>
      </c>
      <c r="B10" t="inlineStr">
        <is>
          <t>PRESTATION DE NETTOYAGE, D’ENTRETIEN COURANT ET DE BLANCHISSERIE : STRUCTURES PETITE ENFANCE - MAISON DE L’ENFANCE « NICOLE CHAPEL », CRECHE COLLECTIVE « LES DAUPHINS » ET HALTE-GARDERIE « LES POUS...</t>
        </is>
      </c>
      <c r="C10" t="inlineStr">
        <is>
          <t>VILLE DE MELUN, Pôle ressources, Services à la population et Transition Ecologique</t>
        </is>
      </c>
      <c r="D10" t="inlineStr">
        <is>
          <t>https://www.ville-melun.fr/la-ville/marches-publics</t>
        </is>
      </c>
      <c r="E10" t="inlineStr"/>
      <c r="F10" t="inlineStr">
        <is>
          <t>LIEN_SEUL</t>
        </is>
      </c>
      <c r="G10" t="inlineStr">
        <is>
          <t>26-80807.pdf</t>
        </is>
      </c>
    </row>
    <row r="11">
      <c r="A11" t="inlineStr">
        <is>
          <t>26-71198</t>
        </is>
      </c>
      <c r="B11" t="inlineStr">
        <is>
          <t>CONCESSION DE SERVICE PUBLIC 
PORTANT SUR LA GESTION ET L'EXPLOITATION DES MARCHES FORAINS DE LA VILLE DE MONTROUGE</t>
        </is>
      </c>
      <c r="C11" t="inlineStr">
        <is>
          <t>Ville de Montrouge</t>
        </is>
      </c>
      <c r="D11" t="inlineStr">
        <is>
          <t>https://www.achatpublic.com/sdm/ent2/gen/index.jsp</t>
        </is>
      </c>
      <c r="E11" t="inlineStr">
        <is>
          <t>https://www.achatpublic.com/sdm/ent2/gen/index.jsp</t>
        </is>
      </c>
      <c r="F11" t="inlineStr">
        <is>
          <t>LIEN_SEUL</t>
        </is>
      </c>
      <c r="G11" t="inlineStr">
        <is>
          <t>26-71198.pdf</t>
        </is>
      </c>
    </row>
    <row r="12">
      <c r="A12" t="inlineStr">
        <is>
          <t>26-82481</t>
        </is>
      </c>
      <c r="B12" t="inlineStr">
        <is>
          <t>NETTOYAGE DES LOCAUX DANS LES ETABLISSMENTS DE LA PETITE ENFANCE</t>
        </is>
      </c>
      <c r="C12" t="inlineStr">
        <is>
          <t>Ville de Levallois</t>
        </is>
      </c>
      <c r="D12" t="inlineStr">
        <is>
          <t>https://www.marches-publics.info/mpiaws/index.cfm?fuseaction=dematEnt.login&amp;amp;type=DCE&amp;amp;IDM=1863702</t>
        </is>
      </c>
      <c r="E12" t="inlineStr">
        <is>
          <t>https://www.marches-publics.info/mpiaws/index.cfm?fuseaction=dematEnt.login&amp;amp;type=DCE&amp;amp;IDM=1863702</t>
        </is>
      </c>
      <c r="F12" t="inlineStr">
        <is>
          <t>LIEN_SEUL</t>
        </is>
      </c>
      <c r="G12" t="inlineStr">
        <is>
          <t>26-82481.pdf</t>
        </is>
      </c>
    </row>
    <row r="13">
      <c r="A13" t="inlineStr">
        <is>
          <t>26-83560</t>
        </is>
      </c>
      <c r="B13" t="inlineStr">
        <is>
          <t>Prestations de nettoyage des bâtiments communaux de la ville de Sceaux 2027-2030</t>
        </is>
      </c>
      <c r="C13" t="inlineStr">
        <is>
          <t>ville de sceaux</t>
        </is>
      </c>
      <c r="D13" t="inlineStr">
        <is>
          <t>https://marches.maximilien.fr/entreprise/consultation/945889?orgAcronyme=d7t</t>
        </is>
      </c>
      <c r="E13" t="inlineStr">
        <is>
          <t>https://marches.maximilien.fr/entreprise/consultation/945889?orgAcronyme=d7t</t>
        </is>
      </c>
      <c r="F13" t="inlineStr">
        <is>
          <t>LIEN_SEUL</t>
        </is>
      </c>
      <c r="G13" t="inlineStr">
        <is>
          <t>26-83560.pdf</t>
        </is>
      </c>
    </row>
    <row r="14">
      <c r="A14" t="inlineStr">
        <is>
          <t>26-80351</t>
        </is>
      </c>
      <c r="B14" t="inlineStr">
        <is>
          <t>Prestations de nettoyage des vitres de l'ensemble des bâtiments communaux de la ville de Sarcelles</t>
        </is>
      </c>
      <c r="C14" t="inlineStr">
        <is>
          <t>Ville de Sarcelles</t>
        </is>
      </c>
      <c r="D14" t="inlineStr">
        <is>
          <t>https://sarcelles.e-marchespublics.com</t>
        </is>
      </c>
      <c r="E14" t="inlineStr">
        <is>
          <t>https://sarcelles.e-marchespublics.com</t>
        </is>
      </c>
      <c r="F14" t="inlineStr">
        <is>
          <t>LIEN_SEUL</t>
        </is>
      </c>
      <c r="G14" t="inlineStr">
        <is>
          <t>26-80351.pdf</t>
        </is>
      </c>
    </row>
    <row r="15">
      <c r="A15" t="inlineStr">
        <is>
          <t>26-81760</t>
        </is>
      </c>
      <c r="B15" t="inlineStr">
        <is>
          <t>Marché de prestations de service relatif au nettoyage des bâtiments municipaux : locaux et vitrerie.</t>
        </is>
      </c>
      <c r="C15" t="inlineStr">
        <is>
          <t>Commune de Villepreux</t>
        </is>
      </c>
      <c r="D15" t="inlineStr">
        <is>
          <t>https://www.achatpublic.com/sdm/ent/gen/ent_detail.do?PCSLID=CSL_2026_B11a--YMRc</t>
        </is>
      </c>
      <c r="E15" t="inlineStr">
        <is>
          <t>https://www.achatpublic.com/sdm/ent/gen/ent_detail.do?PCSLID=CSL_2026_B11a--YMRc</t>
        </is>
      </c>
      <c r="F15" t="inlineStr">
        <is>
          <t>LIEN_SEUL</t>
        </is>
      </c>
      <c r="G15" t="inlineStr">
        <is>
          <t>26-81760.pdf</t>
        </is>
      </c>
    </row>
    <row r="16">
      <c r="A16" t="inlineStr">
        <is>
          <t>26-83553</t>
        </is>
      </c>
      <c r="B16" t="inlineStr">
        <is>
          <t>Fourniture et prestations associées pour l'entretien de véhicules thermiques et électriques et l'équipement d'ateliers mécaniques</t>
        </is>
      </c>
      <c r="C16" t="inlineStr">
        <is>
          <t>Ville de Sevran</t>
        </is>
      </c>
      <c r="D16" t="inlineStr">
        <is>
          <t>https://www.marches-publics.info</t>
        </is>
      </c>
      <c r="E16" t="inlineStr">
        <is>
          <t>https://www.marches-publics.info</t>
        </is>
      </c>
      <c r="F16" t="inlineStr">
        <is>
          <t>LIEN_SEUL</t>
        </is>
      </c>
      <c r="G16" t="inlineStr">
        <is>
          <t>26-83553.pdf</t>
        </is>
      </c>
    </row>
    <row r="17">
      <c r="A17" t="inlineStr">
        <is>
          <t>26-72948</t>
        </is>
      </c>
      <c r="B17" t="inlineStr">
        <is>
          <t>26MF026 - Fourniture d'appareils ménagers et d'équipements professionnels</t>
        </is>
      </c>
      <c r="C17" t="inlineStr">
        <is>
          <t>Ville de Plaisir</t>
        </is>
      </c>
      <c r="D17" t="inlineStr">
        <is>
          <t>https://ville-plaisir.e-marches-publics.com</t>
        </is>
      </c>
      <c r="E17" t="inlineStr"/>
      <c r="F17" t="inlineStr">
        <is>
          <t>LIEN_SEUL</t>
        </is>
      </c>
      <c r="G17" t="inlineStr">
        <is>
          <t>26-72948.pdf</t>
        </is>
      </c>
    </row>
    <row r="18">
      <c r="A18" t="inlineStr">
        <is>
          <t>26-71986</t>
        </is>
      </c>
      <c r="B18" t="inlineStr">
        <is>
          <t>Nettoyage des locaux communaux et des vitreries des bâtiments communaux</t>
        </is>
      </c>
      <c r="C18" t="inlineStr">
        <is>
          <t>Ville de Fontenay-aux-Roses</t>
        </is>
      </c>
      <c r="D18" t="inlineStr">
        <is>
          <t>https://www.marches-publics.info/accueil.htm</t>
        </is>
      </c>
      <c r="E18" t="inlineStr">
        <is>
          <t>https://www.marches-publics.info/accueil.htm</t>
        </is>
      </c>
      <c r="F18" t="inlineStr">
        <is>
          <t>LIEN_SEUL</t>
        </is>
      </c>
      <c r="G18" t="inlineStr">
        <is>
          <t>26-71986.pdf</t>
        </is>
      </c>
    </row>
    <row r="19">
      <c r="A19" t="inlineStr">
        <is>
          <t>26-79275</t>
        </is>
      </c>
      <c r="B19" t="inlineStr">
        <is>
          <t>NETTOYAGE, COLLECTE, EVACUATION ET TRAITEMENT DES DECHETS DU MARCHE COMMUNAL</t>
        </is>
      </c>
      <c r="C19" t="inlineStr">
        <is>
          <t>Commune de Chanteloup les Vignes</t>
        </is>
      </c>
      <c r="D19" t="inlineStr">
        <is>
          <t>https://www.achatpublic.com/sdm/ent/gen/ent_detail.do?PCSLID=CSL_2026_-fifweNbVP</t>
        </is>
      </c>
      <c r="E19" t="inlineStr">
        <is>
          <t>https://www.achatpublic.com/sdm/ent/gen/ent_detail.do?PCSLID=CSL_2026_-fifweNbVP</t>
        </is>
      </c>
      <c r="F19" t="inlineStr">
        <is>
          <t>LIEN_SEUL</t>
        </is>
      </c>
      <c r="G19" t="inlineStr">
        <is>
          <t>26-79275.pdf</t>
        </is>
      </c>
    </row>
    <row r="20">
      <c r="A20" t="inlineStr">
        <is>
          <t>26-72105</t>
        </is>
      </c>
      <c r="B20" t="inlineStr">
        <is>
          <t>PRESTATIONS DE SERVICES DE NETTOYAGE ET BIONETTOYAGE DES LOCAUX, DE LA VITRERIE ET SERVICES ASSOCIES POUR LE CHIMM</t>
        </is>
      </c>
      <c r="C20" t="inlineStr">
        <is>
          <t>Centre Hospitalier Poissy/Saint-Germain-En-Laye</t>
        </is>
      </c>
      <c r="D20" t="inlineStr">
        <is>
          <t>https://marches.maximilien.fr/entreprise/consultation/943757?orgAcronyme=a2k</t>
        </is>
      </c>
      <c r="E20" t="inlineStr">
        <is>
          <t>https://marches.maximilien.fr/entreprise/consultation/943757?orgAcronyme=a2k</t>
        </is>
      </c>
      <c r="F20" t="inlineStr">
        <is>
          <t>LIEN_SEUL</t>
        </is>
      </c>
      <c r="G20" t="inlineStr">
        <is>
          <t>26-72105.pdf</t>
        </is>
      </c>
    </row>
    <row r="21">
      <c r="A21" t="inlineStr">
        <is>
          <t>26-70503</t>
        </is>
      </c>
      <c r="B21" t="inlineStr">
        <is>
          <t>Prestations de nettoyage des locaux et de la vitrerie et prestations associées pour les sites du GHT Grand Paris Nord-Est</t>
        </is>
      </c>
      <c r="C21" t="inlineStr">
        <is>
          <t>GHT GPNE</t>
        </is>
      </c>
      <c r="D21" t="inlineStr">
        <is>
          <t>https://marches.maximilien.fr/entreprise/consultation/943277?orgAcronyme=a1j</t>
        </is>
      </c>
      <c r="E21" t="inlineStr">
        <is>
          <t>https://marches.maximilien.fr/entreprise/consultation/943277?orgAcronyme=a1j</t>
        </is>
      </c>
      <c r="F21" t="inlineStr">
        <is>
          <t>LIEN_SEUL</t>
        </is>
      </c>
      <c r="G21" t="inlineStr">
        <is>
          <t>26-70503.pdf</t>
        </is>
      </c>
    </row>
    <row r="22">
      <c r="A22" t="inlineStr">
        <is>
          <t>26-70522</t>
        </is>
      </c>
      <c r="B22" t="inlineStr">
        <is>
          <t>PRESTATIONS DE COACHING ET D’ACCOMPAGNEMENT DES MEMBRES D’UN CODIR AU PROFIT DE L’EPIDE</t>
        </is>
      </c>
      <c r="C22" t="inlineStr">
        <is>
          <t>EPIDE</t>
        </is>
      </c>
      <c r="D22" t="inlineStr">
        <is>
          <t>https://www.epide.fr/</t>
        </is>
      </c>
      <c r="E22" t="inlineStr"/>
      <c r="F22" t="inlineStr">
        <is>
          <t>LIEN_SEUL</t>
        </is>
      </c>
      <c r="G22" t="inlineStr">
        <is>
          <t>26-70522.pdf</t>
        </is>
      </c>
    </row>
    <row r="23">
      <c r="A23" t="inlineStr">
        <is>
          <t>26-83118</t>
        </is>
      </c>
      <c r="B23" t="inlineStr">
        <is>
          <t>2026-61359767 (avis de publicité)  et référence DIPADEST sur Place</t>
        </is>
      </c>
      <c r="C23" t="inlineStr">
        <is>
          <t>DGDDI DI PARIS-AEROPORTS</t>
        </is>
      </c>
      <c r="D23" t="inlineStr">
        <is>
          <t>https://www.marches-publics.gouv.fr</t>
        </is>
      </c>
      <c r="E23" t="inlineStr">
        <is>
          <t>https://www.marches-publics.gouv.fr</t>
        </is>
      </c>
      <c r="F23" t="inlineStr">
        <is>
          <t>LIEN_SEUL</t>
        </is>
      </c>
      <c r="G23" t="inlineStr">
        <is>
          <t>26-83118.pdf</t>
        </is>
      </c>
    </row>
    <row r="24">
      <c r="A24" t="inlineStr">
        <is>
          <t>26-72955</t>
        </is>
      </c>
      <c r="B24" t="inlineStr">
        <is>
          <t>Prestations de nettoyage courant des locaux du CNRS et de vitreries incluant la fourniture des produits d’entretien et d’hygiène</t>
        </is>
      </c>
      <c r="C24" t="inlineStr">
        <is>
          <t>CNRS Délégation paris-Centre</t>
        </is>
      </c>
      <c r="D24" t="inlineStr">
        <is>
          <t>https://www.marches-publics.gouv.fr</t>
        </is>
      </c>
      <c r="E24" t="inlineStr">
        <is>
          <t>https://www.marches-publics.gouv.fr</t>
        </is>
      </c>
      <c r="F24" t="inlineStr">
        <is>
          <t>LIEN_SEUL</t>
        </is>
      </c>
      <c r="G24" t="inlineStr">
        <is>
          <t>26-72955.pdf</t>
        </is>
      </c>
    </row>
    <row r="25">
      <c r="A25" t="inlineStr">
        <is>
          <t>26-73898</t>
        </is>
      </c>
      <c r="B25" t="inlineStr">
        <is>
          <t>Fourniture de petits matériels et de consommables d'entretien et d'hygiène</t>
        </is>
      </c>
      <c r="C25" t="inlineStr">
        <is>
          <t>Département des Hauts-de-Seine</t>
        </is>
      </c>
      <c r="D25" t="inlineStr">
        <is>
          <t>https://www.marches-publics.info/mpiaws/index.cfm?fuseaction=dematEnt.login&amp;amp;type=DCE&amp;amp;IDM=1854121</t>
        </is>
      </c>
      <c r="E25" t="inlineStr">
        <is>
          <t>https://www.marches-publics.info/mpiaws/index.cfm?fuseaction=dematEnt.login&amp;amp;type=DCE&amp;amp;IDM=1854121</t>
        </is>
      </c>
      <c r="F25" t="inlineStr">
        <is>
          <t>LIEN_SEUL</t>
        </is>
      </c>
      <c r="G25" t="inlineStr">
        <is>
          <t>26-73898.pdf</t>
        </is>
      </c>
    </row>
    <row r="26">
      <c r="A26" t="inlineStr">
        <is>
          <t>26-77541</t>
        </is>
      </c>
      <c r="B26" t="inlineStr">
        <is>
          <t>Le présent contrat a pour objet la délégation de l'exploitation du Centre Départemental d'initiation au golf de la Poudrerie à Livry-Gargan</t>
        </is>
      </c>
      <c r="C26" t="inlineStr">
        <is>
          <t>Département de la Seine-Saint-Denis</t>
        </is>
      </c>
      <c r="D26" t="inlineStr">
        <is>
          <t>https://www.marches-publics.info/mpiaws/index.cfm?fuseaction=dematEnt.login&amp;amp;type=DCE&amp;amp;IDM=1858330</t>
        </is>
      </c>
      <c r="E26" t="inlineStr">
        <is>
          <t>https://www.marches-publics.info/mpiaws/index.cfm?fuseaction=dematEnt.login&amp;amp;type=DCE&amp;amp;IDM=1858330</t>
        </is>
      </c>
      <c r="F26" t="inlineStr">
        <is>
          <t>LIEN_SEUL</t>
        </is>
      </c>
      <c r="G26" t="inlineStr">
        <is>
          <t>26-77541.pdf</t>
        </is>
      </c>
    </row>
    <row r="27">
      <c r="A27" t="inlineStr">
        <is>
          <t>26-77581</t>
        </is>
      </c>
      <c r="B27" t="inlineStr">
        <is>
          <t>Marché de service de nettoyage de divers locaux communaux de la commune de Marcoussis</t>
        </is>
      </c>
      <c r="C27" t="inlineStr">
        <is>
          <t>COMMUNE DE MARCOUSSIS</t>
        </is>
      </c>
      <c r="D27" t="inlineStr">
        <is>
          <t>https://marcoussis.fr/</t>
        </is>
      </c>
      <c r="E27" t="inlineStr"/>
      <c r="F27" t="inlineStr">
        <is>
          <t>LIEN_SEUL</t>
        </is>
      </c>
      <c r="G27" t="inlineStr">
        <is>
          <t>26-77581.pdf</t>
        </is>
      </c>
    </row>
    <row r="28">
      <c r="A28" t="inlineStr">
        <is>
          <t>26-77150</t>
        </is>
      </c>
      <c r="B28" t="inlineStr">
        <is>
          <t>Maintenance des installations frigorifiques de la patinoire</t>
        </is>
      </c>
      <c r="C28" t="inlineStr">
        <is>
          <t>Ville de Franconville-la-Garenne</t>
        </is>
      </c>
      <c r="D28" t="inlineStr">
        <is>
          <t>http://agysoft.marches-publics.info/</t>
        </is>
      </c>
      <c r="E28" t="inlineStr">
        <is>
          <t>http://agysoft.marches-publics.info/</t>
        </is>
      </c>
      <c r="F28" t="inlineStr">
        <is>
          <t>LIEN_SEUL</t>
        </is>
      </c>
      <c r="G28" t="inlineStr">
        <is>
          <t>26-77150.pdf</t>
        </is>
      </c>
    </row>
    <row r="29">
      <c r="A29" t="inlineStr">
        <is>
          <t>26-83350</t>
        </is>
      </c>
      <c r="B29" t="inlineStr">
        <is>
          <t>Sécurité des évènements</t>
        </is>
      </c>
      <c r="C29" t="inlineStr">
        <is>
          <t>Ville de Vitry-sur-Seine</t>
        </is>
      </c>
      <c r="D29" t="inlineStr">
        <is>
          <t>https://marches.maximilien.fr</t>
        </is>
      </c>
      <c r="E29" t="inlineStr">
        <is>
          <t>https://marches.maximilien.fr</t>
        </is>
      </c>
      <c r="F29" t="inlineStr">
        <is>
          <t>LIEN_SEUL</t>
        </is>
      </c>
      <c r="G29" t="inlineStr">
        <is>
          <t>26-83350.pdf</t>
        </is>
      </c>
    </row>
    <row r="30">
      <c r="A30" t="inlineStr">
        <is>
          <t>26-78332</t>
        </is>
      </c>
      <c r="B30" t="inlineStr">
        <is>
          <t>ENTRETIEN DES ESPACES VERTS</t>
        </is>
      </c>
      <c r="C30" t="inlineStr">
        <is>
          <t>COMMUNE DE FONTENAY-SOUS-BOIS</t>
        </is>
      </c>
      <c r="D30" t="inlineStr">
        <is>
          <t>https://www.fontenay.fr/index.html</t>
        </is>
      </c>
      <c r="E30" t="inlineStr"/>
      <c r="F30" t="inlineStr">
        <is>
          <t>LIEN_SEUL</t>
        </is>
      </c>
      <c r="G30" t="inlineStr">
        <is>
          <t>26-78332.pdf</t>
        </is>
      </c>
    </row>
    <row r="31">
      <c r="A31" t="inlineStr">
        <is>
          <t>26-79241</t>
        </is>
      </c>
      <c r="B31" t="inlineStr">
        <is>
          <t>Prestations de suppléance dans les collèges publics du département de Seine-et-Marne via l’insertion par l’activité économique</t>
        </is>
      </c>
      <c r="C31" t="inlineStr">
        <is>
          <t>Département de Seine-et-Marne</t>
        </is>
      </c>
      <c r="D31" t="inlineStr">
        <is>
          <t>https://marches.maximilien.fr/entreprise/consultation/944928?orgAcronyme=g3h</t>
        </is>
      </c>
      <c r="E31" t="inlineStr">
        <is>
          <t>https://marches.maximilien.fr/entreprise/consultation/944928?orgAcronyme=g3h</t>
        </is>
      </c>
      <c r="F31" t="inlineStr">
        <is>
          <t>LIEN_SEUL</t>
        </is>
      </c>
      <c r="G31" t="inlineStr">
        <is>
          <t>26-79241.pdf</t>
        </is>
      </c>
    </row>
    <row r="32">
      <c r="A32" t="inlineStr">
        <is>
          <t>26-70841</t>
        </is>
      </c>
      <c r="B32" t="inlineStr">
        <is>
          <t>Prestations d'hébergement de l'Espace d'exposition faisant partie du pavillon Occitanie pour le 56e Salon International de l'Aéronautique et de l'Espace Paris - Relance consultation 26OCC09L</t>
        </is>
      </c>
      <c r="C32" t="inlineStr">
        <is>
          <t>CCI OCCITANIE PYRENEES-MEDITERRANEE</t>
        </is>
      </c>
      <c r="D32" t="inlineStr">
        <is>
          <t>https://www.marches-publics.gouv.fr/entreprise</t>
        </is>
      </c>
      <c r="E32" t="inlineStr">
        <is>
          <t>https://www.marches-publics.gouv.fr/entreprise</t>
        </is>
      </c>
      <c r="F32" t="inlineStr">
        <is>
          <t>LIEN_SEUL</t>
        </is>
      </c>
      <c r="G32" t="inlineStr">
        <is>
          <t>26-70841.pdf</t>
        </is>
      </c>
    </row>
    <row r="33">
      <c r="A33" t="inlineStr">
        <is>
          <t>26-70040</t>
        </is>
      </c>
      <c r="B33" t="inlineStr">
        <is>
          <t>Prestations de gardiennage et sécurité incendie pour le campus HEC Paris</t>
        </is>
      </c>
      <c r="C33" t="inlineStr">
        <is>
          <t>HEC Paris</t>
        </is>
      </c>
      <c r="D33" t="inlineStr">
        <is>
          <t>https://www.marches-publics.info/mpiaws/index.cfm?fuseaction=dematEnt.login&amp;amp;type=DCE&amp;amp;IDM=1850314</t>
        </is>
      </c>
      <c r="E33" t="inlineStr">
        <is>
          <t>https://www.marches-publics.info/mpiaws/index.cfm?fuseaction=dematEnt.login&amp;amp;type=DCE&amp;amp;IDM=1850314</t>
        </is>
      </c>
      <c r="F33" t="inlineStr">
        <is>
          <t>LIEN_SEUL</t>
        </is>
      </c>
      <c r="G33" t="inlineStr">
        <is>
          <t>26-70040.pdf</t>
        </is>
      </c>
    </row>
    <row r="34">
      <c r="A34" t="inlineStr">
        <is>
          <t>26-79560</t>
        </is>
      </c>
      <c r="B34" t="inlineStr">
        <is>
          <t>Confection et fourniture de vêtements de travail pour les agents d'accueil et agents d'entretien sanitaires de la tour Eiffel</t>
        </is>
      </c>
      <c r="C34" t="inlineStr">
        <is>
          <t>Société d'Exploitation de la Tour Eiffel</t>
        </is>
      </c>
      <c r="D34" t="inlineStr">
        <is>
          <t>https://www.achatpublic.com/sdm/ent/gen/ent_detail.do?PCSLID=CSL_2026_lNMqePOVGB</t>
        </is>
      </c>
      <c r="E34" t="inlineStr">
        <is>
          <t>https://www.achatpublic.com/sdm/ent/gen/ent_detail.do?PCSLID=CSL_2026_lNMqePOVGB</t>
        </is>
      </c>
      <c r="F34" t="inlineStr">
        <is>
          <t>LIEN_SEUL</t>
        </is>
      </c>
      <c r="G34" t="inlineStr">
        <is>
          <t>26-79560.pdf</t>
        </is>
      </c>
    </row>
    <row r="35">
      <c r="A35" t="inlineStr">
        <is>
          <t>26-76712</t>
        </is>
      </c>
      <c r="B35" t="inlineStr">
        <is>
          <t>ACCORD CADRE N°26066-S-AC
DE PRESTATIONS DE SURETE, SECURITE ET MULTI-MAINTENANCE POUR LES SITES :
- JARDIN DES PLANTES
- MUSEE DE L'HOMME
- PARC ZOOLOGIQUE DE PARIS
POUR LE COMPTE DU MUSEUM MNHN</t>
        </is>
      </c>
      <c r="C35" t="inlineStr">
        <is>
          <t>Museum National d'Histoire Naturelle</t>
        </is>
      </c>
      <c r="D35" t="inlineStr">
        <is>
          <t>https://mnhn.e-marchespublics.com</t>
        </is>
      </c>
      <c r="E35" t="inlineStr">
        <is>
          <t>https://mnhn.e-marchespublics.com</t>
        </is>
      </c>
      <c r="F35" t="inlineStr">
        <is>
          <t>LIEN_SEUL</t>
        </is>
      </c>
      <c r="G35" t="inlineStr">
        <is>
          <t>26-76712.pdf</t>
        </is>
      </c>
    </row>
    <row r="36">
      <c r="A36" t="inlineStr">
        <is>
          <t>26-72867</t>
        </is>
      </c>
      <c r="B36" t="inlineStr">
        <is>
          <t>La présente consultation a pour objet des prestations de sécurité incendie, de gardiennage des locaux et d’assistance aux personnels et usagers de l’arrondissement judiciaire de Paris.</t>
        </is>
      </c>
      <c r="C36" t="inlineStr">
        <is>
          <t>Cour d'appel de Paris - SAR</t>
        </is>
      </c>
      <c r="D36" t="inlineStr">
        <is>
          <t>https://www.marches-publics.gouv.fr/entreprise</t>
        </is>
      </c>
      <c r="E36" t="inlineStr">
        <is>
          <t>https://www.marches-publics.gouv.fr/entreprise</t>
        </is>
      </c>
      <c r="F36" t="inlineStr">
        <is>
          <t>LIEN_SEUL</t>
        </is>
      </c>
      <c r="G36" t="inlineStr">
        <is>
          <t>26-72867.pdf</t>
        </is>
      </c>
    </row>
    <row r="37">
      <c r="A37" t="inlineStr">
        <is>
          <t>26-79004</t>
        </is>
      </c>
      <c r="B37" t="inlineStr">
        <is>
          <t>Accord-cadre relatif à la mise à disposition de personnel intérimaire</t>
        </is>
      </c>
      <c r="C37" t="inlineStr">
        <is>
          <t>ANRU.</t>
        </is>
      </c>
      <c r="D37" t="inlineStr">
        <is>
          <t>https://www.marches-publics.gouv.fr/entreprise</t>
        </is>
      </c>
      <c r="E37" t="inlineStr">
        <is>
          <t>https://www.marches-publics.gouv.fr/entreprise</t>
        </is>
      </c>
      <c r="F37" t="inlineStr">
        <is>
          <t>LIEN_SEUL</t>
        </is>
      </c>
      <c r="G37" t="inlineStr">
        <is>
          <t>26-79004.pdf</t>
        </is>
      </c>
    </row>
  </sheetData>
  <pageMargins left="0.75" right="0.75" top="1" bottom="1" header="0.5" footer="0.5"/>
  <tableParts count="1">
    <tablePart xmlns:r="http://schemas.openxmlformats.org/officeDocument/2006/relationships" r:id="rId1"/>
  </tableParts>
</worksheet>
</file>

<file path=xl/worksheets/sheet10.xml><?xml version="1.0" encoding="utf-8"?>
<worksheet xmlns="http://schemas.openxmlformats.org/spreadsheetml/2006/main">
  <sheetPr>
    <outlinePr summaryBelow="1" summaryRight="1"/>
    <pageSetUpPr/>
  </sheetPr>
  <dimension ref="A1:BM4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5" customWidth="1" min="9" max="9"/>
    <col width="15" customWidth="1" min="10" max="10"/>
    <col width="55" customWidth="1" min="11" max="11"/>
    <col width="13" customWidth="1" min="12" max="12"/>
    <col width="24"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5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26-82960</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46260</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NC</t>
        </is>
      </c>
      <c r="AA2" t="inlineStr">
        <is>
          <t>Avis de marché</t>
        </is>
      </c>
      <c r="AB2" t="inlineStr">
        <is>
          <t>Formation, Nettoyage de locaux</t>
        </is>
      </c>
      <c r="AC2" t="inlineStr"/>
      <c r="AD2" s="11" t="inlineStr">
        <is>
          <t>https://www.boamp.fr/pages/avis/?q=idweb:26-82960</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89.8</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26-82960. Objet: Accord cadre de missions de formation de lutte contre la discrimination et de lutte contre les violences sexistes et sexuelles à destination du tissu associatif en deux lots séparés.. Acheteur: VILLE de PARIS - DFA - SDA. Lien: https://www.boamp.fr/pages/avis/?q=idweb:26-82960.</t>
        </is>
      </c>
      <c r="AU2" t="inlineStr">
        <is>
          <t>Verifier url_avis et DCE si disponible</t>
        </is>
      </c>
      <c r="AV2" t="inlineStr"/>
      <c r="AW2" t="inlineStr"/>
      <c r="AX2" t="inlineStr"/>
      <c r="AY2" t="inlineStr"/>
      <c r="AZ2" t="inlineStr"/>
      <c r="BA2" t="inlineStr"/>
      <c r="BB2" t="inlineStr">
        <is>
          <t>+33.5 nettoyage + categorie claire (1 termes) | +23.5 budget annualise 40 000 EUR | +15 procedure adaptee / MAPA / allotissement | +10 secteur cible Mairie | +6.2 delai 15 j | +1.5 dossier renseigne (3/4)</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2026-W35</t>
        </is>
      </c>
    </row>
    <row r="3">
      <c r="A3" t="inlineStr">
        <is>
          <t>BOAMP</t>
        </is>
      </c>
      <c r="B3" t="inlineStr">
        <is>
          <t>26-83419</t>
        </is>
      </c>
      <c r="C3" t="inlineStr">
        <is>
          <t>Prestations d'entretien ménager</t>
        </is>
      </c>
      <c r="D3" t="inlineStr">
        <is>
          <t>VILLE DE LOUVRES</t>
        </is>
      </c>
      <c r="E3" t="inlineStr">
        <is>
          <t>21950351300018</t>
        </is>
      </c>
      <c r="F3" t="inlineStr">
        <is>
          <t>219503513</t>
        </is>
      </c>
      <c r="G3" t="inlineStr"/>
      <c r="H3" t="inlineStr"/>
      <c r="I3" t="inlineStr">
        <is>
          <t>ireydant@ville-louvres.fr</t>
        </is>
      </c>
      <c r="J3" t="inlineStr">
        <is>
          <t>0351300018</t>
        </is>
      </c>
      <c r="K3" t="inlineStr"/>
      <c r="L3" t="inlineStr"/>
      <c r="M3" t="inlineStr"/>
      <c r="N3" t="inlineStr">
        <is>
          <t>95</t>
        </is>
      </c>
      <c r="O3" t="inlineStr"/>
      <c r="P3" t="inlineStr">
        <is>
          <t>Ile-de-France</t>
        </is>
      </c>
      <c r="Q3" s="15" t="n">
        <v>46261</v>
      </c>
      <c r="R3" s="15" t="n">
        <v>46300</v>
      </c>
      <c r="S3" s="14" t="n">
        <v>10000</v>
      </c>
      <c r="T3" t="inlineStr">
        <is>
          <t>BUDGET_SOUS_SEUIL</t>
        </is>
      </c>
      <c r="U3" t="inlineStr">
        <is>
          <t>10000.0</t>
        </is>
      </c>
      <c r="V3" t="inlineStr">
        <is>
          <t>non</t>
        </is>
      </c>
      <c r="W3" t="inlineStr">
        <is>
          <t>Vitres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https://www.boamp.fr/pages/avis/?q=idweb:26-83419</t>
        </is>
      </c>
      <c r="AE3" t="inlineStr">
        <is>
          <t>https://mairie-de-louvres.e-marchespublics.com</t>
        </is>
      </c>
      <c r="AF3" t="inlineStr">
        <is>
          <t>https://mairie-de-louvres.e-marchespublics.com</t>
        </is>
      </c>
      <c r="AG3" t="inlineStr">
        <is>
          <t>nettoyage, nettoyage de vitres, entretien menager</t>
        </is>
      </c>
      <c r="AH3" t="inlineStr">
        <is>
          <t>3</t>
        </is>
      </c>
      <c r="AI3" t="inlineStr">
        <is>
          <t>80</t>
        </is>
      </c>
      <c r="AJ3" t="inlineStr">
        <is>
          <t>INFO_PARTIELLE</t>
        </is>
      </c>
      <c r="AK3" t="inlineStr">
        <is>
          <t>80.5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26-83419. Objet: Prestations d'entretien ménager. Acheteur: VILLE DE LOUVRES. Lien: https://www.boamp.fr/pages/avis/?q=idweb:26-83419.</t>
        </is>
      </c>
      <c r="AU3" t="inlineStr">
        <is>
          <t>Verifier url_avis et DCE si disponible</t>
        </is>
      </c>
      <c r="AV3" t="inlineStr"/>
      <c r="AW3" t="inlineStr"/>
      <c r="AX3" t="inlineStr"/>
      <c r="AY3" t="inlineStr"/>
      <c r="AZ3" t="inlineStr"/>
      <c r="BA3" t="inlineStr"/>
      <c r="BB3" t="inlineStr">
        <is>
          <t>+34.0 nettoyage + categorie claire (2 termes) | +25.0 budget annualise 10 000 EUR | +10 secteur cible Mairie | +10.0 delai 35 j | +1.5 dossier renseigne (3/4)</t>
        </is>
      </c>
      <c r="BC3" t="inlineStr">
        <is>
          <t>VILLE DE LOUVRES publie un AO potentiellement pertinent pour CHRUTH : Prestations d'entretien ménager. Zone : 95. Budget detecte environ 10 000 EUR. Verifier le lien source avant contact.</t>
        </is>
      </c>
      <c r="BD3" t="inlineStr">
        <is>
          <t>Bonjour,
Je me permets de vous contacter au sujet de votre appel d'offres : Prestations d'entretien ménager.
CHRUTH accompagne les structures publiques et privées sur les besoins de nettoyage, d'entretien des locaux et d'organisation de prestations de service.
Serait-il possible d'échanger rapidement afin de vérifier les modalités de réponse et les attentes de VILLE DE LOUVRES ?
Cordialement,</t>
        </is>
      </c>
      <c r="BE3" t="inlineStr">
        <is>
          <t>Bonjour, je vous appelle concernant un appel d'offres publié par VILLE DE LOUVRES.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2026-W35</t>
        </is>
      </c>
    </row>
    <row r="4">
      <c r="A4" t="inlineStr">
        <is>
          <t>BOAMP</t>
        </is>
      </c>
      <c r="B4" t="inlineStr">
        <is>
          <t>26-73275</t>
        </is>
      </c>
      <c r="C4" t="inlineStr">
        <is>
          <t>ENTRETIEN, REMISE EN ETAT ET AMENAGEMENT D'ESPACES VERTS POUR LA VILLE DE GENNEVILLIERS
LOT N°1 : Entretien des secteurs d'habitation Nord et du cimetière, remise en état et aménagement d'e</t>
        </is>
      </c>
      <c r="D4" t="inlineStr">
        <is>
          <t>Ville de Gennevilliers</t>
        </is>
      </c>
      <c r="E4" t="inlineStr"/>
      <c r="F4" t="inlineStr"/>
      <c r="G4" t="inlineStr"/>
      <c r="H4" t="inlineStr"/>
      <c r="I4" t="inlineStr">
        <is>
          <t>publications-joue@aws-france.com</t>
        </is>
      </c>
      <c r="J4" t="inlineStr">
        <is>
          <t>+33480041260</t>
        </is>
      </c>
      <c r="K4" t="inlineStr"/>
      <c r="L4" t="inlineStr"/>
      <c r="M4" t="inlineStr"/>
      <c r="N4" t="inlineStr">
        <is>
          <t>92</t>
        </is>
      </c>
      <c r="O4" t="inlineStr"/>
      <c r="P4" t="inlineStr">
        <is>
          <t>Ile-de-France</t>
        </is>
      </c>
      <c r="Q4" s="15" t="n">
        <v>46227</v>
      </c>
      <c r="R4" s="15" t="n">
        <v>46261</v>
      </c>
      <c r="S4" t="inlineStr"/>
      <c r="T4" t="inlineStr">
        <is>
          <t>A_VERIFIER_BUDGET</t>
        </is>
      </c>
      <c r="U4" t="inlineStr"/>
      <c r="V4" t="inlineStr">
        <is>
          <t>non</t>
        </is>
      </c>
      <c r="W4" t="inlineStr">
        <is>
          <t>Personnel</t>
        </is>
      </c>
      <c r="X4" t="inlineStr">
        <is>
          <t>Mairie</t>
        </is>
      </c>
      <c r="Y4" t="inlineStr">
        <is>
          <t>SERVICES</t>
        </is>
      </c>
      <c r="Z4" t="inlineStr">
        <is>
          <t>Procédure Ouverte</t>
        </is>
      </c>
      <c r="AA4" t="inlineStr">
        <is>
          <t>Avis de marché</t>
        </is>
      </c>
      <c r="AB4" t="inlineStr">
        <is>
          <t>Espaces verts, Prestations de services</t>
        </is>
      </c>
      <c r="AC4" t="inlineStr">
        <is>
          <t>['environnementaux']</t>
        </is>
      </c>
      <c r="AD4" s="11" t="inlineStr">
        <is>
          <t>https://www.boamp.fr/pages/avis/?q=idweb:26-73275</t>
        </is>
      </c>
      <c r="AE4" t="inlineStr">
        <is>
          <t>https://www.marches-publics.info/mpiaws/index.cfm?fuseaction=dematEnt.login&amp;amp;type=DCE&amp;amp;IDM=1848323</t>
        </is>
      </c>
      <c r="AF4" t="inlineStr">
        <is>
          <t>https://www.marches-publics.info/mpiaws/index.cfm?fuseaction=dematEnt.login&amp;amp;type=DCE&amp;amp;IDM=1848323</t>
        </is>
      </c>
      <c r="AG4" t="inlineStr">
        <is>
          <t>nettoyage</t>
        </is>
      </c>
      <c r="AH4" t="inlineStr">
        <is>
          <t>2</t>
        </is>
      </c>
      <c r="AI4" t="inlineStr">
        <is>
          <t>58</t>
        </is>
      </c>
      <c r="AJ4" t="inlineStr">
        <is>
          <t>INFO_PARTIELLE</t>
        </is>
      </c>
      <c r="AK4" t="inlineStr">
        <is>
          <t>80</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SIRET, 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4" t="inlineStr">
        <is>
          <t>Verifier url_avis et DCE si disponible</t>
        </is>
      </c>
      <c r="AV4" t="inlineStr">
        <is>
          <t>LIEN_SEUL</t>
        </is>
      </c>
      <c r="AW4" t="inlineStr"/>
      <c r="AX4" t="inlineStr"/>
      <c r="AY4" t="inlineStr"/>
      <c r="AZ4" t="inlineStr"/>
      <c r="BA4" t="inlineStr"/>
      <c r="BB4" t="inlineStr">
        <is>
          <t>+35 nettoyage + categorie claire | +10 budget non affiche (a verifier) | +15 procedure adaptee / MAPA / allotissement | +10 secteur cible Mairie | +10 delai confortable 30j</t>
        </is>
      </c>
      <c r="BC4"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4"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4"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26-82168</t>
        </is>
      </c>
      <c r="C5" t="inlineStr">
        <is>
          <t>Capture et ramassage d’animaux errants, et/ou dangereux, et/ou blessés, et/ou morts et leur mise en fourrière</t>
        </is>
      </c>
      <c r="D5" t="inlineStr">
        <is>
          <t>COMMUNE DE SAINT-DENIS</t>
        </is>
      </c>
      <c r="E5" t="inlineStr">
        <is>
          <t>92993941100013</t>
        </is>
      </c>
      <c r="F5" t="inlineStr">
        <is>
          <t>929939411</t>
        </is>
      </c>
      <c r="G5" t="inlineStr"/>
      <c r="H5" t="inlineStr"/>
      <c r="I5" t="inlineStr">
        <is>
          <t>mp_achats@saint-denis.fr</t>
        </is>
      </c>
      <c r="J5" t="inlineStr">
        <is>
          <t>0149336605</t>
        </is>
      </c>
      <c r="K5" t="inlineStr"/>
      <c r="L5" t="inlineStr"/>
      <c r="M5" t="inlineStr"/>
      <c r="N5" t="inlineStr">
        <is>
          <t>93,75,94,95</t>
        </is>
      </c>
      <c r="O5" t="inlineStr"/>
      <c r="P5" t="inlineStr">
        <is>
          <t>Ile-de-France</t>
        </is>
      </c>
      <c r="Q5" s="15" t="n">
        <v>46256</v>
      </c>
      <c r="R5" s="15" t="n">
        <v>46290</v>
      </c>
      <c r="S5" s="14" t="n">
        <v>90000</v>
      </c>
      <c r="T5" t="inlineStr">
        <is>
          <t>BUDGET_SOUS_SEUIL</t>
        </is>
      </c>
      <c r="U5" t="inlineStr">
        <is>
          <t>22500</t>
        </is>
      </c>
      <c r="V5" t="inlineStr">
        <is>
          <t>oui</t>
        </is>
      </c>
      <c r="W5" t="inlineStr">
        <is>
          <t>Batiments</t>
        </is>
      </c>
      <c r="X5" t="inlineStr">
        <is>
          <t>Mairie</t>
        </is>
      </c>
      <c r="Y5" t="inlineStr">
        <is>
          <t>SERVICES</t>
        </is>
      </c>
      <c r="Z5" t="inlineStr">
        <is>
          <t>Procédure Ouverte</t>
        </is>
      </c>
      <c r="AA5" t="inlineStr">
        <is>
          <t>Avis de marché</t>
        </is>
      </c>
      <c r="AB5" t="inlineStr">
        <is>
          <t>Prestations de services</t>
        </is>
      </c>
      <c r="AC5" t="inlineStr">
        <is>
          <t>['environnementaux']</t>
        </is>
      </c>
      <c r="AD5" s="11" t="inlineStr">
        <is>
          <t>https://www.boamp.fr/pages/avis/?q=idweb:26-82168</t>
        </is>
      </c>
      <c r="AE5" t="inlineStr">
        <is>
          <t>https://marches.maximilien.fr</t>
        </is>
      </c>
      <c r="AF5" t="inlineStr">
        <is>
          <t>https://marches.maximilien.fr</t>
        </is>
      </c>
      <c r="AG5" t="inlineStr">
        <is>
          <t>nettoyage</t>
        </is>
      </c>
      <c r="AH5" t="inlineStr">
        <is>
          <t>3</t>
        </is>
      </c>
      <c r="AI5" t="inlineStr">
        <is>
          <t>68</t>
        </is>
      </c>
      <c r="AJ5" t="inlineStr">
        <is>
          <t>INFO_PARTIELLE</t>
        </is>
      </c>
      <c r="AK5" t="inlineStr">
        <is>
          <t>78.8</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26-82168. Objet: Capture et ramassage d’animaux errants, et/ou dangereux, et/ou blessés, et/ou morts et leur mise en fourrière. Acheteur: COMMUNE DE SAINT-DENIS. Lien: https://www.boamp.fr/pages/avis/?q=idweb:26-82168.</t>
        </is>
      </c>
      <c r="AU5" t="inlineStr">
        <is>
          <t>Verifier url_avis et DCE si disponible</t>
        </is>
      </c>
      <c r="AV5" t="inlineStr"/>
      <c r="AW5" t="inlineStr"/>
      <c r="AX5" t="inlineStr"/>
      <c r="AY5" t="inlineStr"/>
      <c r="AZ5" t="inlineStr"/>
      <c r="BA5" t="inlineStr"/>
      <c r="BB5" t="inlineStr">
        <is>
          <t>+33.5 nettoyage + categorie claire (1 termes) | +25.0 budget annualise 22 500 EUR | +10 secteur cible Mairie | +8.8 delai 25 j | +1.5 dossier renseigne (3/4)</t>
        </is>
      </c>
      <c r="BC5" t="inlineStr">
        <is>
          <t>COMMUNE DE SAINT-DENIS publie un AO potentiellement pertinent pour CHRUTH : Capture et ramassage d’animaux errants, et/ou dangereux, et/ou blessés, et/ou morts et leur mise en fourrière. Zone : 93,75,94,95. Budget detecte environ 90 000 EUR. Verifier le lien source avant contact.</t>
        </is>
      </c>
      <c r="BD5" t="inlineStr">
        <is>
          <t>Bonjour,
Je me permets de vous contacter au sujet de votre appel d'offres : Capture et ramassage d’animaux errants, et/ou dangereux, et/ou blessés, et/ou morts et leur mise en fourrière.
CHRUTH accompagne les structures publiques et privées sur les besoins de nettoyage, d'entretien des locaux et d'organisation de prestations de service.
Serait-il possible d'échanger rapidement afin de vérifier les modalités de réponse et les attentes de COMMUNE DE SAINT-DENIS ?
Cordialement,</t>
        </is>
      </c>
      <c r="BE5" t="inlineStr">
        <is>
          <t>Bonjour, je vous appelle concernant un appel d'offres publié par COMMUNE DE SAINT-DENIS.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2026-W34</t>
        </is>
      </c>
    </row>
    <row r="6">
      <c r="A6" t="inlineStr">
        <is>
          <t>BOAMP</t>
        </is>
      </c>
      <c r="B6" t="inlineStr">
        <is>
          <t>26-82885</t>
        </is>
      </c>
      <c r="C6" t="inlineStr">
        <is>
          <t>Balayage des voies, trottoirs et caniveaux</t>
        </is>
      </c>
      <c r="D6" t="inlineStr">
        <is>
          <t>Mairie de Maule</t>
        </is>
      </c>
      <c r="E6" t="inlineStr"/>
      <c r="F6" t="inlineStr"/>
      <c r="G6" t="inlineStr">
        <is>
          <t>SERENA</t>
        </is>
      </c>
      <c r="H6" t="inlineStr"/>
      <c r="I6" t="inlineStr">
        <is>
          <t>dserena@maule.fr</t>
        </is>
      </c>
      <c r="J6" t="inlineStr">
        <is>
          <t>0130904900</t>
        </is>
      </c>
      <c r="K6" t="inlineStr"/>
      <c r="L6" t="inlineStr">
        <is>
          <t>78580</t>
        </is>
      </c>
      <c r="M6" t="inlineStr">
        <is>
          <t>Maule</t>
        </is>
      </c>
      <c r="N6" t="inlineStr">
        <is>
          <t>78</t>
        </is>
      </c>
      <c r="O6" t="inlineStr"/>
      <c r="P6" t="inlineStr">
        <is>
          <t>Ile-de-France</t>
        </is>
      </c>
      <c r="Q6" s="15" t="n">
        <v>46259</v>
      </c>
      <c r="R6" s="15" t="n">
        <v>46295</v>
      </c>
      <c r="S6" t="inlineStr"/>
      <c r="T6" t="inlineStr">
        <is>
          <t>A_VERIFIER_BUDGET</t>
        </is>
      </c>
      <c r="U6" t="inlineStr"/>
      <c r="V6" t="inlineStr">
        <is>
          <t>non</t>
        </is>
      </c>
      <c r="W6" t="inlineStr">
        <is>
          <t>Mixte/Autre</t>
        </is>
      </c>
      <c r="X6" t="inlineStr">
        <is>
          <t>Mairie</t>
        </is>
      </c>
      <c r="Y6" t="inlineStr">
        <is>
          <t>SERVICES</t>
        </is>
      </c>
      <c r="Z6" t="inlineStr">
        <is>
          <t>Procédure Adaptée</t>
        </is>
      </c>
      <c r="AA6" t="inlineStr">
        <is>
          <t>Avis de marché</t>
        </is>
      </c>
      <c r="AB6" t="inlineStr">
        <is>
          <t>Nettoyage urbain</t>
        </is>
      </c>
      <c r="AC6" t="inlineStr"/>
      <c r="AD6" s="11" t="inlineStr">
        <is>
          <t>https://www.boamp.fr/pages/avis/?q=idweb:26-82885</t>
        </is>
      </c>
      <c r="AE6" t="inlineStr">
        <is>
          <t>https://www.achatpublic.com/sdm/ent2/gen/index.jsp</t>
        </is>
      </c>
      <c r="AF6" t="inlineStr">
        <is>
          <t>https://www.achatpublic.com/sdm/ent2/gen/index.jsp</t>
        </is>
      </c>
      <c r="AG6" t="inlineStr">
        <is>
          <t>nettoyage</t>
        </is>
      </c>
      <c r="AH6" t="inlineStr">
        <is>
          <t>4</t>
        </is>
      </c>
      <c r="AI6" t="inlineStr">
        <is>
          <t>78</t>
        </is>
      </c>
      <c r="AJ6" t="inlineStr">
        <is>
          <t>INFO_PARTIELLE</t>
        </is>
      </c>
      <c r="AK6" t="inlineStr">
        <is>
          <t>75.5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SIRET, adresse,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26-82885. Objet: Balayage des voies, trottoirs et caniveaux. Acheteur: Mairie de Maule. Lien: https://www.boamp.fr/pages/avis/?q=idweb:26-82885.</t>
        </is>
      </c>
      <c r="AU6" t="inlineStr">
        <is>
          <t>Verifier url_avis et DCE si disponible</t>
        </is>
      </c>
      <c r="AV6" t="inlineStr">
        <is>
          <t>LIEN_SEUL</t>
        </is>
      </c>
      <c r="AW6" t="inlineStr"/>
      <c r="AX6" t="inlineStr"/>
      <c r="AY6" t="inlineStr"/>
      <c r="AZ6" t="inlineStr"/>
      <c r="BA6" t="inlineStr"/>
      <c r="BB6" t="inlineStr">
        <is>
          <t>+28.5 mots-cles nettoyage forts (1 termes) | +10 budget non affiche (a verifier) | +15 procedure adaptee / MAPA / allotissement | +10 secteur cible Mairie | +10.0 delai 30 j | +2.0 dossier renseigne (4/4)</t>
        </is>
      </c>
      <c r="BC6" t="inlineStr">
        <is>
          <t>Mairie de Maule publie un AO potentiellement pertinent pour CHRUTH : Balayage des voies, trottoirs et caniveaux. Zone : Maule. Budget a verifier. Verifier le lien source avant contact.</t>
        </is>
      </c>
      <c r="BD6" t="inlineStr">
        <is>
          <t>Bonjour,
Je me permets de vous contacter au sujet de votre appel d'offres : Balayage des voies, trottoirs et caniveaux.
CHRUTH accompagne les structures publiques et privées sur les besoins de nettoyage, d'entretien des locaux et d'organisation de prestations de service.
Serait-il possible d'échanger rapidement afin de vérifier les modalités de réponse et les attentes de Mairie de Maule ?
Cordialement,</t>
        </is>
      </c>
      <c r="BE6" t="inlineStr">
        <is>
          <t>Bonjour, je vous appelle concernant un appel d'offres publié par Mairie de Maule.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2026-W35</t>
        </is>
      </c>
    </row>
    <row r="7">
      <c r="A7" t="inlineStr">
        <is>
          <t>BOAMP</t>
        </is>
      </c>
      <c r="B7" t="inlineStr">
        <is>
          <t>26-74949</t>
        </is>
      </c>
      <c r="C7" t="inlineStr">
        <is>
          <t>Prestations D'Entretien Ménager Des Gymnases De La Ville De Roissy-En-Brie</t>
        </is>
      </c>
      <c r="D7" t="inlineStr">
        <is>
          <t>Mairie de Roissy-en-Brie</t>
        </is>
      </c>
      <c r="E7" t="inlineStr">
        <is>
          <t>21770390900010</t>
        </is>
      </c>
      <c r="F7" t="inlineStr">
        <is>
          <t>217703909</t>
        </is>
      </c>
      <c r="G7" t="inlineStr">
        <is>
          <t>Service Commande Publique</t>
        </is>
      </c>
      <c r="H7" t="inlineStr"/>
      <c r="I7" t="inlineStr"/>
      <c r="J7" t="inlineStr">
        <is>
          <t>0390900010</t>
        </is>
      </c>
      <c r="K7" t="inlineStr">
        <is>
          <t>77680 - ROISSY-EN-BRIE</t>
        </is>
      </c>
      <c r="L7" t="inlineStr">
        <is>
          <t>77680</t>
        </is>
      </c>
      <c r="M7" t="inlineStr">
        <is>
          <t>ROISSY EN BRIE</t>
        </is>
      </c>
      <c r="N7" t="inlineStr">
        <is>
          <t>77</t>
        </is>
      </c>
      <c r="O7" t="inlineStr"/>
      <c r="P7" t="inlineStr">
        <is>
          <t>Ile-de-France</t>
        </is>
      </c>
      <c r="Q7" s="15" t="n">
        <v>46230</v>
      </c>
      <c r="R7" s="15" t="n">
        <v>46262</v>
      </c>
      <c r="S7" s="14" t="n">
        <v>77680</v>
      </c>
      <c r="T7" t="inlineStr">
        <is>
          <t>BUDGET_SOUS_SEUIL</t>
        </is>
      </c>
      <c r="U7" t="inlineStr">
        <is>
          <t>77680.0</t>
        </is>
      </c>
      <c r="V7" t="inlineStr">
        <is>
          <t>non</t>
        </is>
      </c>
      <c r="W7" t="inlineStr">
        <is>
          <t>Batiments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https://www.boamp.fr/pages/avis/?q=idweb:26-74949</t>
        </is>
      </c>
      <c r="AE7" t="inlineStr">
        <is>
          <t>https://www.marches-publics.info/mpiaws/index.cfm?fuseaction=dematent.login&amp;type=Dce&amp;Idm=1855543</t>
        </is>
      </c>
      <c r="AF7" t="inlineStr">
        <is>
          <t>https://www.marches-publics.info/mpiaws/index.cfm?fuseaction=dematent.login&amp;type=Dce&amp;Idm=1855543</t>
        </is>
      </c>
      <c r="AG7" t="inlineStr">
        <is>
          <t>nettoyage, entretien menager</t>
        </is>
      </c>
      <c r="AH7" t="inlineStr">
        <is>
          <t>5</t>
        </is>
      </c>
      <c r="AI7" t="inlineStr">
        <is>
          <t>92</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email</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7" t="inlineStr">
        <is>
          <t>Verifier url_avis et DCE si disponible</t>
        </is>
      </c>
      <c r="AV7" t="inlineStr">
        <is>
          <t>LIEN_SEUL</t>
        </is>
      </c>
      <c r="AW7" t="inlineStr"/>
      <c r="AX7" t="inlineStr"/>
      <c r="AY7" t="inlineStr"/>
      <c r="AZ7" t="inlineStr"/>
      <c r="BA7" t="inlineStr"/>
      <c r="BB7" t="inlineStr">
        <is>
          <t>+35 nettoyage + categorie claire | +20 budget annualise &lt;= 100 000 EUR | +10 secteur cible Mairie | +10 delai confortable 31j</t>
        </is>
      </c>
      <c r="BC7" t="inlineStr">
        <is>
          <t>Mairie de Roissy-en-Brie publie un AO potentiellement pertinent pour CHRUTH : Prestations D'Entretien Ménager Des Gymnases De La Ville De Roissy-En-Brie. Zone : ROISSY EN BRIE. Budget detecte environ 77 680 EUR. Verifier le lien source avant contact.</t>
        </is>
      </c>
      <c r="BD7"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7"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2026-W31</t>
        </is>
      </c>
    </row>
    <row r="8">
      <c r="A8" t="inlineStr">
        <is>
          <t>BOAMP</t>
        </is>
      </c>
      <c r="B8" t="inlineStr">
        <is>
          <t>26-74013</t>
        </is>
      </c>
      <c r="C8" t="inlineStr">
        <is>
          <t>Prestations de nettoyage des locaux de l'École nationale supérieure d’architecture de Paris-La Villette</t>
        </is>
      </c>
      <c r="D8" t="inlineStr">
        <is>
          <t>ENSA Paris-La Villette</t>
        </is>
      </c>
      <c r="E8" t="inlineStr">
        <is>
          <t>19751875600014</t>
        </is>
      </c>
      <c r="F8" t="inlineStr">
        <is>
          <t>197518756</t>
        </is>
      </c>
      <c r="G8" t="inlineStr">
        <is>
          <t>ACHOUR</t>
        </is>
      </c>
      <c r="H8" t="inlineStr"/>
      <c r="I8" t="inlineStr">
        <is>
          <t>safae.achour@paris-lavillette.archi.fr</t>
        </is>
      </c>
      <c r="J8" t="inlineStr">
        <is>
          <t>07-23 2026-09</t>
        </is>
      </c>
      <c r="K8" t="inlineStr">
        <is>
          <t>75019</t>
        </is>
      </c>
      <c r="L8" t="inlineStr">
        <is>
          <t>75019</t>
        </is>
      </c>
      <c r="M8" t="inlineStr">
        <is>
          <t>Paris</t>
        </is>
      </c>
      <c r="N8" t="inlineStr">
        <is>
          <t>75,92,93,91,95,77,94</t>
        </is>
      </c>
      <c r="O8" t="inlineStr"/>
      <c r="P8" t="inlineStr">
        <is>
          <t>Ile-de-France</t>
        </is>
      </c>
      <c r="Q8" s="15" t="n">
        <v>46226</v>
      </c>
      <c r="R8" s="15" t="n">
        <v>46293</v>
      </c>
      <c r="S8" s="14" t="n">
        <v>75019</v>
      </c>
      <c r="T8" t="inlineStr">
        <is>
          <t>BUDGET_SOUS_SEUIL</t>
        </is>
      </c>
      <c r="U8" t="inlineStr">
        <is>
          <t>75019.0</t>
        </is>
      </c>
      <c r="V8" t="inlineStr">
        <is>
          <t>non</t>
        </is>
      </c>
      <c r="W8" t="inlineStr">
        <is>
          <t>Batiments</t>
        </is>
      </c>
      <c r="X8" t="inlineStr">
        <is>
          <t>Ecole</t>
        </is>
      </c>
      <c r="Y8" t="inlineStr">
        <is>
          <t>SERVICES</t>
        </is>
      </c>
      <c r="Z8" t="inlineStr">
        <is>
          <t>Procédure Ouverte</t>
        </is>
      </c>
      <c r="AA8" t="inlineStr">
        <is>
          <t>Avis de marché</t>
        </is>
      </c>
      <c r="AB8" t="inlineStr">
        <is>
          <t>Nettoyage de locaux</t>
        </is>
      </c>
      <c r="AC8" t="inlineStr"/>
      <c r="AD8" s="11" t="inlineStr">
        <is>
          <t>https://www.boamp.fr/pages/avis/?q=idweb:26-74013</t>
        </is>
      </c>
      <c r="AE8" t="inlineStr">
        <is>
          <t>https://www.marches-publics.gouv.fr/entreprise/consultation/3044724?orgAcronyme=f5j</t>
        </is>
      </c>
      <c r="AF8" t="inlineStr">
        <is>
          <t>https://www.marches-publics.gouv.fr/entreprise/consultation/3044724?orgAcronyme=f5j</t>
        </is>
      </c>
      <c r="AG8" t="inlineStr">
        <is>
          <t>nettoyage</t>
        </is>
      </c>
      <c r="AH8" t="inlineStr">
        <is>
          <t>6</t>
        </is>
      </c>
      <c r="AI8" t="inlineStr">
        <is>
          <t>98</t>
        </is>
      </c>
      <c r="AJ8" t="inlineStr">
        <is>
          <t>INFO_PARTIELLE</t>
        </is>
      </c>
      <c r="AK8" t="inlineStr">
        <is>
          <t>75</t>
        </is>
      </c>
      <c r="AL8" s="13" t="inlineStr">
        <is>
          <t>CHAUD</t>
        </is>
      </c>
      <c r="AM8" t="inlineStr"/>
      <c r="AN8" t="inlineStr"/>
      <c r="AO8" t="inlineStr"/>
      <c r="AP8" t="inlineStr"/>
      <c r="AQ8" t="inlineStr">
        <is>
          <t>IA_CONTROLE_SOURCE</t>
        </is>
      </c>
      <c r="AR8" t="inlineStr">
        <is>
          <t>Verifier rapidement la source avant contact.</t>
        </is>
      </c>
      <c r="AS8" t="inlineStr">
        <is>
          <t>Aucun champ critique manquant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8" t="inlineStr">
        <is>
          <t>Verifier url_avis et DCE si disponible</t>
        </is>
      </c>
      <c r="AV8" t="inlineStr"/>
      <c r="AW8" t="inlineStr"/>
      <c r="AX8" t="inlineStr"/>
      <c r="AY8" t="inlineStr"/>
      <c r="AZ8" t="inlineStr"/>
      <c r="BA8" t="inlineStr"/>
      <c r="BB8" t="inlineStr">
        <is>
          <t>+35 nettoyage + categorie claire | +20 budget annualise &lt;= 100 000 EUR | +10 secteur cible Ecole | +10 delai confortable 62j</t>
        </is>
      </c>
      <c r="BC8"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8"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8"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26-72283</t>
        </is>
      </c>
      <c r="C9" t="inlineStr">
        <is>
          <t>Prestation d'écrivains publics interprètes à Montreuil</t>
        </is>
      </c>
      <c r="D9" t="inlineStr">
        <is>
          <t>Mairie de Montreuil</t>
        </is>
      </c>
      <c r="E9" t="inlineStr">
        <is>
          <t>21930048000015</t>
        </is>
      </c>
      <c r="F9" t="inlineStr">
        <is>
          <t>219300480</t>
        </is>
      </c>
      <c r="G9" t="inlineStr">
        <is>
          <t>Service des achats et de la commande publique</t>
        </is>
      </c>
      <c r="H9" t="inlineStr"/>
      <c r="I9" t="inlineStr">
        <is>
          <t>sacop@montreuil.fr</t>
        </is>
      </c>
      <c r="J9" t="inlineStr">
        <is>
          <t>+33 331487060</t>
        </is>
      </c>
      <c r="K9" t="inlineStr">
        <is>
          <t>(93) Seine-Saint-Denis</t>
        </is>
      </c>
      <c r="L9" t="inlineStr">
        <is>
          <t>93100</t>
        </is>
      </c>
      <c r="M9" t="inlineStr">
        <is>
          <t>Montreuil</t>
        </is>
      </c>
      <c r="N9" t="inlineStr">
        <is>
          <t>93</t>
        </is>
      </c>
      <c r="O9" t="inlineStr"/>
      <c r="P9" t="inlineStr">
        <is>
          <t>Ile-de-France</t>
        </is>
      </c>
      <c r="Q9" s="15" t="n">
        <v>46223</v>
      </c>
      <c r="R9" s="15" t="n">
        <v>46276</v>
      </c>
      <c r="S9" s="14" t="n">
        <v>93100</v>
      </c>
      <c r="T9" t="inlineStr">
        <is>
          <t>BUDGET_SOUS_SEUIL</t>
        </is>
      </c>
      <c r="U9" t="inlineStr">
        <is>
          <t>93100.0</t>
        </is>
      </c>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https://www.boamp.fr/pages/avis/?q=idweb:26-72283</t>
        </is>
      </c>
      <c r="AE9" t="inlineStr">
        <is>
          <t>https://marches.maximilien.fr/entreprise/consultation/943753?orgAcronyme=d6a</t>
        </is>
      </c>
      <c r="AF9" t="inlineStr">
        <is>
          <t>https://marches.maximilien.fr/entreprise/consultation/943753?orgAcronyme=d6a</t>
        </is>
      </c>
      <c r="AG9" t="inlineStr">
        <is>
          <t>nettoyage</t>
        </is>
      </c>
      <c r="AH9" t="inlineStr">
        <is>
          <t>6</t>
        </is>
      </c>
      <c r="AI9" t="inlineStr">
        <is>
          <t>98</t>
        </is>
      </c>
      <c r="AJ9" t="inlineStr">
        <is>
          <t>INFO_PARTIELLE</t>
        </is>
      </c>
      <c r="AK9" t="inlineStr">
        <is>
          <t>75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9" t="inlineStr">
        <is>
          <t>Verifier url_avis et DCE si disponible</t>
        </is>
      </c>
      <c r="AV9" t="inlineStr"/>
      <c r="AW9" t="inlineStr"/>
      <c r="AX9" t="inlineStr"/>
      <c r="AY9" t="inlineStr"/>
      <c r="AZ9" t="inlineStr"/>
      <c r="BA9" t="inlineStr"/>
      <c r="BB9" t="inlineStr">
        <is>
          <t>+35 nettoyage + categorie claire | +20 budget annualise &lt;= 100 000 EUR | +10 secteur cible Mairie | +10 delai confortable 45j</t>
        </is>
      </c>
      <c r="BC9" t="inlineStr">
        <is>
          <t>Mairie de Montreuil publie un AO potentiellement pertinent pour CHRUTH : Prestation d'écrivains publics interprètes à Montreuil. Zone : Montreuil. Budget detecte environ 93 100 EUR. Verifier le lien source avant contact.</t>
        </is>
      </c>
      <c r="BD9"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9"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2026-W30</t>
        </is>
      </c>
    </row>
    <row r="10">
      <c r="A10" t="inlineStr">
        <is>
          <t>BOAMP</t>
        </is>
      </c>
      <c r="B10" t="inlineStr">
        <is>
          <t>26-80939</t>
        </is>
      </c>
      <c r="C10" t="inlineStr">
        <is>
          <t>Plantation et entretien du patrimoine arboré des propriétés communales</t>
        </is>
      </c>
      <c r="D10" t="inlineStr">
        <is>
          <t>Ville de Longjumeau</t>
        </is>
      </c>
      <c r="E10" t="inlineStr">
        <is>
          <t>21910345400225</t>
        </is>
      </c>
      <c r="F10" t="inlineStr">
        <is>
          <t>219103454</t>
        </is>
      </c>
      <c r="G10" t="inlineStr"/>
      <c r="H10" t="inlineStr"/>
      <c r="I10" t="inlineStr">
        <is>
          <t>achatpublic@longjumeau.fr</t>
        </is>
      </c>
      <c r="J10" t="inlineStr">
        <is>
          <t>0345400225</t>
        </is>
      </c>
      <c r="K10" t="inlineStr"/>
      <c r="L10" t="inlineStr"/>
      <c r="M10" t="inlineStr"/>
      <c r="N10" t="inlineStr">
        <is>
          <t>91</t>
        </is>
      </c>
      <c r="O10" t="inlineStr"/>
      <c r="P10" t="inlineStr">
        <is>
          <t>Ile-de-France</t>
        </is>
      </c>
      <c r="Q10" s="15" t="n">
        <v>46252</v>
      </c>
      <c r="R10" s="15" t="n">
        <v>46289</v>
      </c>
      <c r="S10" s="14" t="n">
        <v>85000</v>
      </c>
      <c r="T10" t="inlineStr">
        <is>
          <t>BUDGET_SOUS_SEUIL</t>
        </is>
      </c>
      <c r="U10" t="inlineStr">
        <is>
          <t>21250</t>
        </is>
      </c>
      <c r="V10" t="inlineStr">
        <is>
          <t>oui</t>
        </is>
      </c>
      <c r="W10" t="inlineStr">
        <is>
          <t>Mixte/Autre</t>
        </is>
      </c>
      <c r="X10" t="inlineStr">
        <is>
          <t>Mairie</t>
        </is>
      </c>
      <c r="Y10" t="inlineStr">
        <is>
          <t>SERVICES</t>
        </is>
      </c>
      <c r="Z10" t="inlineStr">
        <is>
          <t>Procédure Ouverte</t>
        </is>
      </c>
      <c r="AA10" t="inlineStr">
        <is>
          <t>Avis de marché</t>
        </is>
      </c>
      <c r="AB10" t="inlineStr">
        <is>
          <t>Matériel agricole, horticole</t>
        </is>
      </c>
      <c r="AC10" t="inlineStr"/>
      <c r="AD10" s="11" t="inlineStr">
        <is>
          <t>https://www.boamp.fr/pages/avis/?q=idweb:26-80939</t>
        </is>
      </c>
      <c r="AE10" t="inlineStr">
        <is>
          <t>http://longjumeau.e-marchespublics.com</t>
        </is>
      </c>
      <c r="AF10" t="inlineStr">
        <is>
          <t>http://longjumeau.e-marchespublics.com</t>
        </is>
      </c>
      <c r="AG10" t="inlineStr">
        <is>
          <t>nettoyage</t>
        </is>
      </c>
      <c r="AH10" t="inlineStr">
        <is>
          <t>3</t>
        </is>
      </c>
      <c r="AI10" t="inlineStr">
        <is>
          <t>68</t>
        </is>
      </c>
      <c r="AJ10" t="inlineStr">
        <is>
          <t>INFO_PARTIELLE</t>
        </is>
      </c>
      <c r="AK10" t="inlineStr">
        <is>
          <t>73.5</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26-80939. Objet: Plantation et entretien du patrimoine arboré des propriétés communales. Acheteur: Ville de Longjumeau. Lien: https://www.boamp.fr/pages/avis/?q=idweb:26-80939.</t>
        </is>
      </c>
      <c r="AU10" t="inlineStr">
        <is>
          <t>Verifier url_avis et DCE si disponible</t>
        </is>
      </c>
      <c r="AV10" t="inlineStr"/>
      <c r="AW10" t="inlineStr"/>
      <c r="AX10" t="inlineStr"/>
      <c r="AY10" t="inlineStr"/>
      <c r="AZ10" t="inlineStr"/>
      <c r="BA10" t="inlineStr"/>
      <c r="BB10" t="inlineStr">
        <is>
          <t>+28.5 mots-cles nettoyage forts (1 termes) | +25.0 budget annualise 21 250 EUR | +10 secteur cible Mairie | +8.5 delai 24 j | +1.5 dossier renseigne (3/4)</t>
        </is>
      </c>
      <c r="BC10" t="inlineStr">
        <is>
          <t>Ville de Longjumeau publie un AO potentiellement pertinent pour CHRUTH : Plantation et entretien du patrimoine arboré des propriétés communales. Zone : 91. Budget detecte environ 85 000 EUR. Verifier le lien source avant contact.</t>
        </is>
      </c>
      <c r="BD10" t="inlineStr">
        <is>
          <t>Bonjour,
Je me permets de vous contacter au sujet de votre appel d'offres : Plantation et entretien du patrimoine arboré des propriétés communales.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10"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2026-W34</t>
        </is>
      </c>
    </row>
    <row r="11">
      <c r="A11" t="inlineStr">
        <is>
          <t>BOAMP</t>
        </is>
      </c>
      <c r="B11" t="inlineStr">
        <is>
          <t>26-80740</t>
        </is>
      </c>
      <c r="C11" t="inlineStr">
        <is>
          <t>Entretien Ménager - Service Ordures Ménagères -</t>
        </is>
      </c>
      <c r="D11" t="inlineStr">
        <is>
          <t>SAEM de construction Maisons-Laffitte</t>
        </is>
      </c>
      <c r="E11" t="inlineStr"/>
      <c r="F11" t="inlineStr"/>
      <c r="G11" t="inlineStr">
        <is>
          <t>VEGAS M.JUAN CARLOS</t>
        </is>
      </c>
      <c r="H11" t="inlineStr"/>
      <c r="I11" t="inlineStr">
        <is>
          <t>service.saem@maisonslaffitte.fr</t>
        </is>
      </c>
      <c r="J11" t="inlineStr">
        <is>
          <t>0134937166</t>
        </is>
      </c>
      <c r="K11" t="inlineStr"/>
      <c r="L11" t="inlineStr">
        <is>
          <t>78605</t>
        </is>
      </c>
      <c r="M11" t="inlineStr">
        <is>
          <t>Maisons-Laffitte Cedex</t>
        </is>
      </c>
      <c r="N11" t="inlineStr">
        <is>
          <t>78</t>
        </is>
      </c>
      <c r="O11" t="inlineStr"/>
      <c r="P11" t="inlineStr">
        <is>
          <t>Ile-de-France</t>
        </is>
      </c>
      <c r="Q11" s="15" t="n">
        <v>46248</v>
      </c>
      <c r="R11" s="15" t="n">
        <v>46326</v>
      </c>
      <c r="S11" t="inlineStr"/>
      <c r="T11" t="inlineStr">
        <is>
          <t>A_VERIFIER_BUDGET</t>
        </is>
      </c>
      <c r="U11" t="inlineStr"/>
      <c r="V11" t="inlineStr">
        <is>
          <t>non</t>
        </is>
      </c>
      <c r="W11" t="inlineStr">
        <is>
          <t>Vitres</t>
        </is>
      </c>
      <c r="X11" t="inlineStr">
        <is>
          <t>Autre</t>
        </is>
      </c>
      <c r="Y11" t="inlineStr">
        <is>
          <t>SERVICES</t>
        </is>
      </c>
      <c r="Z11" t="inlineStr">
        <is>
          <t>Procédure Adaptée</t>
        </is>
      </c>
      <c r="AA11" t="inlineStr">
        <is>
          <t>Avis de marché</t>
        </is>
      </c>
      <c r="AB11" t="inlineStr">
        <is>
          <t>Nettoyage de locaux</t>
        </is>
      </c>
      <c r="AC11" t="inlineStr"/>
      <c r="AD11" s="11" t="inlineStr">
        <is>
          <t>https://www.boamp.fr/pages/avis/?q=idweb:26-80740</t>
        </is>
      </c>
      <c r="AE11" t="inlineStr">
        <is>
          <t>https://www.e-marchespublics.com/appel-offre/1178203</t>
        </is>
      </c>
      <c r="AF11" t="inlineStr">
        <is>
          <t>https://www.e-marchespublics.com/appel-offre/1178203</t>
        </is>
      </c>
      <c r="AG11" t="inlineStr">
        <is>
          <t>nettoyage, menage, entretien menager</t>
        </is>
      </c>
      <c r="AH11" t="inlineStr">
        <is>
          <t>4</t>
        </is>
      </c>
      <c r="AI11" t="inlineStr">
        <is>
          <t>90</t>
        </is>
      </c>
      <c r="AJ11" t="inlineStr">
        <is>
          <t>INFO_PARTIELLE</t>
        </is>
      </c>
      <c r="AK11" t="inlineStr">
        <is>
          <t>71.0</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SIRET, adresse,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26-80740. Objet: Entretien Ménager - Service Ordures Ménagères -. Acheteur: SAEM de construction Maisons-Laffitte. Lien: https://www.boamp.fr/pages/avis/?q=idweb:26-80740.</t>
        </is>
      </c>
      <c r="AU11" t="inlineStr">
        <is>
          <t>Verifier url_avis et DCE si disponible</t>
        </is>
      </c>
      <c r="AV11" t="inlineStr">
        <is>
          <t>LIEN_SEUL</t>
        </is>
      </c>
      <c r="AW11" t="inlineStr"/>
      <c r="AX11" t="inlineStr"/>
      <c r="AY11" t="inlineStr"/>
      <c r="AZ11" t="inlineStr"/>
      <c r="BA11" t="inlineStr"/>
      <c r="BB11" t="inlineStr">
        <is>
          <t>+34.0 nettoyage + categorie claire (2 termes) | +10 budget non affiche (a verifier) | +15 procedure adaptee / MAPA / allotissement | +10.0 delai 61 j | +2.0 dossier renseigne (4/4)</t>
        </is>
      </c>
      <c r="BC11" t="inlineStr">
        <is>
          <t>SAEM de construction Maisons-Laffitte publie un AO potentiellement pertinent pour CHRUTH : Entretien Ménager - Service Ordures Ménagères -. Zone : Maisons-Laffitte Cedex. Budget a verifier. Verifier le lien source avant contact.</t>
        </is>
      </c>
      <c r="BD11" t="inlineStr">
        <is>
          <t>Bonjour,
Je me permets de vous contacter au sujet de votre appel d'offres : Entretien Ménager - Service Ordures Ménagères -.
CHRUTH accompagne les structures publiques et privées sur les besoins de nettoyage, d'entretien des locaux et d'organisation de prestations de service.
Serait-il possible d'échanger rapidement afin de vérifier les modalités de réponse et les attentes de SAEM de construction Maisons-Laffitte ?
Cordialement,</t>
        </is>
      </c>
      <c r="BE11" t="inlineStr">
        <is>
          <t>Bonjour, je vous appelle concernant un appel d'offres publié par SAEM de construction Maisons-Laffitte.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2026-W33</t>
        </is>
      </c>
    </row>
    <row r="12">
      <c r="A12" t="inlineStr">
        <is>
          <t>BOAMP</t>
        </is>
      </c>
      <c r="B12" t="inlineStr">
        <is>
          <t>26-78436</t>
        </is>
      </c>
      <c r="C12" t="inlineStr">
        <is>
          <t>Nettoyage Des Batiments Communaux Et Nettoyage Des Vitres</t>
        </is>
      </c>
      <c r="D12" t="inlineStr">
        <is>
          <t>Mairie De Gouvernes</t>
        </is>
      </c>
      <c r="E12" t="inlineStr">
        <is>
          <t>21770209100018</t>
        </is>
      </c>
      <c r="F12" t="inlineStr">
        <is>
          <t>217702091</t>
        </is>
      </c>
      <c r="G12" t="inlineStr">
        <is>
          <t>Service Commande publique</t>
        </is>
      </c>
      <c r="H12" t="inlineStr"/>
      <c r="I12" t="inlineStr"/>
      <c r="J12" t="inlineStr">
        <is>
          <t>0209100018</t>
        </is>
      </c>
      <c r="K12" t="inlineStr">
        <is>
          <t>FR102 - Seine-et-Marne</t>
        </is>
      </c>
      <c r="L12" t="inlineStr">
        <is>
          <t>77400</t>
        </is>
      </c>
      <c r="M12" t="inlineStr">
        <is>
          <t>GOUVERNES</t>
        </is>
      </c>
      <c r="N12" t="inlineStr">
        <is>
          <t>77</t>
        </is>
      </c>
      <c r="O12" t="inlineStr"/>
      <c r="P12" t="inlineStr">
        <is>
          <t>Ile-de-France</t>
        </is>
      </c>
      <c r="Q12" s="15" t="n">
        <v>46240</v>
      </c>
      <c r="R12" s="15" t="n">
        <v>46279</v>
      </c>
      <c r="S12" s="14" t="n">
        <v>77400</v>
      </c>
      <c r="T12" t="inlineStr">
        <is>
          <t>BUDGET_SOUS_SEUIL</t>
        </is>
      </c>
      <c r="U12" t="inlineStr">
        <is>
          <t>77400.0</t>
        </is>
      </c>
      <c r="V12" t="inlineStr">
        <is>
          <t>non</t>
        </is>
      </c>
      <c r="W12" t="inlineStr">
        <is>
          <t>Vitres</t>
        </is>
      </c>
      <c r="X12" t="inlineStr">
        <is>
          <t>Mairie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https://www.boamp.fr/pages/avis/?q=idweb:26-78436</t>
        </is>
      </c>
      <c r="AE12" t="inlineStr">
        <is>
          <t>https://www.marches-publics.info/mpiaws/index.cfm?fuseaction=dematent.login&amp;type=Dce&amp;Idm=1859473</t>
        </is>
      </c>
      <c r="AF12" t="inlineStr">
        <is>
          <t>https://www.marches-publics.info/mpiaws/index.cfm?fuseaction=dematent.login&amp;type=Dce&amp;Idm=1859473</t>
        </is>
      </c>
      <c r="AG12" t="inlineStr">
        <is>
          <t>nettoyage</t>
        </is>
      </c>
      <c r="AH12" t="inlineStr">
        <is>
          <t>5</t>
        </is>
      </c>
      <c r="AI12" t="inlineStr">
        <is>
          <t>88</t>
        </is>
      </c>
      <c r="AJ12" t="inlineStr">
        <is>
          <t>INFO_PARTIELLE</t>
        </is>
      </c>
      <c r="AK12" t="inlineStr">
        <is>
          <t>70.5</t>
        </is>
      </c>
      <c r="AL12" s="13" t="inlineStr">
        <is>
          <t>CHAUD</t>
        </is>
      </c>
      <c r="AM12" t="inlineStr"/>
      <c r="AN12" t="inlineStr"/>
      <c r="AO12" t="inlineStr"/>
      <c r="AP12" t="inlineStr"/>
      <c r="AQ12" t="inlineStr">
        <is>
          <t>IA_CONTACT_A_COMPLETER</t>
        </is>
      </c>
      <c r="AR12" t="inlineStr">
        <is>
          <t>Completer les champs manquants depuis l'avis source, le site acheteur ou le DCE.</t>
        </is>
      </c>
      <c r="AS12" t="inlineStr">
        <is>
          <t>email</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26-78436. Objet: Nettoyage Des Batiments Communaux Et Nettoyage Des Vitres. Acheteur: Mairie De Gouvernes. Lien: https://www.boamp.fr/pages/avis/?q=idweb:26-78436.</t>
        </is>
      </c>
      <c r="AU12" t="inlineStr">
        <is>
          <t>Verifier url_avis et DCE si disponible</t>
        </is>
      </c>
      <c r="AV12" t="inlineStr">
        <is>
          <t>LIEN_SEUL</t>
        </is>
      </c>
      <c r="AW12" t="inlineStr"/>
      <c r="AX12" t="inlineStr"/>
      <c r="AY12" t="inlineStr"/>
      <c r="AZ12" t="inlineStr"/>
      <c r="BA12" t="inlineStr"/>
      <c r="BB12" t="inlineStr">
        <is>
          <t>+33.5 nettoyage + categorie claire (1 termes) | +19.5 budget annualise 77 400 EUR | +10 secteur cible Mairie | +6.0 delai 14 j | +1.5 dossier renseigne (3/4)</t>
        </is>
      </c>
      <c r="BC12" t="inlineStr">
        <is>
          <t>Mairie De Gouvernes publie un AO potentiellement pertinent pour CHRUTH : Nettoyage Des Batiments Communaux Et Nettoyage Des Vitres. Zone : GOUVERNES. Budget detecte environ 77 400 EUR. Verifier le lien source avant contact.</t>
        </is>
      </c>
      <c r="BD12" t="inlineStr">
        <is>
          <t>Bonjour,
Je me permets de vous contacter au sujet de votre appel d'offres : Nettoyage Des Batiments Communaux Et Nettoyage Des Vitres.
CHRUTH accompagne les structures publiques et privées sur les besoins de nettoyage, d'entretien des locaux et d'organisation de prestations de service.
Serait-il possible d'échanger rapidement afin de vérifier les modalités de réponse et les attentes de Mairie De Gouvernes ?
Cordialement,</t>
        </is>
      </c>
      <c r="BE12" t="inlineStr">
        <is>
          <t>Bonjour, je vous appelle concernant un appel d'offres publié par Mairie De Gouvernes.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2026-W32</t>
        </is>
      </c>
    </row>
    <row r="13">
      <c r="A13" t="inlineStr">
        <is>
          <t>BOAMP</t>
        </is>
      </c>
      <c r="B13" t="inlineStr">
        <is>
          <t>26-70858</t>
        </is>
      </c>
      <c r="C13" t="inlineStr">
        <is>
          <t>Nettoyage des locaux de l'EPAMSA</t>
        </is>
      </c>
      <c r="D13" t="inlineStr">
        <is>
          <t>EPAMSA</t>
        </is>
      </c>
      <c r="E13" t="inlineStr">
        <is>
          <t>41063810000033</t>
        </is>
      </c>
      <c r="F13" t="inlineStr">
        <is>
          <t>410638100</t>
        </is>
      </c>
      <c r="G13" t="inlineStr">
        <is>
          <t>Courteille</t>
        </is>
      </c>
      <c r="H13" t="inlineStr"/>
      <c r="I13" t="inlineStr">
        <is>
          <t>t.courteille@epamsa.fr</t>
        </is>
      </c>
      <c r="J13" t="inlineStr">
        <is>
          <t>0638100000</t>
        </is>
      </c>
      <c r="K13" t="inlineStr">
        <is>
          <t>Mantes-la-Jolie</t>
        </is>
      </c>
      <c r="L13" t="inlineStr">
        <is>
          <t>78200</t>
        </is>
      </c>
      <c r="M13" t="inlineStr">
        <is>
          <t>MANTES-LA-JOLIE</t>
        </is>
      </c>
      <c r="N13" t="inlineStr">
        <is>
          <t>78</t>
        </is>
      </c>
      <c r="O13" t="inlineStr"/>
      <c r="P13" t="inlineStr">
        <is>
          <t>Ile-de-France</t>
        </is>
      </c>
      <c r="Q13" s="15" t="n">
        <v>46219</v>
      </c>
      <c r="R13" s="15" t="n">
        <v>46269</v>
      </c>
      <c r="S13" s="14" t="n">
        <v>78200</v>
      </c>
      <c r="T13" t="inlineStr">
        <is>
          <t>BUDGET_SOUS_SEUIL</t>
        </is>
      </c>
      <c r="U13" t="inlineStr">
        <is>
          <t>19550</t>
        </is>
      </c>
      <c r="V13" t="inlineStr">
        <is>
          <t>oui</t>
        </is>
      </c>
      <c r="W13" t="inlineStr">
        <is>
          <t>Batiments</t>
        </is>
      </c>
      <c r="X13" t="inlineStr">
        <is>
          <t>Autre</t>
        </is>
      </c>
      <c r="Y13" t="inlineStr">
        <is>
          <t>SERVICES</t>
        </is>
      </c>
      <c r="Z13" t="inlineStr">
        <is>
          <t>Procédure Ouverte</t>
        </is>
      </c>
      <c r="AA13" t="inlineStr">
        <is>
          <t>Avis de marché</t>
        </is>
      </c>
      <c r="AB13" t="inlineStr">
        <is>
          <t>Nettoyage de locaux</t>
        </is>
      </c>
      <c r="AC13" t="inlineStr">
        <is>
          <t>['sociaux', 'environnementaux']</t>
        </is>
      </c>
      <c r="AD13" s="11" t="inlineStr">
        <is>
          <t>https://www.boamp.fr/pages/avis/?q=idweb:26-70858</t>
        </is>
      </c>
      <c r="AE13" t="inlineStr">
        <is>
          <t>https://www.marches-publics.gouv.fr/entreprise/consultation/3039334?orgAcronyme=d4t</t>
        </is>
      </c>
      <c r="AF13" t="inlineStr">
        <is>
          <t>https://www.marches-publics.gouv.fr/entreprise/consultation/3039334?orgAcronyme=d4t</t>
        </is>
      </c>
      <c r="AG13" t="inlineStr">
        <is>
          <t>nettoyage</t>
        </is>
      </c>
      <c r="AH13" t="inlineStr">
        <is>
          <t>6</t>
        </is>
      </c>
      <c r="AI13" t="inlineStr">
        <is>
          <t>98</t>
        </is>
      </c>
      <c r="AJ13" t="inlineStr">
        <is>
          <t>INFO_PARTIELLE</t>
        </is>
      </c>
      <c r="AK13" t="inlineStr">
        <is>
          <t>70</t>
        </is>
      </c>
      <c r="AL13" s="13" t="inlineStr">
        <is>
          <t>CHAUD</t>
        </is>
      </c>
      <c r="AM13" t="inlineStr"/>
      <c r="AN13" t="inlineStr"/>
      <c r="AO13" t="inlineStr"/>
      <c r="AP13" t="inlineStr"/>
      <c r="AQ13" t="inlineStr">
        <is>
          <t>IA_CONTROLE_SOURCE</t>
        </is>
      </c>
      <c r="AR13" t="inlineStr">
        <is>
          <t>Verifier rapidement la source avant contact.</t>
        </is>
      </c>
      <c r="AS13" t="inlineStr">
        <is>
          <t>Aucun champ critique manquant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13" t="inlineStr">
        <is>
          <t>Verifier url_avis et DCE si disponible</t>
        </is>
      </c>
      <c r="AV13" t="inlineStr"/>
      <c r="AW13" t="inlineStr"/>
      <c r="AX13" t="inlineStr"/>
      <c r="AY13" t="inlineStr"/>
      <c r="AZ13" t="inlineStr"/>
      <c r="BA13" t="inlineStr"/>
      <c r="BB13" t="inlineStr">
        <is>
          <t>+35 nettoyage + categorie claire | +25 budget annualise &lt;= 50 000 EUR | +10 delai confortable 38j</t>
        </is>
      </c>
      <c r="BC13" t="inlineStr">
        <is>
          <t>EPAMSA publie un AO potentiellement pertinent pour CHRUTH : Nettoyage des locaux de l'EPAMSA. Zone : MANTES-LA-JOLIE. Budget detecte environ 78 200 EUR. Verifier le lien source avant contact.</t>
        </is>
      </c>
      <c r="BD13"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13"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26-70565</t>
        </is>
      </c>
      <c r="C14" t="inlineStr">
        <is>
          <t>TRAVAUX D'AMÉNAGEMENT INTÉRIEUR DU R+1 ET COMBLE DE LA FERME DURPÉ</t>
        </is>
      </c>
      <c r="D14" t="inlineStr">
        <is>
          <t>COMMUNE DE MAGNY LE HONGRE</t>
        </is>
      </c>
      <c r="E14" t="inlineStr">
        <is>
          <t>21770268700013</t>
        </is>
      </c>
      <c r="F14" t="inlineStr">
        <is>
          <t>217702687</t>
        </is>
      </c>
      <c r="G14" t="inlineStr">
        <is>
          <t>M. SOW LAMARANA</t>
        </is>
      </c>
      <c r="H14" t="inlineStr"/>
      <c r="I14" t="inlineStr">
        <is>
          <t>service-mp@magnylehongre.fr</t>
        </is>
      </c>
      <c r="J14" t="inlineStr">
        <is>
          <t>0268700013</t>
        </is>
      </c>
      <c r="K14" t="inlineStr">
        <is>
          <t>1 rue de l'Église - 77700 MAGNY LE HONGRE</t>
        </is>
      </c>
      <c r="L14" t="inlineStr">
        <is>
          <t>77700</t>
        </is>
      </c>
      <c r="M14" t="inlineStr">
        <is>
          <t>MAGNY LE HONGRE</t>
        </is>
      </c>
      <c r="N14" t="inlineStr">
        <is>
          <t>77,75,78,91</t>
        </is>
      </c>
      <c r="O14" t="inlineStr"/>
      <c r="P14" t="inlineStr">
        <is>
          <t>Ile-de-France</t>
        </is>
      </c>
      <c r="Q14" s="15" t="n">
        <v>46218</v>
      </c>
      <c r="R14" s="15" t="n">
        <v>46275</v>
      </c>
      <c r="S14" s="14" t="n">
        <v>77700</v>
      </c>
      <c r="T14" t="inlineStr">
        <is>
          <t>BUDGET_SOUS_SEUIL</t>
        </is>
      </c>
      <c r="U14" t="inlineStr">
        <is>
          <t>77700.0</t>
        </is>
      </c>
      <c r="V14" t="inlineStr">
        <is>
          <t>non</t>
        </is>
      </c>
      <c r="W14" t="inlineStr">
        <is>
          <t>Mixte/Autre</t>
        </is>
      </c>
      <c r="X14" t="inlineStr">
        <is>
          <t>Mairie</t>
        </is>
      </c>
      <c r="Y14" t="inlineStr">
        <is>
          <t>TRAVAUX</t>
        </is>
      </c>
      <c r="Z14" t="inlineStr">
        <is>
          <t>Procédure Ouverte</t>
        </is>
      </c>
      <c r="AA14" t="inlineStr">
        <is>
          <t>Avis de marché</t>
        </is>
      </c>
      <c r="AB14" t="inlineStr">
        <is>
          <t>Plomberie (travaux), Peinture (travaux), Electricité (travaux)</t>
        </is>
      </c>
      <c r="AC14" t="inlineStr">
        <is>
          <t>['environnementaux']</t>
        </is>
      </c>
      <c r="AD14" s="11" t="inlineStr">
        <is>
          <t>https://www.boamp.fr/pages/avis/?q=idweb:26-70565</t>
        </is>
      </c>
      <c r="AE14" t="inlineStr">
        <is>
          <t>https://marches.maximilien.fr/?page=Entreprise.EntrepriseAdvancedSearch&amp;AllCons&amp;id=942965&amp;orgAcronyme=a4d</t>
        </is>
      </c>
      <c r="AF14" t="inlineStr">
        <is>
          <t>https://marches.maximilien.fr/?page=Entreprise.EntrepriseAdvancedSearch&amp;AllCons&amp;id=942965&amp;orgAcronyme=a4d</t>
        </is>
      </c>
      <c r="AG14" t="inlineStr">
        <is>
          <t>nettoyage</t>
        </is>
      </c>
      <c r="AH14" t="inlineStr">
        <is>
          <t>6</t>
        </is>
      </c>
      <c r="AI14" t="inlineStr">
        <is>
          <t>98</t>
        </is>
      </c>
      <c r="AJ14" t="inlineStr">
        <is>
          <t>INFO_PARTIELLE</t>
        </is>
      </c>
      <c r="AK14" t="inlineStr">
        <is>
          <t>70</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14" t="inlineStr">
        <is>
          <t>Verifier url_avis et DCE si disponible</t>
        </is>
      </c>
      <c r="AV14" t="inlineStr"/>
      <c r="AW14" t="inlineStr"/>
      <c r="AX14" t="inlineStr"/>
      <c r="AY14" t="inlineStr"/>
      <c r="AZ14" t="inlineStr"/>
      <c r="BA14" t="inlineStr"/>
      <c r="BB14" t="inlineStr">
        <is>
          <t>+30 mots-cles nettoyage forts | +20 budget annualise &lt;= 100 000 EUR | +10 secteur cible Mairie | +10 delai confortable 44j</t>
        </is>
      </c>
      <c r="BC14" t="inlineStr">
        <is>
          <t>COMMUNE DE MAGNY LE HONGRE publie un AO potentiellement pertinent pour CHRUTH : TRAVAUX D'AMÉNAGEMENT INTÉRIEUR DU R+1 ET COMBLE DE LA FERME DURPÉ. Zone : MAGNY LE HONGRE. Budget detecte environ 77 700 EUR. Verifier le lien source avant contact.</t>
        </is>
      </c>
      <c r="BD14"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14"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2026-W29</t>
        </is>
      </c>
    </row>
    <row r="15">
      <c r="A15" t="inlineStr">
        <is>
          <t>BOAMP</t>
        </is>
      </c>
      <c r="B15" t="inlineStr">
        <is>
          <t>26-83338</t>
        </is>
      </c>
      <c r="C15" t="inlineStr">
        <is>
          <t>Nettoyage Des Vitres Dans Les Batiments Communaux</t>
        </is>
      </c>
      <c r="D15" t="inlineStr">
        <is>
          <t>Mairie de Bonneuil sur Marne</t>
        </is>
      </c>
      <c r="E15" t="inlineStr">
        <is>
          <t>21940011600014</t>
        </is>
      </c>
      <c r="F15" t="inlineStr">
        <is>
          <t>219400116</t>
        </is>
      </c>
      <c r="G15" t="inlineStr">
        <is>
          <t>Ville de Bonneuil sur Marne</t>
        </is>
      </c>
      <c r="H15" t="inlineStr"/>
      <c r="I15" t="inlineStr"/>
      <c r="J15" t="inlineStr">
        <is>
          <t>+33 145143880</t>
        </is>
      </c>
      <c r="K15" t="inlineStr">
        <is>
          <t>FR107 - Val-de-Marne, Bâtiments communaux de la ville de Bonneuil sur Marne</t>
        </is>
      </c>
      <c r="L15" t="inlineStr">
        <is>
          <t>94380</t>
        </is>
      </c>
      <c r="M15" t="inlineStr">
        <is>
          <t>Bonneuil-sur-Marne</t>
        </is>
      </c>
      <c r="N15" t="inlineStr">
        <is>
          <t>94</t>
        </is>
      </c>
      <c r="O15" t="inlineStr"/>
      <c r="P15" t="inlineStr">
        <is>
          <t>Ile-de-France</t>
        </is>
      </c>
      <c r="Q15" s="15" t="n">
        <v>46260</v>
      </c>
      <c r="R15" s="15" t="n">
        <v>46290</v>
      </c>
      <c r="S15" s="14" t="n">
        <v>94380</v>
      </c>
      <c r="T15" t="inlineStr">
        <is>
          <t>BUDGET_SOUS_SEUIL</t>
        </is>
      </c>
      <c r="U15" t="inlineStr">
        <is>
          <t>94380.0</t>
        </is>
      </c>
      <c r="V15" t="inlineStr">
        <is>
          <t>non</t>
        </is>
      </c>
      <c r="W15" t="inlineStr">
        <is>
          <t>Vitres</t>
        </is>
      </c>
      <c r="X15" t="inlineStr">
        <is>
          <t>Mairie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https://www.boamp.fr/pages/avis/?q=idweb:26-83338</t>
        </is>
      </c>
      <c r="AE15" t="inlineStr">
        <is>
          <t>https://www.marches-publics.info/mpiaws/index.cfm?fuseaction=dematent.login&amp;type=Dce&amp;Idm=1864838</t>
        </is>
      </c>
      <c r="AF15" t="inlineStr">
        <is>
          <t>https://www.marches-publics.info/mpiaws/index.cfm?fuseaction=dematent.login&amp;type=Dce&amp;Idm=1864838</t>
        </is>
      </c>
      <c r="AG15" t="inlineStr">
        <is>
          <t>nettoyage</t>
        </is>
      </c>
      <c r="AH15" t="inlineStr">
        <is>
          <t>5</t>
        </is>
      </c>
      <c r="AI15" t="inlineStr">
        <is>
          <t>88</t>
        </is>
      </c>
      <c r="AJ15" t="inlineStr">
        <is>
          <t>INFO_PARTIELLE</t>
        </is>
      </c>
      <c r="AK15" t="inlineStr">
        <is>
          <t>69.9</t>
        </is>
      </c>
      <c r="AL15" s="13" t="inlineStr">
        <is>
          <t>CHAUD</t>
        </is>
      </c>
      <c r="AM15" t="inlineStr"/>
      <c r="AN15" t="inlineStr"/>
      <c r="AO15" t="inlineStr"/>
      <c r="AP15" t="inlineStr"/>
      <c r="AQ15" t="inlineStr">
        <is>
          <t>IA_CONTACT_A_COMPLETER</t>
        </is>
      </c>
      <c r="AR15" t="inlineStr">
        <is>
          <t>Completer les champs manquants depuis l'avis source, le site acheteur ou le DCE.</t>
        </is>
      </c>
      <c r="AS15" t="inlineStr">
        <is>
          <t>email</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26-83338. Objet: Nettoyage Des Vitres Dans Les Batiments Communaux. Acheteur: Mairie de Bonneuil sur Marne. Lien: https://www.boamp.fr/pages/avis/?q=idweb:26-83338.</t>
        </is>
      </c>
      <c r="AU15" t="inlineStr">
        <is>
          <t>Verifier url_avis et DCE si disponible</t>
        </is>
      </c>
      <c r="AV15" t="inlineStr">
        <is>
          <t>LIEN_SEUL</t>
        </is>
      </c>
      <c r="AW15" t="inlineStr"/>
      <c r="AX15" t="inlineStr"/>
      <c r="AY15" t="inlineStr"/>
      <c r="AZ15" t="inlineStr"/>
      <c r="BA15" t="inlineStr"/>
      <c r="BB15" t="inlineStr">
        <is>
          <t>+33.5 nettoyage + categorie claire (1 termes) | +16.1 budget annualise 94 380 EUR | +10 secteur cible Mairie | +8.8 delai 25 j | +1.5 dossier renseigne (3/4)</t>
        </is>
      </c>
      <c r="BC15" t="inlineStr">
        <is>
          <t>Mairie de Bonneuil sur Marne publie un AO potentiellement pertinent pour CHRUTH : Nettoyage Des Vitres Dans Les Batiments Communaux. Zone : Bonneuil-sur-Marne. Budget detecte environ 94 380 EUR. Verifier le lien source avant contact.</t>
        </is>
      </c>
      <c r="BD15" t="inlineStr">
        <is>
          <t>Bonjour,
Je me permets de vous contacter au sujet de votre appel d'offres : Nettoyage Des Vitres Dans Les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Bonneuil sur Marne ?
Cordialement,</t>
        </is>
      </c>
      <c r="BE15" t="inlineStr">
        <is>
          <t>Bonjour, je vous appelle concernant un appel d'offres publié par Mairie de Bonneuil sur Marne.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2026-W35</t>
        </is>
      </c>
    </row>
    <row r="16">
      <c r="A16" t="inlineStr">
        <is>
          <t>BOAMP</t>
        </is>
      </c>
      <c r="B16" t="inlineStr">
        <is>
          <t>26-84191</t>
        </is>
      </c>
      <c r="C16" t="inlineStr">
        <is>
          <t>Nettoyage et entretien des locaux des bâtiments communaux</t>
        </is>
      </c>
      <c r="D16" t="inlineStr">
        <is>
          <t>Mairie d'Emerainville</t>
        </is>
      </c>
      <c r="E16" t="inlineStr">
        <is>
          <t>21770169700013</t>
        </is>
      </c>
      <c r="F16" t="inlineStr">
        <is>
          <t>217701697</t>
        </is>
      </c>
      <c r="G16" t="inlineStr"/>
      <c r="H16" t="inlineStr"/>
      <c r="I16" t="inlineStr">
        <is>
          <t>maire@mairie-emerainville.fr</t>
        </is>
      </c>
      <c r="J16" t="inlineStr">
        <is>
          <t>0169700013</t>
        </is>
      </c>
      <c r="K16" t="inlineStr"/>
      <c r="L16" t="inlineStr"/>
      <c r="M16" t="inlineStr"/>
      <c r="N16" t="inlineStr">
        <is>
          <t>77</t>
        </is>
      </c>
      <c r="O16" t="inlineStr"/>
      <c r="P16" t="inlineStr">
        <is>
          <t>Ile-de-France</t>
        </is>
      </c>
      <c r="Q16" s="15" t="n">
        <v>46264</v>
      </c>
      <c r="R16" s="15" t="n">
        <v>46293</v>
      </c>
      <c r="S16" t="inlineStr"/>
      <c r="T16" t="inlineStr">
        <is>
          <t>A_VERIFIER_BUDGET</t>
        </is>
      </c>
      <c r="U16" t="inlineStr"/>
      <c r="V16" t="inlineStr">
        <is>
          <t>non</t>
        </is>
      </c>
      <c r="W16" t="inlineStr">
        <is>
          <t>Bureaux</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https://www.boamp.fr/pages/avis/?q=idweb:26-84191</t>
        </is>
      </c>
      <c r="AE16" t="inlineStr">
        <is>
          <t>https://www.mairie-emerainville.fr/</t>
        </is>
      </c>
      <c r="AF16" t="inlineStr"/>
      <c r="AG16" t="inlineStr">
        <is>
          <t>nettoyage, proprete, entretien des locaux, hygiene des locaux</t>
        </is>
      </c>
      <c r="AH16" t="inlineStr">
        <is>
          <t>3</t>
        </is>
      </c>
      <c r="AI16" t="inlineStr">
        <is>
          <t>92</t>
        </is>
      </c>
      <c r="AJ16" t="inlineStr">
        <is>
          <t>INFO_PARTIELLE</t>
        </is>
      </c>
      <c r="AK16" t="inlineStr">
        <is>
          <t>66.0</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26-84191. Objet: Nettoyage et entretien des locaux des bâtiments communaux. Acheteur: Mairie d'Emerainville. Lien: https://www.boamp.fr/pages/avis/?q=idweb:26-84191.</t>
        </is>
      </c>
      <c r="AU16" t="inlineStr">
        <is>
          <t>Verifier url_avis et DCE si disponible</t>
        </is>
      </c>
      <c r="AV16" t="inlineStr">
        <is>
          <t>LIEN_SEUL</t>
        </is>
      </c>
      <c r="AW16" t="inlineStr"/>
      <c r="AX16" t="inlineStr"/>
      <c r="AY16" t="inlineStr"/>
      <c r="AZ16" t="inlineStr"/>
      <c r="BA16" t="inlineStr"/>
      <c r="BB16" t="inlineStr">
        <is>
          <t>+35.0 nettoyage + categorie claire (4 termes) | +10 budget non affiche (a verifier) | +10 secteur cible Mairie | +9.5 delai 28 j | +1.5 dossier renseigne (3/4)</t>
        </is>
      </c>
      <c r="BC16" t="inlineStr">
        <is>
          <t>Mairie d'Emerainville publie un AO potentiellement pertinent pour CHRUTH : Nettoyage et entretien des locaux des bâtiments communaux. Zone : 77. Budget a verifier. Verifier le lien source avant contact.</t>
        </is>
      </c>
      <c r="BD16" t="inlineStr">
        <is>
          <t>Bonjour,
Je me permets de vous contacter au sujet de votre appel d'offres : Nettoyage et entretien des locaux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d'Emerainville ?
Cordialement,</t>
        </is>
      </c>
      <c r="BE16" t="inlineStr">
        <is>
          <t>Bonjour, je vous appelle concernant un appel d'offres publié par Mairie d'Emerainville.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2026-W35</t>
        </is>
      </c>
    </row>
    <row r="17">
      <c r="A17" t="inlineStr">
        <is>
          <t>BOAMP</t>
        </is>
      </c>
      <c r="B17" t="inlineStr">
        <is>
          <t>26-78821</t>
        </is>
      </c>
      <c r="C17" t="inlineStr">
        <is>
          <t>Prestations de nettoyage des locaux et des vitreries du Complexe Sportif et Culturel Camille Muffat.</t>
        </is>
      </c>
      <c r="D17" t="inlineStr">
        <is>
          <t>Seine Spport Culture</t>
        </is>
      </c>
      <c r="E17" t="inlineStr">
        <is>
          <t>99057630800011</t>
        </is>
      </c>
      <c r="F17" t="inlineStr">
        <is>
          <t>990576308</t>
        </is>
      </c>
      <c r="G17" t="inlineStr"/>
      <c r="H17" t="inlineStr"/>
      <c r="I17" t="inlineStr">
        <is>
          <t>fabien.lague@clichyhall.com</t>
        </is>
      </c>
      <c r="J17" t="inlineStr">
        <is>
          <t>0576308000</t>
        </is>
      </c>
      <c r="K17" t="inlineStr"/>
      <c r="L17" t="inlineStr"/>
      <c r="M17" t="inlineStr"/>
      <c r="N17" t="inlineStr">
        <is>
          <t>92</t>
        </is>
      </c>
      <c r="O17" t="inlineStr"/>
      <c r="P17" t="inlineStr">
        <is>
          <t>Ile-de-France</t>
        </is>
      </c>
      <c r="Q17" s="15" t="n">
        <v>46242</v>
      </c>
      <c r="R17" s="15" t="n">
        <v>46295</v>
      </c>
      <c r="S17" t="inlineStr"/>
      <c r="T17" t="inlineStr">
        <is>
          <t>A_VERIFIER_BUDGET</t>
        </is>
      </c>
      <c r="U17" t="inlineStr"/>
      <c r="V17" t="inlineStr">
        <is>
          <t>non</t>
        </is>
      </c>
      <c r="W17" t="inlineStr">
        <is>
          <t>Vitres</t>
        </is>
      </c>
      <c r="X17" t="inlineStr">
        <is>
          <t>Gymnase</t>
        </is>
      </c>
      <c r="Y17" t="inlineStr">
        <is>
          <t>SERVICES</t>
        </is>
      </c>
      <c r="Z17" t="inlineStr">
        <is>
          <t>Procédure Ouverte</t>
        </is>
      </c>
      <c r="AA17" t="inlineStr">
        <is>
          <t>Avis de marché</t>
        </is>
      </c>
      <c r="AB17" t="inlineStr">
        <is>
          <t>Nettoyage de locaux</t>
        </is>
      </c>
      <c r="AC17" t="inlineStr"/>
      <c r="AD17" s="11" t="inlineStr">
        <is>
          <t>https://www.boamp.fr/pages/avis/?q=idweb:26-78821</t>
        </is>
      </c>
      <c r="AE17" t="inlineStr">
        <is>
          <t>https://marches.maximilien.fr/entreprise/consultation/945004?orgAcronyme=a7k</t>
        </is>
      </c>
      <c r="AF17" t="inlineStr">
        <is>
          <t>https://marches.maximilien.fr/entreprise/consultation/945004?orgAcronyme=a7k</t>
        </is>
      </c>
      <c r="AG17" t="inlineStr">
        <is>
          <t>nettoyage, menage, desinfection</t>
        </is>
      </c>
      <c r="AH17" t="inlineStr">
        <is>
          <t>3</t>
        </is>
      </c>
      <c r="AI17" t="inlineStr">
        <is>
          <t>80</t>
        </is>
      </c>
      <c r="AJ17" t="inlineStr">
        <is>
          <t>INFO_PARTIELLE</t>
        </is>
      </c>
      <c r="AK17" t="inlineStr">
        <is>
          <t>65.5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26-78821. Objet: Prestations de nettoyage des locaux et des vitreries du Complexe Sportif et Culturel Camille Muffat.. Acheteur: Seine Spport Culture. Lien: https://www.boamp.fr/pages/avis/?q=idweb:26-78821.</t>
        </is>
      </c>
      <c r="AU17" t="inlineStr">
        <is>
          <t>Verifier url_avis et DCE si disponible</t>
        </is>
      </c>
      <c r="AV17" t="inlineStr">
        <is>
          <t>LIEN_SEUL</t>
        </is>
      </c>
      <c r="AW17" t="inlineStr"/>
      <c r="AX17" t="inlineStr"/>
      <c r="AY17" t="inlineStr"/>
      <c r="AZ17" t="inlineStr"/>
      <c r="BA17" t="inlineStr"/>
      <c r="BB17" t="inlineStr">
        <is>
          <t>+34.0 nettoyage + categorie claire (2 termes) | +10 budget non affiche (a verifier) | +10 secteur cible Gymnase | +10.0 delai 30 j | +1.5 dossier renseigne (3/4)</t>
        </is>
      </c>
      <c r="BC17" t="inlineStr">
        <is>
          <t>Seine Spport Culture publie un AO potentiellement pertinent pour CHRUTH : Prestations de nettoyage des locaux et des vitreries du Complexe Sportif et Culturel Camille Muffat.. Zone : 92. Budget a verifier. Verifier le lien source avant contact.</t>
        </is>
      </c>
      <c r="BD17" t="inlineStr">
        <is>
          <t>Bonjour,
Je me permets de vous contacter au sujet de votre appel d'offres : Prestations de nettoyage des locaux et des vitreries du Complexe Sportif et Culturel Camille Muffat..
CHRUTH accompagne les structures publiques et privées sur les besoins de nettoyage, d'entretien des locaux et d'organisation de prestations de service.
Serait-il possible d'échanger rapidement afin de vérifier les modalités de réponse et les attentes de Seine Spport Culture ?
Cordialement,</t>
        </is>
      </c>
      <c r="BE17" t="inlineStr">
        <is>
          <t>Bonjour, je vous appelle concernant un appel d'offres publié par Seine Spport Culture.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2026-W32</t>
        </is>
      </c>
    </row>
    <row r="18">
      <c r="A18" t="inlineStr">
        <is>
          <t>BOAMP</t>
        </is>
      </c>
      <c r="B18" t="inlineStr">
        <is>
          <t>26-80807</t>
        </is>
      </c>
      <c r="C18" t="inlineStr">
        <is>
          <t>PRESTATION DE NETTOYAGE, D’ENTRETIEN COURANT ET DE BLANCHISSERIE : STRUCTURES PETITE ENFANCE - MAISON DE L’ENFANCE « NICOLE CHAPEL », CRECHE COLLECTIVE « LES DAUPHINS » ET HALTE-GARDERIE « LES POUS...</t>
        </is>
      </c>
      <c r="D18" t="inlineStr">
        <is>
          <t>VILLE DE MELUN, Pôle ressources, Services à la population et Transition Ecologique</t>
        </is>
      </c>
      <c r="E18" t="inlineStr">
        <is>
          <t>21770288500013</t>
        </is>
      </c>
      <c r="F18" t="inlineStr">
        <is>
          <t>217702885</t>
        </is>
      </c>
      <c r="G18" t="inlineStr"/>
      <c r="H18" t="inlineStr"/>
      <c r="I18" t="inlineStr">
        <is>
          <t>Commande.publique@ville-melun.fr</t>
        </is>
      </c>
      <c r="J18" t="inlineStr">
        <is>
          <t>0288500013</t>
        </is>
      </c>
      <c r="K18" t="inlineStr"/>
      <c r="L18" t="inlineStr"/>
      <c r="M18" t="inlineStr"/>
      <c r="N18" t="inlineStr">
        <is>
          <t>77,91,93,75</t>
        </is>
      </c>
      <c r="O18" t="inlineStr"/>
      <c r="P18" t="inlineStr">
        <is>
          <t>Ile-de-France</t>
        </is>
      </c>
      <c r="Q18" s="15" t="n">
        <v>46250</v>
      </c>
      <c r="R18" s="15" t="n">
        <v>46294</v>
      </c>
      <c r="S18" t="inlineStr"/>
      <c r="T18" t="inlineStr">
        <is>
          <t>A_VERIFIER_BUDGET</t>
        </is>
      </c>
      <c r="U18" t="inlineStr"/>
      <c r="V18" t="inlineStr">
        <is>
          <t>non</t>
        </is>
      </c>
      <c r="W18" t="inlineStr">
        <is>
          <t>Batiments</t>
        </is>
      </c>
      <c r="X18" t="inlineStr">
        <is>
          <t>Ecole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https://www.boamp.fr/pages/avis/?q=idweb:26-80807</t>
        </is>
      </c>
      <c r="AE18" t="inlineStr">
        <is>
          <t>https://www.ville-melun.fr/la-ville/marches-publics</t>
        </is>
      </c>
      <c r="AF18" t="inlineStr"/>
      <c r="AG18" t="inlineStr">
        <is>
          <t>nettoyage, proprete</t>
        </is>
      </c>
      <c r="AH18" t="inlineStr">
        <is>
          <t>3</t>
        </is>
      </c>
      <c r="AI18" t="inlineStr">
        <is>
          <t>76</t>
        </is>
      </c>
      <c r="AJ18" t="inlineStr">
        <is>
          <t>INFO_PARTIELLE</t>
        </is>
      </c>
      <c r="AK18" t="inlineStr">
        <is>
          <t>65.2</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26-80807. Objet: PRESTATION DE NETTOYAGE, D’ENTRETIEN COURANT ET DE BLANCHISSERIE : STRUCTURES PETITE ENFANCE - MAISON DE L’ENFANCE « NICOLE CHAPEL », CRECHE COLLECTIVE « LES DAUPHINS » ET HALTE-GARDERIE « LES POUS.... Acheteur: VILLE DE MELUN, Pôle ressources, Services à la population et Transition Ecologique. Lien: https://www.boamp.fr/pages/avis/?q=idweb:26-80807.</t>
        </is>
      </c>
      <c r="AU18" t="inlineStr">
        <is>
          <t>Verifier url_avis et DCE si disponible</t>
        </is>
      </c>
      <c r="AV18" t="inlineStr">
        <is>
          <t>LIEN_SEUL</t>
        </is>
      </c>
      <c r="AW18" t="inlineStr"/>
      <c r="AX18" t="inlineStr"/>
      <c r="AY18" t="inlineStr"/>
      <c r="AZ18" t="inlineStr"/>
      <c r="BA18" t="inlineStr"/>
      <c r="BB18" t="inlineStr">
        <is>
          <t>+34.0 nettoyage + categorie claire (2 termes) | +10 budget non affiche (a verifier) | +10 secteur cible Ecole | +9.8 delai 29 j | +1.5 dossier renseigne (3/4)</t>
        </is>
      </c>
      <c r="BC18" t="inlineStr">
        <is>
          <t>VILLE DE MELUN, Pôle ressources, Services à la population et Transition Ecologique publie un AO potentiellement pertinent pour CHRUTH : PRESTATION DE NETTOYAGE, D’ENTRETIEN COURANT ET DE BLANCHISSERIE : STRUCTURES PETITE ENFANCE - MAISON DE L’ENFANCE « NICOLE CHAPEL », CRECHE COLLECTIVE « LES DAUPHINS » ET HALTE-GARDERIE « LES POUS.... Zone : 77,91,93,75. Budget a verifier. Verifier le lien source avant contact.</t>
        </is>
      </c>
      <c r="BD18" t="inlineStr">
        <is>
          <t>Bonjour,
Je me permets de vous contacter au sujet de votre appel d'offres : PRESTATION DE NETTOYAGE, D’ENTRETIEN COURANT ET DE BLANCHISSERIE : STRUCTURES PETITE ENFANCE - MAISON DE L’ENFANCE « NICOLE CHAPEL », CRECHE COLLECTIVE « LES DAUPHINS » ET HALTE-GARDERIE « LES POUS....
CHRUTH accompagne les structures publiques et privées sur les besoins de nettoyage, d'entretien des locaux et d'organisation de prestations de service.
Serait-il possible d'échanger rapidement afin de vérifier les modalités de réponse et les attentes de VILLE DE MELUN, Pôle ressources, Services à la population et Transition Ecologique ?
Cordialement,</t>
        </is>
      </c>
      <c r="BE18" t="inlineStr">
        <is>
          <t>Bonjour, je vous appelle concernant un appel d'offres publié par VILLE DE MELUN, Pôle ressources, Services à la population et Transition Ecologique.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2026-W33</t>
        </is>
      </c>
    </row>
    <row r="19">
      <c r="A19" t="inlineStr">
        <is>
          <t>BOAMP</t>
        </is>
      </c>
      <c r="B19" t="inlineStr">
        <is>
          <t>26-82481</t>
        </is>
      </c>
      <c r="C19" t="inlineStr">
        <is>
          <t>NETTOYAGE DES LOCAUX DANS LES ETABLISSMENTS DE LA PETITE ENFANCE</t>
        </is>
      </c>
      <c r="D19" t="inlineStr">
        <is>
          <t>Ville de Levallois</t>
        </is>
      </c>
      <c r="E19" t="inlineStr"/>
      <c r="F19" t="inlineStr"/>
      <c r="G19" t="inlineStr"/>
      <c r="H19" t="inlineStr"/>
      <c r="I19" t="inlineStr">
        <is>
          <t>publications-joue@aws-france.com</t>
        </is>
      </c>
      <c r="J19" t="inlineStr">
        <is>
          <t>+33480041260</t>
        </is>
      </c>
      <c r="K19" t="inlineStr"/>
      <c r="L19" t="inlineStr"/>
      <c r="M19" t="inlineStr"/>
      <c r="N19" t="inlineStr">
        <is>
          <t>92</t>
        </is>
      </c>
      <c r="O19" t="inlineStr"/>
      <c r="P19" t="inlineStr">
        <is>
          <t>Ile-de-France</t>
        </is>
      </c>
      <c r="Q19" s="15" t="n">
        <v>46257</v>
      </c>
      <c r="R19" s="15" t="n">
        <v>46297</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c r="AD19" s="11" t="inlineStr">
        <is>
          <t>https://www.boamp.fr/pages/avis/?q=idweb:26-82481</t>
        </is>
      </c>
      <c r="AE19" t="inlineStr">
        <is>
          <t>https://www.marches-publics.info/mpiaws/index.cfm?fuseaction=dematEnt.login&amp;amp;type=DCE&amp;amp;IDM=1863702</t>
        </is>
      </c>
      <c r="AF19" t="inlineStr">
        <is>
          <t>https://www.marches-publics.info/mpiaws/index.cfm?fuseaction=dematEnt.login&amp;amp;type=DCE&amp;amp;IDM=1863702</t>
        </is>
      </c>
      <c r="AG19" t="inlineStr">
        <is>
          <t>nettoyage</t>
        </is>
      </c>
      <c r="AH19" t="inlineStr">
        <is>
          <t>2</t>
        </is>
      </c>
      <c r="AI19" t="inlineStr">
        <is>
          <t>58</t>
        </is>
      </c>
      <c r="AJ19" t="inlineStr">
        <is>
          <t>INFO_PARTIELLE</t>
        </is>
      </c>
      <c r="AK19" t="inlineStr">
        <is>
          <t>65.0</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26-82481. Objet: NETTOYAGE DES LOCAUX DANS LES ETABLISSMENTS DE LA PETITE ENFANCE. Acheteur: Ville de Levallois. Lien: https://www.boamp.fr/pages/avis/?q=idweb:26-82481.</t>
        </is>
      </c>
      <c r="AU19" t="inlineStr">
        <is>
          <t>Verifier url_avis et DCE si disponible</t>
        </is>
      </c>
      <c r="AV19" t="inlineStr">
        <is>
          <t>LIEN_SEUL</t>
        </is>
      </c>
      <c r="AW19" t="inlineStr"/>
      <c r="AX19" t="inlineStr"/>
      <c r="AY19" t="inlineStr"/>
      <c r="AZ19" t="inlineStr"/>
      <c r="BA19" t="inlineStr"/>
      <c r="BB19" t="inlineStr">
        <is>
          <t>+33.5 nettoyage + categorie claire (1 termes) | +10 budget non affiche (a verifier) | +10 secteur cible Mairie | +10.0 delai 32 j | +1.5 dossier renseigne (3/4)</t>
        </is>
      </c>
      <c r="BC19" t="inlineStr">
        <is>
          <t>Ville de Levallois publie un AO potentiellement pertinent pour CHRUTH : NETTOYAGE DES LOCAUX DANS LES ETABLISSMENTS DE LA PETITE ENFANCE. Zone : 92. Budget a verifier. Verifier le lien source avant contact.</t>
        </is>
      </c>
      <c r="BD19" t="inlineStr">
        <is>
          <t>Bonjour,
Je me permets de vous contacter au sujet de votre appel d'offres : NETTOYAGE DES LOCAUX DANS LES ETABLISSMENTS DE LA PETITE ENFANCE.
CHRUTH accompagne les structures publiques et privées sur les besoins de nettoyage, d'entretien des locaux et d'organisation de prestations de service.
Serait-il possible d'échanger rapidement afin de vérifier les modalités de réponse et les attentes de Ville de Levallois ?
Cordialement,</t>
        </is>
      </c>
      <c r="BE19" t="inlineStr">
        <is>
          <t>Bonjour, je vous appelle concernant un appel d'offres publié par Ville de Levallois.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2026-W34</t>
        </is>
      </c>
    </row>
    <row r="20">
      <c r="A20" t="inlineStr">
        <is>
          <t>BOAMP</t>
        </is>
      </c>
      <c r="B20" t="inlineStr">
        <is>
          <t>26-72708</t>
        </is>
      </c>
      <c r="C20" t="inlineStr">
        <is>
          <t>Entretien ménager des locaux des sites mégalithiques de Carnac et Locmariaquer</t>
        </is>
      </c>
      <c r="D20" t="inlineStr">
        <is>
          <t>Centre Monuments Nationaux</t>
        </is>
      </c>
      <c r="E20" t="inlineStr">
        <is>
          <t>18004601300017</t>
        </is>
      </c>
      <c r="F20" t="inlineStr">
        <is>
          <t>180046013</t>
        </is>
      </c>
      <c r="G20" t="inlineStr"/>
      <c r="H20" t="inlineStr"/>
      <c r="I20" t="inlineStr">
        <is>
          <t>marches-publics@monuments-nationaux.fr</t>
        </is>
      </c>
      <c r="J20" t="inlineStr">
        <is>
          <t>0460130001</t>
        </is>
      </c>
      <c r="K20" t="inlineStr"/>
      <c r="L20" t="inlineStr"/>
      <c r="M20" t="inlineStr"/>
      <c r="N20" t="inlineStr">
        <is>
          <t>75,56</t>
        </is>
      </c>
      <c r="O20" t="inlineStr"/>
      <c r="P20" t="inlineStr">
        <is>
          <t>Ile-de-France</t>
        </is>
      </c>
      <c r="Q20" s="15" t="n">
        <v>46226</v>
      </c>
      <c r="R20" s="15" t="n">
        <v>46276</v>
      </c>
      <c r="S20" s="14" t="n">
        <v>60000</v>
      </c>
      <c r="T20" t="inlineStr">
        <is>
          <t>BUDGET_SOUS_SEUIL</t>
        </is>
      </c>
      <c r="U20" t="inlineStr">
        <is>
          <t>60000.0</t>
        </is>
      </c>
      <c r="V20" t="inlineStr">
        <is>
          <t>non</t>
        </is>
      </c>
      <c r="W20" t="inlineStr">
        <is>
          <t>Batiments</t>
        </is>
      </c>
      <c r="X20" t="inlineStr">
        <is>
          <t>Autre</t>
        </is>
      </c>
      <c r="Y20" t="inlineStr">
        <is>
          <t>SERVICES</t>
        </is>
      </c>
      <c r="Z20" t="inlineStr">
        <is>
          <t>Procédure Ouverte</t>
        </is>
      </c>
      <c r="AA20" t="inlineStr">
        <is>
          <t>Avis de marché</t>
        </is>
      </c>
      <c r="AB20" t="inlineStr">
        <is>
          <t>Nettoyage de locaux, Monuments historiques</t>
        </is>
      </c>
      <c r="AC20" t="inlineStr"/>
      <c r="AD20" s="11" t="inlineStr">
        <is>
          <t>https://www.boamp.fr/pages/avis/?q=idweb:26-72708</t>
        </is>
      </c>
      <c r="AE20" t="inlineStr">
        <is>
          <t>https://www.marches-publics.gouv.fr/entreprise</t>
        </is>
      </c>
      <c r="AF20" t="inlineStr">
        <is>
          <t>https://www.marches-publics.gouv.fr/entreprise</t>
        </is>
      </c>
      <c r="AG20" t="inlineStr">
        <is>
          <t>nettoyage, entretien menager</t>
        </is>
      </c>
      <c r="AH20" t="inlineStr">
        <is>
          <t>3</t>
        </is>
      </c>
      <c r="AI20" t="inlineStr">
        <is>
          <t>72</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45j</t>
        </is>
      </c>
      <c r="BC20" t="inlineStr">
        <is>
          <t>Centre Monuments Nationaux publie un AO potentiellement pertinent pour CHRUTH : Entretien ménager des locaux des sites mégalithiques de Carnac et Locmariaquer. Zone : 75,56. Budget detecte environ 60 000 EUR. Verifier le lien source avant contact.</t>
        </is>
      </c>
      <c r="BD20"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20"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2026-W30</t>
        </is>
      </c>
    </row>
    <row r="21">
      <c r="A21" t="inlineStr">
        <is>
          <t>BOAMP</t>
        </is>
      </c>
      <c r="B21" t="inlineStr">
        <is>
          <t>26-71675</t>
        </is>
      </c>
      <c r="C21" t="inlineStr">
        <is>
          <t>Décontamination, dépoussiérage et reconditionnement des réserves documentaires n°2 et 3 du Château de Sceaux</t>
        </is>
      </c>
      <c r="D21" t="inlineStr">
        <is>
          <t>Département des Hauts-de-Seine</t>
        </is>
      </c>
      <c r="E21" t="inlineStr">
        <is>
          <t>22920050600611</t>
        </is>
      </c>
      <c r="F21" t="inlineStr">
        <is>
          <t>229200506</t>
        </is>
      </c>
      <c r="G21" t="inlineStr">
        <is>
          <t>cellulecontact.achats@hauts-de-seine.fr</t>
        </is>
      </c>
      <c r="H21" t="inlineStr"/>
      <c r="I21" t="inlineStr">
        <is>
          <t>cellulecontact.achats@hauts-de-seine.fr</t>
        </is>
      </c>
      <c r="J21" t="inlineStr">
        <is>
          <t>+33 806000092</t>
        </is>
      </c>
      <c r="K21" t="inlineStr">
        <is>
          <t>Château de Sceaux 92330 - SCEAUX</t>
        </is>
      </c>
      <c r="L21" t="inlineStr">
        <is>
          <t>92000</t>
        </is>
      </c>
      <c r="M21" t="inlineStr">
        <is>
          <t>NANTERRE</t>
        </is>
      </c>
      <c r="N21" t="inlineStr">
        <is>
          <t>92</t>
        </is>
      </c>
      <c r="O21" t="inlineStr"/>
      <c r="P21" t="inlineStr">
        <is>
          <t>Ile-de-France</t>
        </is>
      </c>
      <c r="Q21" s="15" t="n">
        <v>46220</v>
      </c>
      <c r="R21" s="15" t="n">
        <v>46276</v>
      </c>
      <c r="S21" s="14" t="n">
        <v>92000</v>
      </c>
      <c r="T21" t="inlineStr">
        <is>
          <t>BUDGET_SOUS_SEUIL</t>
        </is>
      </c>
      <c r="U21" t="inlineStr">
        <is>
          <t>92000.0</t>
        </is>
      </c>
      <c r="V21" t="inlineStr">
        <is>
          <t>non</t>
        </is>
      </c>
      <c r="W21" t="inlineStr">
        <is>
          <t>Batiments</t>
        </is>
      </c>
      <c r="X21" t="inlineStr">
        <is>
          <t>Autre</t>
        </is>
      </c>
      <c r="Y21" t="inlineStr">
        <is>
          <t>SERVICES</t>
        </is>
      </c>
      <c r="Z21" t="inlineStr">
        <is>
          <t>Procédure Ouverte</t>
        </is>
      </c>
      <c r="AA21" t="inlineStr">
        <is>
          <t>Avis de marché</t>
        </is>
      </c>
      <c r="AB21" t="inlineStr">
        <is>
          <t>Prestations de services</t>
        </is>
      </c>
      <c r="AC21" t="inlineStr">
        <is>
          <t>['environnementaux']</t>
        </is>
      </c>
      <c r="AD21" s="11" t="inlineStr">
        <is>
          <t>https://www.boamp.fr/pages/avis/?q=idweb:26-71675</t>
        </is>
      </c>
      <c r="AE21" t="inlineStr">
        <is>
          <t>https://www.marches-publics.info/mpiaws/index.cfm?fuseaction=dematent.login&amp;type=Dce&amp;Idm=1851815</t>
        </is>
      </c>
      <c r="AF21" t="inlineStr">
        <is>
          <t>https://www.marches-publics.info/mpiaws/index.cfm?fuseaction=dematent.login&amp;type=Dce&amp;Idm=1851815</t>
        </is>
      </c>
      <c r="AG21" t="inlineStr">
        <is>
          <t>nettoyage</t>
        </is>
      </c>
      <c r="AH21" t="inlineStr">
        <is>
          <t>6</t>
        </is>
      </c>
      <c r="AI21" t="inlineStr">
        <is>
          <t>98</t>
        </is>
      </c>
      <c r="AJ21" t="inlineStr">
        <is>
          <t>INFO_PARTIELLE</t>
        </is>
      </c>
      <c r="AK21" t="inlineStr">
        <is>
          <t>65</t>
        </is>
      </c>
      <c r="AL21" s="13" t="inlineStr">
        <is>
          <t>CHAUD</t>
        </is>
      </c>
      <c r="AM21" t="inlineStr"/>
      <c r="AN21" t="inlineStr"/>
      <c r="AO21" t="inlineStr"/>
      <c r="AP21" t="inlineStr"/>
      <c r="AQ21" t="inlineStr">
        <is>
          <t>IA_CONTROLE_SOURCE</t>
        </is>
      </c>
      <c r="AR21" t="inlineStr">
        <is>
          <t>Verifier rapidement la source avant contact.</t>
        </is>
      </c>
      <c r="AS21" t="inlineStr">
        <is>
          <t>Aucun champ critique manquant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21" t="inlineStr">
        <is>
          <t>Verifier url_avis et DCE si disponible</t>
        </is>
      </c>
      <c r="AV21" t="inlineStr"/>
      <c r="AW21" t="inlineStr"/>
      <c r="AX21" t="inlineStr"/>
      <c r="AY21" t="inlineStr"/>
      <c r="AZ21" t="inlineStr"/>
      <c r="BA21" t="inlineStr"/>
      <c r="BB21" t="inlineStr">
        <is>
          <t>+35 nettoyage + categorie claire | +20 budget annualise &lt;= 100 000 EUR | +10 delai confortable 45j</t>
        </is>
      </c>
      <c r="BC21"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21"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21"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26-71198</t>
        </is>
      </c>
      <c r="C22" t="inlineStr">
        <is>
          <t>CONCESSION DE SERVICE PUBLIC 
PORTANT SUR LA GESTION ET L'EXPLOITATION DES MARCHES FORAINS DE LA VILLE DE MONTROUGE</t>
        </is>
      </c>
      <c r="D22" t="inlineStr">
        <is>
          <t>Ville de Montrouge</t>
        </is>
      </c>
      <c r="E22" t="inlineStr"/>
      <c r="F22" t="inlineStr"/>
      <c r="G22" t="inlineStr">
        <is>
          <t>Le Bassard</t>
        </is>
      </c>
      <c r="H22" t="inlineStr"/>
      <c r="I22" t="inlineStr">
        <is>
          <t>marches@ville-montrouge.fr</t>
        </is>
      </c>
      <c r="J22" t="inlineStr">
        <is>
          <t>0146127303</t>
        </is>
      </c>
      <c r="K22" t="inlineStr"/>
      <c r="L22" t="inlineStr">
        <is>
          <t>92121</t>
        </is>
      </c>
      <c r="M22" t="inlineStr">
        <is>
          <t>Montrouge cedex</t>
        </is>
      </c>
      <c r="N22" t="inlineStr">
        <is>
          <t>92,75</t>
        </is>
      </c>
      <c r="O22" t="inlineStr"/>
      <c r="P22" t="inlineStr">
        <is>
          <t>Ile-de-France</t>
        </is>
      </c>
      <c r="Q22" s="15" t="n">
        <v>46219</v>
      </c>
      <c r="R22" s="15" t="n">
        <v>46295</v>
      </c>
      <c r="S22" t="inlineStr"/>
      <c r="T22" t="inlineStr">
        <is>
          <t>A_VERIFIER_BUDGET</t>
        </is>
      </c>
      <c r="U22" t="inlineStr"/>
      <c r="V22" t="inlineStr">
        <is>
          <t>non</t>
        </is>
      </c>
      <c r="W22" t="inlineStr">
        <is>
          <t>Batiments</t>
        </is>
      </c>
      <c r="X22" t="inlineStr">
        <is>
          <t>Mairie</t>
        </is>
      </c>
      <c r="Y22" t="inlineStr">
        <is>
          <t>SERVICES</t>
        </is>
      </c>
      <c r="Z22" t="inlineStr">
        <is>
          <t>Procédure NC</t>
        </is>
      </c>
      <c r="AA22" t="inlineStr">
        <is>
          <t>Avis de marché</t>
        </is>
      </c>
      <c r="AB22" t="inlineStr">
        <is>
          <t>Denrées alimentaires</t>
        </is>
      </c>
      <c r="AC22" t="inlineStr">
        <is>
          <t>['sociaux', 'environnementaux']</t>
        </is>
      </c>
      <c r="AD22" s="11" t="inlineStr">
        <is>
          <t>https://www.boamp.fr/pages/avis/?q=idweb:26-71198</t>
        </is>
      </c>
      <c r="AE22" t="inlineStr">
        <is>
          <t>https://www.achatpublic.com/sdm/ent2/gen/index.jsp</t>
        </is>
      </c>
      <c r="AF22" t="inlineStr">
        <is>
          <t>https://www.achatpublic.com/sdm/ent2/gen/index.jsp</t>
        </is>
      </c>
      <c r="AG22" t="inlineStr">
        <is>
          <t>nettoyage, proprete</t>
        </is>
      </c>
      <c r="AH22" t="inlineStr">
        <is>
          <t>4</t>
        </is>
      </c>
      <c r="AI22" t="inlineStr">
        <is>
          <t>86</t>
        </is>
      </c>
      <c r="AJ22" t="inlineStr">
        <is>
          <t>INFO_PARTIELLE</t>
        </is>
      </c>
      <c r="AK22" t="inlineStr">
        <is>
          <t>65</t>
        </is>
      </c>
      <c r="AL22" s="13" t="inlineStr">
        <is>
          <t>CHAUD</t>
        </is>
      </c>
      <c r="AM22" t="inlineStr"/>
      <c r="AN22" t="inlineStr"/>
      <c r="AO22" t="inlineStr"/>
      <c r="AP22" t="inlineStr"/>
      <c r="AQ22" t="inlineStr">
        <is>
          <t>IA_BUDGET_A_VERIFIER</t>
        </is>
      </c>
      <c r="AR22" t="inlineStr">
        <is>
          <t>Verifier le budget dans l'avis source ou le DCE avant decision commerciale.</t>
        </is>
      </c>
      <c r="AS22" t="inlineStr">
        <is>
          <t>SIRET, adresse,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secteur cible Mairie | +10 delai confortable 64j</t>
        </is>
      </c>
      <c r="BC22"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22"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22"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2026-W29</t>
        </is>
      </c>
    </row>
    <row r="23">
      <c r="A23" t="inlineStr">
        <is>
          <t>BOAMP</t>
        </is>
      </c>
      <c r="B23" t="inlineStr">
        <is>
          <t>26-83560</t>
        </is>
      </c>
      <c r="C23" t="inlineStr">
        <is>
          <t>Prestations de nettoyage des bâtiments communaux de la ville de Sceaux 2027-2030</t>
        </is>
      </c>
      <c r="D23" t="inlineStr">
        <is>
          <t>ville de sceaux</t>
        </is>
      </c>
      <c r="E23" t="inlineStr">
        <is>
          <t>21920071400018</t>
        </is>
      </c>
      <c r="F23" t="inlineStr">
        <is>
          <t>219200714</t>
        </is>
      </c>
      <c r="G23" t="inlineStr"/>
      <c r="H23" t="inlineStr"/>
      <c r="I23" t="inlineStr">
        <is>
          <t>achats@sceaux.fr</t>
        </is>
      </c>
      <c r="J23" t="inlineStr">
        <is>
          <t>+33 141133300</t>
        </is>
      </c>
      <c r="K23" t="inlineStr"/>
      <c r="L23" t="inlineStr"/>
      <c r="M23" t="inlineStr"/>
      <c r="N23" t="inlineStr">
        <is>
          <t>92</t>
        </is>
      </c>
      <c r="O23" t="inlineStr"/>
      <c r="P23" t="inlineStr">
        <is>
          <t>Ile-de-France</t>
        </is>
      </c>
      <c r="Q23" s="15" t="n">
        <v>46262</v>
      </c>
      <c r="R23" s="15" t="n">
        <v>46294</v>
      </c>
      <c r="S23" t="inlineStr"/>
      <c r="T23" t="inlineStr">
        <is>
          <t>A_VERIFIER_BUDGET</t>
        </is>
      </c>
      <c r="U23" t="inlineStr"/>
      <c r="V23" t="inlineStr">
        <is>
          <t>non</t>
        </is>
      </c>
      <c r="W23" t="inlineStr">
        <is>
          <t>Batiments</t>
        </is>
      </c>
      <c r="X23" t="inlineStr">
        <is>
          <t>Mairie</t>
        </is>
      </c>
      <c r="Y23" t="inlineStr">
        <is>
          <t>SERVICES</t>
        </is>
      </c>
      <c r="Z23" t="inlineStr">
        <is>
          <t>Procédure Ouverte</t>
        </is>
      </c>
      <c r="AA23" t="inlineStr">
        <is>
          <t>Avis de marché</t>
        </is>
      </c>
      <c r="AB23" t="inlineStr">
        <is>
          <t>Nettoyage de locaux</t>
        </is>
      </c>
      <c r="AC23" t="inlineStr"/>
      <c r="AD23" s="11" t="inlineStr">
        <is>
          <t>https://www.boamp.fr/pages/avis/?q=idweb:26-83560</t>
        </is>
      </c>
      <c r="AE23" t="inlineStr">
        <is>
          <t>https://marches.maximilien.fr/entreprise/consultation/945889?orgAcronyme=d7t</t>
        </is>
      </c>
      <c r="AF23" t="inlineStr">
        <is>
          <t>https://marches.maximilien.fr/entreprise/consultation/945889?orgAcronyme=d7t</t>
        </is>
      </c>
      <c r="AG23" t="inlineStr">
        <is>
          <t>nettoyage</t>
        </is>
      </c>
      <c r="AH23" t="inlineStr">
        <is>
          <t>3</t>
        </is>
      </c>
      <c r="AI23" t="inlineStr">
        <is>
          <t>68</t>
        </is>
      </c>
      <c r="AJ23" t="inlineStr">
        <is>
          <t>INFO_PARTIELLE</t>
        </is>
      </c>
      <c r="AK23" t="inlineStr">
        <is>
          <t>64.8</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26-83560. Objet: Prestations de nettoyage des bâtiments communaux de la ville de Sceaux 2027-2030. Acheteur: ville de sceaux. Lien: https://www.boamp.fr/pages/avis/?q=idweb:26-83560.</t>
        </is>
      </c>
      <c r="AU23" t="inlineStr">
        <is>
          <t>Verifier url_avis et DCE si disponible</t>
        </is>
      </c>
      <c r="AV23" t="inlineStr">
        <is>
          <t>LIEN_SEUL</t>
        </is>
      </c>
      <c r="AW23" t="inlineStr"/>
      <c r="AX23" t="inlineStr"/>
      <c r="AY23" t="inlineStr"/>
      <c r="AZ23" t="inlineStr"/>
      <c r="BA23" t="inlineStr"/>
      <c r="BB23" t="inlineStr">
        <is>
          <t>+33.5 nettoyage + categorie claire (1 termes) | +10 budget non affiche (a verifier) | +10 secteur cible Mairie | +9.8 delai 29 j | +1.5 dossier renseigne (3/4)</t>
        </is>
      </c>
      <c r="BC23" t="inlineStr">
        <is>
          <t>ville de sceaux publie un AO potentiellement pertinent pour CHRUTH : Prestations de nettoyage des bâtiments communaux de la ville de Sceaux 2027-2030. Zone : 92. Budget a verifier. Verifier le lien source avant contact.</t>
        </is>
      </c>
      <c r="BD23" t="inlineStr">
        <is>
          <t>Bonjour,
Je me permets de vous contacter au sujet de votre appel d'offres : Prestations de nettoyage des bâtiments communaux de la ville de Sceaux 2027-2030.
CHRUTH accompagne les structures publiques et privées sur les besoins de nettoyage, d'entretien des locaux et d'organisation de prestations de service.
Serait-il possible d'échanger rapidement afin de vérifier les modalités de réponse et les attentes de ville de sceaux ?
Cordialement,</t>
        </is>
      </c>
      <c r="BE23" t="inlineStr">
        <is>
          <t>Bonjour, je vous appelle concernant un appel d'offres publié par ville de sceaux.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2026-W35</t>
        </is>
      </c>
    </row>
    <row r="24">
      <c r="A24" t="inlineStr">
        <is>
          <t>BOAMP</t>
        </is>
      </c>
      <c r="B24" t="inlineStr">
        <is>
          <t>26-80351</t>
        </is>
      </c>
      <c r="C24" t="inlineStr">
        <is>
          <t>Prestations de nettoyage des vitres de l'ensemble des bâtiments communaux de la ville de Sarcelles</t>
        </is>
      </c>
      <c r="D24" t="inlineStr">
        <is>
          <t>Ville de Sarcelles</t>
        </is>
      </c>
      <c r="E24" t="inlineStr">
        <is>
          <t>21950585600019</t>
        </is>
      </c>
      <c r="F24" t="inlineStr">
        <is>
          <t>219505856</t>
        </is>
      </c>
      <c r="G24" t="inlineStr"/>
      <c r="H24" t="inlineStr"/>
      <c r="I24" t="inlineStr">
        <is>
          <t>commande.publique@sarcelles.fr</t>
        </is>
      </c>
      <c r="J24" t="inlineStr">
        <is>
          <t>0585600019</t>
        </is>
      </c>
      <c r="K24" t="inlineStr"/>
      <c r="L24" t="inlineStr"/>
      <c r="M24" t="inlineStr"/>
      <c r="N24" t="inlineStr">
        <is>
          <t>75,77,78,91,92,93,94,95</t>
        </is>
      </c>
      <c r="O24" t="inlineStr"/>
      <c r="P24" t="inlineStr">
        <is>
          <t>Ile-de-France</t>
        </is>
      </c>
      <c r="Q24" s="15" t="n">
        <v>46248</v>
      </c>
      <c r="R24" s="15" t="n">
        <v>46290</v>
      </c>
      <c r="S24" t="inlineStr"/>
      <c r="T24" t="inlineStr">
        <is>
          <t>A_VERIFIER_BUDGET</t>
        </is>
      </c>
      <c r="U24" t="inlineStr"/>
      <c r="V24" t="inlineStr">
        <is>
          <t>non</t>
        </is>
      </c>
      <c r="W24" t="inlineStr">
        <is>
          <t>Vitres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https://www.boamp.fr/pages/avis/?q=idweb:26-80351</t>
        </is>
      </c>
      <c r="AE24" t="inlineStr">
        <is>
          <t>https://sarcelles.e-marchespublics.com</t>
        </is>
      </c>
      <c r="AF24" t="inlineStr">
        <is>
          <t>https://sarcelles.e-marchespublics.com</t>
        </is>
      </c>
      <c r="AG24" t="inlineStr">
        <is>
          <t>nettoyage, proprete, proprete des locaux</t>
        </is>
      </c>
      <c r="AH24" t="inlineStr">
        <is>
          <t>3</t>
        </is>
      </c>
      <c r="AI24" t="inlineStr">
        <is>
          <t>80</t>
        </is>
      </c>
      <c r="AJ24" t="inlineStr">
        <is>
          <t>INFO_PARTIELLE</t>
        </is>
      </c>
      <c r="AK24" t="inlineStr">
        <is>
          <t>64.2</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26-80351. Objet: Prestations de nettoyage des vitres de l'ensemble des bâtiments communaux de la ville de Sarcelles. Acheteur: Ville de Sarcelles. Lien: https://www.boamp.fr/pages/avis/?q=idweb:26-80351.</t>
        </is>
      </c>
      <c r="AU24" t="inlineStr">
        <is>
          <t>Verifier url_avis et DCE si disponible</t>
        </is>
      </c>
      <c r="AV24" t="inlineStr">
        <is>
          <t>LIEN_SEUL</t>
        </is>
      </c>
      <c r="AW24" t="inlineStr"/>
      <c r="AX24" t="inlineStr"/>
      <c r="AY24" t="inlineStr"/>
      <c r="AZ24" t="inlineStr"/>
      <c r="BA24" t="inlineStr"/>
      <c r="BB24" t="inlineStr">
        <is>
          <t>+34.0 nettoyage + categorie claire (2 termes) | +10 budget non affiche (a verifier) | +10 secteur cible Mairie | +8.8 delai 25 j | +1.5 dossier renseigne (3/4)</t>
        </is>
      </c>
      <c r="BC24" t="inlineStr">
        <is>
          <t>Ville de Sarcelles publie un AO potentiellement pertinent pour CHRUTH : Prestations de nettoyage des vitres de l'ensemble des bâtiments communaux de la ville de Sarcelles. Zone : 75,77,78,91,92,93,94,95. Budget a verifier. Verifier le lien source avant contact.</t>
        </is>
      </c>
      <c r="BD24" t="inlineStr">
        <is>
          <t>Bonjour,
Je me permets de vous contacter au sujet de votre appel d'offres : Prestations de nettoyage des vitres de l'ensemble des bâtiments communaux de la ville de Sarcelles.
CHRUTH accompagne les structures publiques et privées sur les besoins de nettoyage, d'entretien des locaux et d'organisation de prestations de service.
Serait-il possible d'échanger rapidement afin de vérifier les modalités de réponse et les attentes de Ville de Sarcelles ?
Cordialement,</t>
        </is>
      </c>
      <c r="BE24" t="inlineStr">
        <is>
          <t>Bonjour, je vous appelle concernant un appel d'offres publié par Ville de Sarcelles.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2026-W33</t>
        </is>
      </c>
    </row>
    <row r="25">
      <c r="A25" t="inlineStr">
        <is>
          <t>BOAMP</t>
        </is>
      </c>
      <c r="B25" t="inlineStr">
        <is>
          <t>26-81760</t>
        </is>
      </c>
      <c r="C25" t="inlineStr">
        <is>
          <t>Marché de prestations de service relatif au nettoyage des bâtiments municipaux : locaux et vitrerie.</t>
        </is>
      </c>
      <c r="D25" t="inlineStr">
        <is>
          <t>Commune de Villepreux</t>
        </is>
      </c>
      <c r="E25" t="inlineStr">
        <is>
          <t>21780674400108</t>
        </is>
      </c>
      <c r="F25" t="inlineStr">
        <is>
          <t>217806744</t>
        </is>
      </c>
      <c r="G25" t="inlineStr"/>
      <c r="H25" t="inlineStr"/>
      <c r="I25" t="inlineStr">
        <is>
          <t>achats@villepreux.fr</t>
        </is>
      </c>
      <c r="J25" t="inlineStr">
        <is>
          <t>0674400108</t>
        </is>
      </c>
      <c r="K25" t="inlineStr"/>
      <c r="L25" t="inlineStr"/>
      <c r="M25" t="inlineStr"/>
      <c r="N25" t="inlineStr">
        <is>
          <t>78</t>
        </is>
      </c>
      <c r="O25" t="inlineStr"/>
      <c r="P25" t="inlineStr">
        <is>
          <t>Ile-de-France</t>
        </is>
      </c>
      <c r="Q25" s="15" t="n">
        <v>46255</v>
      </c>
      <c r="R25" s="15" t="n">
        <v>46283</v>
      </c>
      <c r="S25" t="inlineStr"/>
      <c r="T25" t="inlineStr">
        <is>
          <t>A_VERIFIER_BUDGET</t>
        </is>
      </c>
      <c r="U25" t="inlineStr"/>
      <c r="V25" t="inlineStr">
        <is>
          <t>non</t>
        </is>
      </c>
      <c r="W25" t="inlineStr">
        <is>
          <t>Vitres</t>
        </is>
      </c>
      <c r="X25" t="inlineStr">
        <is>
          <t>Mairie</t>
        </is>
      </c>
      <c r="Y25" t="inlineStr">
        <is>
          <t>SERVICES</t>
        </is>
      </c>
      <c r="Z25" t="inlineStr">
        <is>
          <t>Procédure Ouverte</t>
        </is>
      </c>
      <c r="AA25" t="inlineStr">
        <is>
          <t>Avis de marché</t>
        </is>
      </c>
      <c r="AB25" t="inlineStr">
        <is>
          <t>Nettoyage de locaux</t>
        </is>
      </c>
      <c r="AC25" t="inlineStr"/>
      <c r="AD25" s="11" t="inlineStr">
        <is>
          <t>https://www.boamp.fr/pages/avis/?q=idweb:26-81760</t>
        </is>
      </c>
      <c r="AE25" t="inlineStr">
        <is>
          <t>https://www.achatpublic.com/sdm/ent/gen/ent_detail.do?PCSLID=CSL_2026_B11a--YMRc</t>
        </is>
      </c>
      <c r="AF25" t="inlineStr">
        <is>
          <t>https://www.achatpublic.com/sdm/ent/gen/ent_detail.do?PCSLID=CSL_2026_B11a--YMRc</t>
        </is>
      </c>
      <c r="AG25" t="inlineStr">
        <is>
          <t>nettoyage</t>
        </is>
      </c>
      <c r="AH25" t="inlineStr">
        <is>
          <t>3</t>
        </is>
      </c>
      <c r="AI25" t="inlineStr">
        <is>
          <t>68</t>
        </is>
      </c>
      <c r="AJ25" t="inlineStr">
        <is>
          <t>INFO_PARTIELLE</t>
        </is>
      </c>
      <c r="AK25" t="inlineStr">
        <is>
          <t>62.0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26-81760. Objet: Marché de prestations de service relatif au nettoyage des bâtiments municipaux : locaux et vitrerie.. Acheteur: Commune de Villepreux. Lien: https://www.boamp.fr/pages/avis/?q=idweb:26-81760.</t>
        </is>
      </c>
      <c r="AU25" t="inlineStr">
        <is>
          <t>Verifier url_avis et DCE si disponible</t>
        </is>
      </c>
      <c r="AV25" t="inlineStr">
        <is>
          <t>LIEN_SEUL</t>
        </is>
      </c>
      <c r="AW25" t="inlineStr"/>
      <c r="AX25" t="inlineStr"/>
      <c r="AY25" t="inlineStr"/>
      <c r="AZ25" t="inlineStr"/>
      <c r="BA25" t="inlineStr"/>
      <c r="BB25" t="inlineStr">
        <is>
          <t>+33.5 nettoyage + categorie claire (1 termes) | +10 budget non affiche (a verifier) | +10 secteur cible Mairie | +7.0 delai 18 j | +1.5 dossier renseigne (3/4)</t>
        </is>
      </c>
      <c r="BC25" t="inlineStr">
        <is>
          <t>Commune de Villepreux publie un AO potentiellement pertinent pour CHRUTH : Marché de prestations de service relatif au nettoyage des bâtiments municipaux : locaux et vitrerie.. Zone : 78. Budget a verifier. Verifier le lien source avant contact.</t>
        </is>
      </c>
      <c r="BD25" t="inlineStr">
        <is>
          <t>Bonjour,
Je me permets de vous contacter au sujet de votre appel d'offres : Marché de prestations de service relatif au nettoyage des bâtiments municipaux : locaux et vitrerie..
CHRUTH accompagne les structures publiques et privées sur les besoins de nettoyage, d'entretien des locaux et d'organisation de prestations de service.
Serait-il possible d'échanger rapidement afin de vérifier les modalités de réponse et les attentes de Commune de Villepreux ?
Cordialement,</t>
        </is>
      </c>
      <c r="BE25" t="inlineStr">
        <is>
          <t>Bonjour, je vous appelle concernant un appel d'offres publié par Commune de Villepreux.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2026-W34</t>
        </is>
      </c>
    </row>
    <row r="26">
      <c r="A26" t="inlineStr">
        <is>
          <t>BOAMP</t>
        </is>
      </c>
      <c r="B26" t="inlineStr">
        <is>
          <t>26-83553</t>
        </is>
      </c>
      <c r="C26" t="inlineStr">
        <is>
          <t>Fourniture et prestations associées pour l'entretien de véhicules thermiques et électriques et l'équipement d'ateliers mécaniques</t>
        </is>
      </c>
      <c r="D26" t="inlineStr">
        <is>
          <t>Ville de Sevran</t>
        </is>
      </c>
      <c r="E26" t="inlineStr"/>
      <c r="F26" t="inlineStr"/>
      <c r="G26" t="inlineStr"/>
      <c r="H26" t="inlineStr"/>
      <c r="I26" t="inlineStr">
        <is>
          <t>publications-joue@aws-france.com</t>
        </is>
      </c>
      <c r="J26" t="inlineStr">
        <is>
          <t>+33480041260</t>
        </is>
      </c>
      <c r="K26" t="inlineStr"/>
      <c r="L26" t="inlineStr"/>
      <c r="M26" t="inlineStr"/>
      <c r="N26" t="inlineStr">
        <is>
          <t>93</t>
        </is>
      </c>
      <c r="O26" t="inlineStr"/>
      <c r="P26" t="inlineStr">
        <is>
          <t>Ile-de-France</t>
        </is>
      </c>
      <c r="Q26" s="15" t="n">
        <v>46262</v>
      </c>
      <c r="R26" s="15" t="n">
        <v>46295</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Mécanique, Véhicules</t>
        </is>
      </c>
      <c r="AC26" t="inlineStr"/>
      <c r="AD26" s="11" t="inlineStr">
        <is>
          <t>https://www.boamp.fr/pages/avis/?q=idweb:26-83553</t>
        </is>
      </c>
      <c r="AE26" t="inlineStr">
        <is>
          <t>https://www.marches-publics.info</t>
        </is>
      </c>
      <c r="AF26" t="inlineStr">
        <is>
          <t>https://www.marches-publics.info</t>
        </is>
      </c>
      <c r="AG26" t="inlineStr">
        <is>
          <t>nettoyage</t>
        </is>
      </c>
      <c r="AH26" t="inlineStr">
        <is>
          <t>2</t>
        </is>
      </c>
      <c r="AI26" t="inlineStr">
        <is>
          <t>58</t>
        </is>
      </c>
      <c r="AJ26" t="inlineStr">
        <is>
          <t>INFO_PARTIELLE</t>
        </is>
      </c>
      <c r="AK26" t="inlineStr">
        <is>
          <t>60.0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SIRET, 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26-83553. Objet: Fourniture et prestations associées pour l'entretien de véhicules thermiques et électriques et l'équipement d'ateliers mécaniques. Acheteur: Ville de Sevran. Lien: https://www.boamp.fr/pages/avis/?q=idweb:26-83553.</t>
        </is>
      </c>
      <c r="AU26" t="inlineStr">
        <is>
          <t>Verifier url_avis et DCE si disponible</t>
        </is>
      </c>
      <c r="AV26" t="inlineStr">
        <is>
          <t>LIEN_SEUL</t>
        </is>
      </c>
      <c r="AW26" t="inlineStr"/>
      <c r="AX26" t="inlineStr"/>
      <c r="AY26" t="inlineStr"/>
      <c r="AZ26" t="inlineStr"/>
      <c r="BA26" t="inlineStr"/>
      <c r="BB26" t="inlineStr">
        <is>
          <t>+28.5 mots-cles nettoyage forts (1 termes) | +10 budget non affiche (a verifier) | +10 secteur cible Mairie | +10.0 delai 30 j | +1.5 dossier renseigne (3/4)</t>
        </is>
      </c>
      <c r="BC26" t="inlineStr">
        <is>
          <t>Ville de Sevran publie un AO potentiellement pertinent pour CHRUTH : Fourniture et prestations associées pour l'entretien de véhicules thermiques et électriques et l'équipement d'ateliers mécaniques. Zone : 93. Budget a verifier. Verifier le lien source avant contact.</t>
        </is>
      </c>
      <c r="BD26" t="inlineStr">
        <is>
          <t>Bonjour,
Je me permets de vous contacter au sujet de votre appel d'offres : Fourniture et prestations associées pour l'entretien de véhicules thermiques et électriques et l'équipement d'ateliers mécaniques.
CHRUTH accompagne les structures publiques et privées sur les besoins de nettoyage, d'entretien des locaux et d'organisation de prestations de service.
Serait-il possible d'échanger rapidement afin de vérifier les modalités de réponse et les attentes de Ville de Sevran ?
Cordialement,</t>
        </is>
      </c>
      <c r="BE26" t="inlineStr">
        <is>
          <t>Bonjour, je vous appelle concernant un appel d'offres publié par Ville de Sevran.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2026-W35</t>
        </is>
      </c>
    </row>
    <row r="27">
      <c r="A27" t="inlineStr">
        <is>
          <t>BOAMP</t>
        </is>
      </c>
      <c r="B27" t="inlineStr">
        <is>
          <t>26-72948</t>
        </is>
      </c>
      <c r="C27" t="inlineStr">
        <is>
          <t>26MF026 - Fourniture d'appareils ménagers et d'équipements professionnels</t>
        </is>
      </c>
      <c r="D27" t="inlineStr">
        <is>
          <t>Ville de Plaisir</t>
        </is>
      </c>
      <c r="E27" t="inlineStr">
        <is>
          <t>21780490500016</t>
        </is>
      </c>
      <c r="F27" t="inlineStr">
        <is>
          <t>217804905</t>
        </is>
      </c>
      <c r="G27" t="inlineStr"/>
      <c r="H27" t="inlineStr"/>
      <c r="I27" t="inlineStr">
        <is>
          <t>vermuseau-ma@ville-plaisir.fr</t>
        </is>
      </c>
      <c r="J27" t="inlineStr">
        <is>
          <t>0490500016</t>
        </is>
      </c>
      <c r="K27" t="inlineStr"/>
      <c r="L27" t="inlineStr"/>
      <c r="M27" t="inlineStr"/>
      <c r="N27" t="inlineStr">
        <is>
          <t>78</t>
        </is>
      </c>
      <c r="O27" t="inlineStr"/>
      <c r="P27" t="inlineStr">
        <is>
          <t>Ile-de-France</t>
        </is>
      </c>
      <c r="Q27" s="15" t="n">
        <v>46226</v>
      </c>
      <c r="R27" s="15" t="n">
        <v>46261</v>
      </c>
      <c r="S27" t="inlineStr"/>
      <c r="T27" t="inlineStr">
        <is>
          <t>A_VERIFIER_BUDGET</t>
        </is>
      </c>
      <c r="U27" t="inlineStr"/>
      <c r="V27" t="inlineStr">
        <is>
          <t>non</t>
        </is>
      </c>
      <c r="W27" t="inlineStr">
        <is>
          <t>Mixte/Autre</t>
        </is>
      </c>
      <c r="X27" t="inlineStr">
        <is>
          <t>Mairie</t>
        </is>
      </c>
      <c r="Y27" t="inlineStr">
        <is>
          <t>FOURNITURES</t>
        </is>
      </c>
      <c r="Z27" t="inlineStr">
        <is>
          <t>Procédure Ouverte</t>
        </is>
      </c>
      <c r="AA27" t="inlineStr">
        <is>
          <t>Avis de marché</t>
        </is>
      </c>
      <c r="AB27" t="inlineStr">
        <is>
          <t>Electroménager</t>
        </is>
      </c>
      <c r="AC27" t="inlineStr"/>
      <c r="AD27" s="11" t="inlineStr">
        <is>
          <t>https://www.boamp.fr/pages/avis/?q=idweb:26-72948</t>
        </is>
      </c>
      <c r="AE27" t="inlineStr">
        <is>
          <t>https://ville-plaisir.e-marches-publics.com</t>
        </is>
      </c>
      <c r="AF27" t="inlineStr"/>
      <c r="AG27" t="inlineStr">
        <is>
          <t>nettoyage</t>
        </is>
      </c>
      <c r="AH27" t="inlineStr">
        <is>
          <t>3</t>
        </is>
      </c>
      <c r="AI27" t="inlineStr">
        <is>
          <t>68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30j</t>
        </is>
      </c>
      <c r="BC27" t="inlineStr">
        <is>
          <t>Ville de Plaisir publie un AO potentiellement pertinent pour CHRUTH : 26MF026 - Fourniture d'appareils ménagers et d'équipements professionnels. Zone : 78. Budget a verifier. Verifier le lien source avant contact.</t>
        </is>
      </c>
      <c r="BD27"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27"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26-71986</t>
        </is>
      </c>
      <c r="C28" t="inlineStr">
        <is>
          <t>Nettoyage des locaux communaux et des vitreries des bâtiments communaux</t>
        </is>
      </c>
      <c r="D28" t="inlineStr">
        <is>
          <t>Ville de Fontenay-aux-Roses</t>
        </is>
      </c>
      <c r="E28" t="inlineStr"/>
      <c r="F28" t="inlineStr"/>
      <c r="G28" t="inlineStr"/>
      <c r="H28" t="inlineStr"/>
      <c r="I28" t="inlineStr">
        <is>
          <t>publications-joue@aws-france.com</t>
        </is>
      </c>
      <c r="J28" t="inlineStr">
        <is>
          <t>+33480041260</t>
        </is>
      </c>
      <c r="K28" t="inlineStr"/>
      <c r="L28" t="inlineStr"/>
      <c r="M28" t="inlineStr"/>
      <c r="N28" t="inlineStr">
        <is>
          <t>92</t>
        </is>
      </c>
      <c r="O28" t="inlineStr"/>
      <c r="P28" t="inlineStr">
        <is>
          <t>Ile-de-France</t>
        </is>
      </c>
      <c r="Q28" s="15" t="n">
        <v>46224</v>
      </c>
      <c r="R28" s="15" t="n">
        <v>46240</v>
      </c>
      <c r="S28" t="inlineStr"/>
      <c r="T28" t="inlineStr">
        <is>
          <t>A_VERIFIER_BUDGET</t>
        </is>
      </c>
      <c r="U28" t="inlineStr"/>
      <c r="V28" t="inlineStr">
        <is>
          <t>non</t>
        </is>
      </c>
      <c r="W28" t="inlineStr">
        <is>
          <t>Vitres</t>
        </is>
      </c>
      <c r="X28" t="inlineStr">
        <is>
          <t>Mairie</t>
        </is>
      </c>
      <c r="Y28" t="inlineStr">
        <is>
          <t>SERVICES</t>
        </is>
      </c>
      <c r="Z28" t="inlineStr">
        <is>
          <t>Procédure Ouverte</t>
        </is>
      </c>
      <c r="AA28" t="inlineStr">
        <is>
          <t>Avis de marché</t>
        </is>
      </c>
      <c r="AB28" t="inlineStr">
        <is>
          <t>Nettoyage de locaux, Vitrerie</t>
        </is>
      </c>
      <c r="AC28" t="inlineStr">
        <is>
          <t>['environnementaux']</t>
        </is>
      </c>
      <c r="AD28" s="11" t="inlineStr">
        <is>
          <t>https://www.boamp.fr/pages/avis/?q=idweb:26-71986</t>
        </is>
      </c>
      <c r="AE28" t="inlineStr">
        <is>
          <t>https://www.marches-publics.info/accueil.htm</t>
        </is>
      </c>
      <c r="AF28" t="inlineStr">
        <is>
          <t>https://www.marches-publics.info/accueil.htm</t>
        </is>
      </c>
      <c r="AG28" t="inlineStr">
        <is>
          <t>nettoyage</t>
        </is>
      </c>
      <c r="AH28" t="inlineStr">
        <is>
          <t>2</t>
        </is>
      </c>
      <c r="AI28" t="inlineStr">
        <is>
          <t>58</t>
        </is>
      </c>
      <c r="AJ28" t="inlineStr">
        <is>
          <t>INFO_PARTIELLE</t>
        </is>
      </c>
      <c r="AK28" t="inlineStr">
        <is>
          <t>60</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SIRET, 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28" t="inlineStr">
        <is>
          <t>Verifier url_avis et DCE si disponible</t>
        </is>
      </c>
      <c r="AV28" t="inlineStr">
        <is>
          <t>LIEN_SEUL</t>
        </is>
      </c>
      <c r="AW28" t="inlineStr"/>
      <c r="AX28" t="inlineStr"/>
      <c r="AY28" t="inlineStr"/>
      <c r="AZ28" t="inlineStr"/>
      <c r="BA28" t="inlineStr"/>
      <c r="BB28" t="inlineStr">
        <is>
          <t>+35 nettoyage + categorie claire | +10 budget non affiche (a verifier) | +10 secteur cible Mairie | +5 delai court 9j</t>
        </is>
      </c>
      <c r="BC28" t="inlineStr">
        <is>
          <t>Ville de Fontenay-aux-Roses publie un AO potentiellement pertinent pour CHRUTH : Nettoyage des locaux communaux et des vitreries des bâtiments communaux. Zone : 92. Budget a verifier. Verifier le lien source avant contact.</t>
        </is>
      </c>
      <c r="BD28"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28"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2026-W30</t>
        </is>
      </c>
    </row>
    <row r="29">
      <c r="A29" t="inlineStr">
        <is>
          <t>BOAMP</t>
        </is>
      </c>
      <c r="B29" t="inlineStr">
        <is>
          <t>26-71545</t>
        </is>
      </c>
      <c r="C29" t="inlineStr">
        <is>
          <t>Exploitation, maintenance des dispositifs de collecte pneumatique fixes et mobiles des déchets ménagers et transport de ces déchets</t>
        </is>
      </c>
      <c r="D29" t="inlineStr">
        <is>
          <t>Grand Paris Seine Ouest</t>
        </is>
      </c>
      <c r="E29" t="inlineStr">
        <is>
          <t>20005797400012</t>
        </is>
      </c>
      <c r="F29" t="inlineStr">
        <is>
          <t>200057974</t>
        </is>
      </c>
      <c r="G29" t="inlineStr"/>
      <c r="H29" t="inlineStr"/>
      <c r="I29" t="inlineStr">
        <is>
          <t>judith.comminsoli@seineouest.fr</t>
        </is>
      </c>
      <c r="J29" t="inlineStr">
        <is>
          <t>0579740001</t>
        </is>
      </c>
      <c r="K29" t="inlineStr"/>
      <c r="L29" t="inlineStr"/>
      <c r="M29" t="inlineStr"/>
      <c r="N29" t="inlineStr">
        <is>
          <t>92</t>
        </is>
      </c>
      <c r="O29" t="inlineStr"/>
      <c r="P29" t="inlineStr">
        <is>
          <t>Ile-de-France</t>
        </is>
      </c>
      <c r="Q29" s="15" t="n">
        <v>46222</v>
      </c>
      <c r="R29" s="15" t="n">
        <v>46275</v>
      </c>
      <c r="S29" s="14" t="n">
        <v>300000</v>
      </c>
      <c r="T29" t="inlineStr">
        <is>
          <t>BUDGET_EXPLICITE_OK</t>
        </is>
      </c>
      <c r="U29" t="inlineStr">
        <is>
          <t>75000</t>
        </is>
      </c>
      <c r="V29" t="inlineStr">
        <is>
          <t>oui</t>
        </is>
      </c>
      <c r="W29" t="inlineStr">
        <is>
          <t>Mixte/Autre</t>
        </is>
      </c>
      <c r="X29" t="inlineStr">
        <is>
          <t>Autre</t>
        </is>
      </c>
      <c r="Y29" t="inlineStr">
        <is>
          <t>SERVICES</t>
        </is>
      </c>
      <c r="Z29" t="inlineStr">
        <is>
          <t>Procédure Ouverte</t>
        </is>
      </c>
      <c r="AA29" t="inlineStr">
        <is>
          <t>Avis de marché</t>
        </is>
      </c>
      <c r="AB29" t="inlineStr">
        <is>
          <t>Collecte sélective</t>
        </is>
      </c>
      <c r="AC29" t="inlineStr">
        <is>
          <t>['environnementaux']</t>
        </is>
      </c>
      <c r="AD29" s="11" t="inlineStr">
        <is>
          <t>https://www.boamp.fr/pages/avis/?q=idweb:26-71545</t>
        </is>
      </c>
      <c r="AE29" t="inlineStr">
        <is>
          <t>https://marches.maximilien.fr/</t>
        </is>
      </c>
      <c r="AF29" t="inlineStr">
        <is>
          <t>https://marches.maximilien.fr/</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29" t="inlineStr">
        <is>
          <t>Verifier url_avis et DCE si disponible</t>
        </is>
      </c>
      <c r="AV29" t="inlineStr"/>
      <c r="AW29" t="inlineStr"/>
      <c r="AX29" t="inlineStr"/>
      <c r="AY29" t="inlineStr"/>
      <c r="AZ29" t="inlineStr"/>
      <c r="BA29" t="inlineStr"/>
      <c r="BB29" t="inlineStr">
        <is>
          <t>+30 mots-cles nettoyage forts | +20 budget annualise &lt;= 100 000 EUR | +10 delai confortable 44j</t>
        </is>
      </c>
      <c r="BC29"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29"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29"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26-79275</t>
        </is>
      </c>
      <c r="C30" t="inlineStr">
        <is>
          <t>NETTOYAGE, COLLECTE, EVACUATION ET TRAITEMENT DES DECHETS DU MARCHE COMMUNAL</t>
        </is>
      </c>
      <c r="D30" t="inlineStr">
        <is>
          <t>Commune de Chanteloup les Vignes</t>
        </is>
      </c>
      <c r="E30" t="inlineStr">
        <is>
          <t>21780138000015</t>
        </is>
      </c>
      <c r="F30" t="inlineStr">
        <is>
          <t>217801380</t>
        </is>
      </c>
      <c r="G30" t="inlineStr"/>
      <c r="H30" t="inlineStr"/>
      <c r="I30" t="inlineStr">
        <is>
          <t>commandespubliques@chanteloup-les-vignes.fr</t>
        </is>
      </c>
      <c r="J30" t="inlineStr">
        <is>
          <t>0138000015</t>
        </is>
      </c>
      <c r="K30" t="inlineStr"/>
      <c r="L30" t="inlineStr"/>
      <c r="M30" t="inlineStr"/>
      <c r="N30" t="inlineStr">
        <is>
          <t>78</t>
        </is>
      </c>
      <c r="O30" t="inlineStr"/>
      <c r="P30" t="inlineStr">
        <is>
          <t>Ile-de-France</t>
        </is>
      </c>
      <c r="Q30" s="15" t="n">
        <v>46243</v>
      </c>
      <c r="R30" s="15" t="n">
        <v>46283</v>
      </c>
      <c r="S30" t="inlineStr"/>
      <c r="T30" t="inlineStr">
        <is>
          <t>A_VERIFIER_BUDGET</t>
        </is>
      </c>
      <c r="U30" t="inlineStr"/>
      <c r="V30" t="inlineStr">
        <is>
          <t>non</t>
        </is>
      </c>
      <c r="W30" t="inlineStr">
        <is>
          <t>Mixte/Autre</t>
        </is>
      </c>
      <c r="X30" t="inlineStr">
        <is>
          <t>Mairie</t>
        </is>
      </c>
      <c r="Y30" t="inlineStr">
        <is>
          <t>SERVICES</t>
        </is>
      </c>
      <c r="Z30" t="inlineStr">
        <is>
          <t>Procédure Ouverte</t>
        </is>
      </c>
      <c r="AA30" t="inlineStr">
        <is>
          <t>Avis de marché</t>
        </is>
      </c>
      <c r="AB30" t="inlineStr">
        <is>
          <t>Déchets non ménagers (prestations)</t>
        </is>
      </c>
      <c r="AC30" t="inlineStr">
        <is>
          <t>['environnementaux']</t>
        </is>
      </c>
      <c r="AD30" s="11" t="inlineStr">
        <is>
          <t>https://www.boamp.fr/pages/avis/?q=idweb:26-79275</t>
        </is>
      </c>
      <c r="AE30" t="inlineStr">
        <is>
          <t>https://www.achatpublic.com/sdm/ent/gen/ent_detail.do?PCSLID=CSL_2026_-fifweNbVP</t>
        </is>
      </c>
      <c r="AF30" t="inlineStr">
        <is>
          <t>https://www.achatpublic.com/sdm/ent/gen/ent_detail.do?PCSLID=CSL_2026_-fifweNbVP</t>
        </is>
      </c>
      <c r="AG30" t="inlineStr">
        <is>
          <t>nettoyage</t>
        </is>
      </c>
      <c r="AH30" t="inlineStr">
        <is>
          <t>3</t>
        </is>
      </c>
      <c r="AI30" t="inlineStr">
        <is>
          <t>68</t>
        </is>
      </c>
      <c r="AJ30" t="inlineStr">
        <is>
          <t>INFO_PARTIELLE</t>
        </is>
      </c>
      <c r="AK30" t="inlineStr">
        <is>
          <t>57.0</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26-79275. Objet: NETTOYAGE, COLLECTE, EVACUATION ET TRAITEMENT DES DECHETS DU MARCHE COMMUNAL. Acheteur: Commune de Chanteloup les Vignes. Lien: https://www.boamp.fr/pages/avis/?q=idweb:26-79275.</t>
        </is>
      </c>
      <c r="AU30" t="inlineStr">
        <is>
          <t>Verifier url_avis et DCE si disponible</t>
        </is>
      </c>
      <c r="AV30" t="inlineStr">
        <is>
          <t>LIEN_SEUL</t>
        </is>
      </c>
      <c r="AW30" t="inlineStr"/>
      <c r="AX30" t="inlineStr"/>
      <c r="AY30" t="inlineStr"/>
      <c r="AZ30" t="inlineStr"/>
      <c r="BA30" t="inlineStr"/>
      <c r="BB30" t="inlineStr">
        <is>
          <t>+28.5 mots-cles nettoyage forts (1 termes) | +10 budget non affiche (a verifier) | +10 secteur cible Mairie | +7.0 delai 18 j | +1.5 dossier renseigne (3/4)</t>
        </is>
      </c>
      <c r="BC30" t="inlineStr">
        <is>
          <t>Commune de Chanteloup les Vignes publie un AO potentiellement pertinent pour CHRUTH : NETTOYAGE, COLLECTE, EVACUATION ET TRAITEMENT DES DECHETS DU MARCHE COMMUNAL. Zone : 78. Budget a verifier. Verifier le lien source avant contact.</t>
        </is>
      </c>
      <c r="BD30" t="inlineStr">
        <is>
          <t>Bonjour,
Je me permets de vous contacter au sujet de votre appel d'offres : NETTOYAGE, COLLECTE, EVACUATION ET TRAITEMENT DES DECHETS DU MARCHE COMMUNAL.
CHRUTH accompagne les structures publiques et privées sur les besoins de nettoyage, d'entretien des locaux et d'organisation de prestations de service.
Serait-il possible d'échanger rapidement afin de vérifier les modalités de réponse et les attentes de Commune de Chanteloup les Vignes ?
Cordialement,</t>
        </is>
      </c>
      <c r="BE30" t="inlineStr">
        <is>
          <t>Bonjour, je vous appelle concernant un appel d'offres publié par Commune de Chanteloup les Vignes.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2026-W32</t>
        </is>
      </c>
    </row>
    <row r="31">
      <c r="A31" t="inlineStr">
        <is>
          <t>BOAMP</t>
        </is>
      </c>
      <c r="B31" t="inlineStr">
        <is>
          <t>26-83118</t>
        </is>
      </c>
      <c r="C31" t="inlineStr">
        <is>
          <t>2026-61359767 (avis de publicité)  et référence DIPADEST sur Place</t>
        </is>
      </c>
      <c r="D31" t="inlineStr">
        <is>
          <t>DGDDI DI PARIS-AEROPORTS</t>
        </is>
      </c>
      <c r="E31" t="inlineStr">
        <is>
          <t>17950230700053</t>
        </is>
      </c>
      <c r="F31" t="inlineStr">
        <is>
          <t>179502307</t>
        </is>
      </c>
      <c r="G31" t="inlineStr"/>
      <c r="H31" t="inlineStr"/>
      <c r="I31" t="inlineStr">
        <is>
          <t>dipa-immobilier@douane.finances.gouv.fr</t>
        </is>
      </c>
      <c r="J31" t="inlineStr">
        <is>
          <t>0230700053</t>
        </is>
      </c>
      <c r="K31" t="inlineStr"/>
      <c r="L31" t="inlineStr"/>
      <c r="M31" t="inlineStr"/>
      <c r="N31" t="inlineStr">
        <is>
          <t>95,93,94,75,77</t>
        </is>
      </c>
      <c r="O31" t="inlineStr"/>
      <c r="P31" t="inlineStr">
        <is>
          <t>Ile-de-France</t>
        </is>
      </c>
      <c r="Q31" s="15" t="n">
        <v>46261</v>
      </c>
      <c r="R31" s="15" t="n">
        <v>46307</v>
      </c>
      <c r="S31" t="inlineStr"/>
      <c r="T31" t="inlineStr">
        <is>
          <t>A_VERIFIER_BUDGET</t>
        </is>
      </c>
      <c r="U31" t="inlineStr"/>
      <c r="V31" t="inlineStr">
        <is>
          <t>non</t>
        </is>
      </c>
      <c r="W31" t="inlineStr">
        <is>
          <t>Bureaux</t>
        </is>
      </c>
      <c r="X31" t="inlineStr">
        <is>
          <t>Autre</t>
        </is>
      </c>
      <c r="Y31" t="inlineStr">
        <is>
          <t>SERVICES</t>
        </is>
      </c>
      <c r="Z31" t="inlineStr">
        <is>
          <t>Procédure Ouverte</t>
        </is>
      </c>
      <c r="AA31" t="inlineStr">
        <is>
          <t>Avis de marché</t>
        </is>
      </c>
      <c r="AB31" t="inlineStr">
        <is>
          <t>Déchets non ménagers (prestations)</t>
        </is>
      </c>
      <c r="AC31" t="inlineStr">
        <is>
          <t>['sociaux', 'environnementaux']</t>
        </is>
      </c>
      <c r="AD31" s="11" t="inlineStr">
        <is>
          <t>https://www.boamp.fr/pages/avis/?q=idweb:26-83118</t>
        </is>
      </c>
      <c r="AE31" t="inlineStr">
        <is>
          <t>https://www.marches-publics.gouv.fr</t>
        </is>
      </c>
      <c r="AF31" t="inlineStr">
        <is>
          <t>https://www.marches-publics.gouv.fr</t>
        </is>
      </c>
      <c r="AG31" t="inlineStr"/>
      <c r="AH31" t="inlineStr">
        <is>
          <t>3</t>
        </is>
      </c>
      <c r="AI31" t="inlineStr">
        <is>
          <t>60</t>
        </is>
      </c>
      <c r="AJ31" t="inlineStr">
        <is>
          <t>INFO_PARTIELLE</t>
        </is>
      </c>
      <c r="AK31" t="inlineStr">
        <is>
          <t>55.0</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26-83118. Objet: 2026-61359767 (avis de publicité)  et référence DIPADEST sur Place. Acheteur: DGDDI DI PARIS-AEROPORTS. Lien: https://www.boamp.fr/pages/avis/?q=idweb:26-83118.</t>
        </is>
      </c>
      <c r="AU31" t="inlineStr">
        <is>
          <t>Verifier url_avis et DCE si disponible</t>
        </is>
      </c>
      <c r="AV31" t="inlineStr">
        <is>
          <t>LIEN_SEUL</t>
        </is>
      </c>
      <c r="AW31" t="inlineStr"/>
      <c r="AX31" t="inlineStr"/>
      <c r="AY31" t="inlineStr"/>
      <c r="AZ31" t="inlineStr"/>
      <c r="BA31" t="inlineStr"/>
      <c r="BB31" t="inlineStr">
        <is>
          <t>+33.5 nettoyage + categorie claire (1 termes) | +10 budget non affiche (a verifier) | +10.0 delai 42 j | +1.5 dossier renseigne (3/4)</t>
        </is>
      </c>
      <c r="BC31" t="inlineStr">
        <is>
          <t>DGDDI DI PARIS-AEROPORTS publie un AO potentiellement pertinent pour CHRUTH : 2026-61359767 (avis de publicité)  et référence DIPADEST sur Place. Zone : 95,93,94,75,77. Budget a verifier. Verifier le lien source avant contact.</t>
        </is>
      </c>
      <c r="BD31" t="inlineStr">
        <is>
          <t>Bonjour,
Je me permets de vous contacter au sujet de votre appel d'offres : 2026-61359767 (avis de publicité)  et référence DIPADEST sur Place.
CHRUTH accompagne les structures publiques et privées sur les besoins de nettoyage, d'entretien des locaux et d'organisation de prestations de service.
Serait-il possible d'échanger rapidement afin de vérifier les modalités de réponse et les attentes de DGDDI DI PARIS-AEROPORTS ?
Cordialement,</t>
        </is>
      </c>
      <c r="BE31" t="inlineStr">
        <is>
          <t>Bonjour, je vous appelle concernant un appel d'offres publié par DGDDI DI PARIS-AEROPORTS.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2026-W35</t>
        </is>
      </c>
    </row>
    <row r="32">
      <c r="A32" t="inlineStr">
        <is>
          <t>BOAMP</t>
        </is>
      </c>
      <c r="B32" t="inlineStr">
        <is>
          <t>26-73898</t>
        </is>
      </c>
      <c r="C32" t="inlineStr">
        <is>
          <t>Fourniture de petits matériels et de consommables d'entretien et d'hygiène</t>
        </is>
      </c>
      <c r="D32" t="inlineStr">
        <is>
          <t>Département des Hauts-de-Seine</t>
        </is>
      </c>
      <c r="E32" t="inlineStr"/>
      <c r="F32" t="inlineStr"/>
      <c r="G32" t="inlineStr"/>
      <c r="H32" t="inlineStr"/>
      <c r="I32" t="inlineStr">
        <is>
          <t>publications-joue@aws-france.com</t>
        </is>
      </c>
      <c r="J32" t="inlineStr">
        <is>
          <t>+33480041260</t>
        </is>
      </c>
      <c r="K32" t="inlineStr"/>
      <c r="L32" t="inlineStr"/>
      <c r="M32" t="inlineStr"/>
      <c r="N32" t="inlineStr">
        <is>
          <t>92</t>
        </is>
      </c>
      <c r="O32" t="inlineStr"/>
      <c r="P32" t="inlineStr">
        <is>
          <t>Ile-de-France</t>
        </is>
      </c>
      <c r="Q32" s="15" t="n">
        <v>46228</v>
      </c>
      <c r="R32" s="15" t="n">
        <v>46280</v>
      </c>
      <c r="S32" t="inlineStr"/>
      <c r="T32" t="inlineStr">
        <is>
          <t>A_VERIFIER_BUDGET</t>
        </is>
      </c>
      <c r="U32" t="inlineStr"/>
      <c r="V32" t="inlineStr">
        <is>
          <t>non</t>
        </is>
      </c>
      <c r="W32" t="inlineStr">
        <is>
          <t>Batiments</t>
        </is>
      </c>
      <c r="X32" t="inlineStr">
        <is>
          <t>Autre</t>
        </is>
      </c>
      <c r="Y32" t="inlineStr">
        <is>
          <t>FOURNITURES</t>
        </is>
      </c>
      <c r="Z32" t="inlineStr">
        <is>
          <t>Procédure Ouverte</t>
        </is>
      </c>
      <c r="AA32" t="inlineStr">
        <is>
          <t>Avis de marché</t>
        </is>
      </c>
      <c r="AB32" t="inlineStr">
        <is>
          <t>Produits d'entretien</t>
        </is>
      </c>
      <c r="AC32" t="inlineStr">
        <is>
          <t>['sociaux', 'environnementaux']</t>
        </is>
      </c>
      <c r="AD32" s="11" t="inlineStr">
        <is>
          <t>https://www.boamp.fr/pages/avis/?q=idweb:26-73898</t>
        </is>
      </c>
      <c r="AE32" t="inlineStr">
        <is>
          <t>https://www.marches-publics.info/mpiaws/index.cfm?fuseaction=dematEnt.login&amp;amp;type=DCE&amp;amp;IDM=1854121</t>
        </is>
      </c>
      <c r="AF32" t="inlineStr">
        <is>
          <t>https://www.marches-publics.info/mpiaws/index.cfm?fuseaction=dematEnt.login&amp;amp;type=DCE&amp;amp;IDM=1854121</t>
        </is>
      </c>
      <c r="AG32" t="inlineStr">
        <is>
          <t>hygiene des locaux</t>
        </is>
      </c>
      <c r="AH32" t="inlineStr">
        <is>
          <t>2</t>
        </is>
      </c>
      <c r="AI32" t="inlineStr">
        <is>
          <t>58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+10 delai confortable 49j</t>
        </is>
      </c>
      <c r="BC32" t="inlineStr">
        <is>
          <t>Département des Hauts-de-Seine publie un AO potentiellement pertinent pour CHRUTH : Fourniture de petits matériels et de consommables d'entretien et d'hygiène. Zone : 92. Budget a verifier. Verifier le lien source avant contact.</t>
        </is>
      </c>
      <c r="BD32"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32"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26-72955</t>
        </is>
      </c>
      <c r="C33" t="inlineStr">
        <is>
          <t>Prestations de nettoyage courant des locaux du CNRS et de vitreries incluant la fourniture des produits d’entretien et d’hygiène</t>
        </is>
      </c>
      <c r="D33" t="inlineStr">
        <is>
          <t>CNRS Délégation paris-Centre</t>
        </is>
      </c>
      <c r="E33" t="inlineStr">
        <is>
          <t>18008901303282</t>
        </is>
      </c>
      <c r="F33" t="inlineStr">
        <is>
          <t>180089013</t>
        </is>
      </c>
      <c r="G33" t="inlineStr"/>
      <c r="H33" t="inlineStr"/>
      <c r="I33" t="inlineStr">
        <is>
          <t>marchesdr2@dr2.cnrs.fr</t>
        </is>
      </c>
      <c r="J33" t="inlineStr">
        <is>
          <t>0890130328</t>
        </is>
      </c>
      <c r="K33" t="inlineStr"/>
      <c r="L33" t="inlineStr"/>
      <c r="M33" t="inlineStr"/>
      <c r="N33" t="inlineStr">
        <is>
          <t>75,77,78,91,92,93,94,95</t>
        </is>
      </c>
      <c r="O33" t="inlineStr"/>
      <c r="P33" t="inlineStr">
        <is>
          <t>Ile-de-France</t>
        </is>
      </c>
      <c r="Q33" s="15" t="n">
        <v>46225</v>
      </c>
      <c r="R33" s="15" t="n">
        <v>46269</v>
      </c>
      <c r="S33" t="inlineStr"/>
      <c r="T33" t="inlineStr">
        <is>
          <t>A_VERIFIER_BUDGET</t>
        </is>
      </c>
      <c r="U33" t="inlineStr"/>
      <c r="V33" t="inlineStr">
        <is>
          <t>non</t>
        </is>
      </c>
      <c r="W33" t="inlineStr">
        <is>
          <t>Batiments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https://www.boamp.fr/pages/avis/?q=idweb:26-72955</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38j</t>
        </is>
      </c>
      <c r="BC33"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33"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33"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2026-W30</t>
        </is>
      </c>
    </row>
    <row r="34">
      <c r="A34" t="inlineStr">
        <is>
          <t>BOAMP</t>
        </is>
      </c>
      <c r="B34" t="inlineStr">
        <is>
          <t>26-72105</t>
        </is>
      </c>
      <c r="C34" t="inlineStr">
        <is>
          <t>PRESTATIONS DE SERVICES DE NETTOYAGE ET BIONETTOYAGE DES LOCAUX, DE LA VITRERIE ET SERVICES ASSOCIES POUR LE CHIMM</t>
        </is>
      </c>
      <c r="D34" t="inlineStr">
        <is>
          <t>Centre Hospitalier Poissy/Saint-Germain-En-Laye</t>
        </is>
      </c>
      <c r="E34" t="inlineStr">
        <is>
          <t>26780580200316</t>
        </is>
      </c>
      <c r="F34" t="inlineStr">
        <is>
          <t>267805802</t>
        </is>
      </c>
      <c r="G34" t="inlineStr"/>
      <c r="H34" t="inlineStr"/>
      <c r="I34" t="inlineStr">
        <is>
          <t>clementine.hee@ght-yvelinesnord.fr</t>
        </is>
      </c>
      <c r="J34" t="inlineStr">
        <is>
          <t>0580200316</t>
        </is>
      </c>
      <c r="K34" t="inlineStr"/>
      <c r="L34" t="inlineStr"/>
      <c r="M34" t="inlineStr"/>
      <c r="N34" t="inlineStr">
        <is>
          <t>78</t>
        </is>
      </c>
      <c r="O34" t="inlineStr"/>
      <c r="P34" t="inlineStr">
        <is>
          <t>Ile-de-France</t>
        </is>
      </c>
      <c r="Q34" s="15" t="n">
        <v>46224</v>
      </c>
      <c r="R34" s="15" t="n">
        <v>46293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 Vitrerie</t>
        </is>
      </c>
      <c r="AC34" t="inlineStr"/>
      <c r="AD34" s="11" t="inlineStr">
        <is>
          <t>https://www.boamp.fr/pages/avis/?q=idweb:26-72105</t>
        </is>
      </c>
      <c r="AE34" t="inlineStr">
        <is>
          <t>https://marches.maximilien.fr/entreprise/consultation/943757?orgAcronyme=a2k</t>
        </is>
      </c>
      <c r="AF34" t="inlineStr">
        <is>
          <t>https://marches.maximilien.fr/entreprise/consultation/943757?orgAcronyme=a2k</t>
        </is>
      </c>
      <c r="AG34" t="inlineStr">
        <is>
          <t>nettoyage, bionettoyage</t>
        </is>
      </c>
      <c r="AH34" t="inlineStr">
        <is>
          <t>3</t>
        </is>
      </c>
      <c r="AI34" t="inlineStr">
        <is>
          <t>76</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62j</t>
        </is>
      </c>
      <c r="BC34"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34"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34"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26-70522</t>
        </is>
      </c>
      <c r="C35" t="inlineStr">
        <is>
          <t>PRESTATIONS DE COACHING ET D’ACCOMPAGNEMENT DES MEMBRES D’UN CODIR AU PROFIT DE L’EPIDE</t>
        </is>
      </c>
      <c r="D35" t="inlineStr">
        <is>
          <t>EPIDE</t>
        </is>
      </c>
      <c r="E35" t="inlineStr">
        <is>
          <t>18009259500131</t>
        </is>
      </c>
      <c r="F35" t="inlineStr">
        <is>
          <t>180092595</t>
        </is>
      </c>
      <c r="G35" t="inlineStr"/>
      <c r="H35" t="inlineStr"/>
      <c r="I35" t="inlineStr">
        <is>
          <t>achats@epide.fr</t>
        </is>
      </c>
      <c r="J35" t="inlineStr">
        <is>
          <t>0925950013</t>
        </is>
      </c>
      <c r="K35" t="inlineStr"/>
      <c r="L35" t="inlineStr"/>
      <c r="M35" t="inlineStr"/>
      <c r="N35" t="inlineStr">
        <is>
          <t>92,67,68,24,33,40,47,64,3</t>
        </is>
      </c>
      <c r="O35" t="inlineStr"/>
      <c r="P35" t="inlineStr">
        <is>
          <t>Ile-de-France</t>
        </is>
      </c>
      <c r="Q35" s="15" t="n">
        <v>46220</v>
      </c>
      <c r="R35" s="15" t="n">
        <v>46259</v>
      </c>
      <c r="S35" t="inlineStr"/>
      <c r="T35" t="inlineStr">
        <is>
          <t>A_VERIFIER_BUDGET</t>
        </is>
      </c>
      <c r="U35" t="inlineStr"/>
      <c r="V35" t="inlineStr">
        <is>
          <t>non</t>
        </is>
      </c>
      <c r="W35" t="inlineStr">
        <is>
          <t>Batiments</t>
        </is>
      </c>
      <c r="X35" t="inlineStr">
        <is>
          <t>Autre</t>
        </is>
      </c>
      <c r="Y35" t="inlineStr">
        <is>
          <t>SERVICES</t>
        </is>
      </c>
      <c r="Z35" t="inlineStr">
        <is>
          <t>Procédure Ouverte</t>
        </is>
      </c>
      <c r="AA35" t="inlineStr">
        <is>
          <t>Avis de marché</t>
        </is>
      </c>
      <c r="AB35" t="inlineStr">
        <is>
          <t>Nettoyage de locaux</t>
        </is>
      </c>
      <c r="AC35" t="inlineStr"/>
      <c r="AD35" s="11" t="inlineStr">
        <is>
          <t>https://www.boamp.fr/pages/avis/?q=idweb:26-70522</t>
        </is>
      </c>
      <c r="AE35" t="inlineStr">
        <is>
          <t>https://www.epide.fr/</t>
        </is>
      </c>
      <c r="AF35" t="inlineStr"/>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28j</t>
        </is>
      </c>
      <c r="BC35" t="inlineStr">
        <is>
          <t>EPIDE publie un AO potentiellement pertinent pour CHRUTH : PRESTATIONS DE COACHING ET D’ACCOMPAGNEMENT DES MEMBRES D’UN CODIR AU PROFIT DE L’EPIDE. Zone : 92,67,68,24,33,40,47,64,3. Budget a verifier. Verifier le lien source avant contact.</t>
        </is>
      </c>
      <c r="BD35"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35"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2026-W29</t>
        </is>
      </c>
    </row>
    <row r="36">
      <c r="A36" t="inlineStr">
        <is>
          <t>BOAMP</t>
        </is>
      </c>
      <c r="B36" t="inlineStr">
        <is>
          <t>26-70503</t>
        </is>
      </c>
      <c r="C36" t="inlineStr">
        <is>
          <t>Prestations de nettoyage des locaux et de la vitrerie et prestations associées pour les sites du GHT Grand Paris Nord-Est</t>
        </is>
      </c>
      <c r="D36" t="inlineStr">
        <is>
          <t>GHT GPNE</t>
        </is>
      </c>
      <c r="E36" t="inlineStr">
        <is>
          <t>20001803400013</t>
        </is>
      </c>
      <c r="F36" t="inlineStr">
        <is>
          <t>200018034</t>
        </is>
      </c>
      <c r="G36" t="inlineStr"/>
      <c r="H36" t="inlineStr"/>
      <c r="I36" t="inlineStr">
        <is>
          <t>ght.cellule-des-marches@ght-gpne.fr</t>
        </is>
      </c>
      <c r="J36" t="inlineStr">
        <is>
          <t>0180340001</t>
        </is>
      </c>
      <c r="K36" t="inlineStr"/>
      <c r="L36" t="inlineStr"/>
      <c r="M36" t="inlineStr"/>
      <c r="N36" t="inlineStr">
        <is>
          <t>93</t>
        </is>
      </c>
      <c r="O36" t="inlineStr"/>
      <c r="P36" t="inlineStr">
        <is>
          <t>Ile-de-France</t>
        </is>
      </c>
      <c r="Q36" s="15" t="n">
        <v>46220</v>
      </c>
      <c r="R36" s="15" t="n">
        <v>46269</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c r="AD36" s="11" t="inlineStr">
        <is>
          <t>https://www.boamp.fr/pages/avis/?q=idweb:26-70503</t>
        </is>
      </c>
      <c r="AE36" t="inlineStr">
        <is>
          <t>https://marches.maximilien.fr/entreprise/consultation/943277?orgAcronyme=a1j</t>
        </is>
      </c>
      <c r="AF36" t="inlineStr">
        <is>
          <t>https://marches.maximilien.fr/entreprise/consultation/943277?orgAcronyme=a1j</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38j</t>
        </is>
      </c>
      <c r="BC36" t="inlineStr">
        <is>
          <t>GHT GPNE publie un AO potentiellement pertinent pour CHRUTH : Prestations de nettoyage des locaux et de la vitrerie et prestations associées pour les sites du GHT Grand Paris Nord-Est. Zone : 93. Budget a verifier. Verifier le lien source avant contact.</t>
        </is>
      </c>
      <c r="BD36"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36"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26-82245</t>
        </is>
      </c>
      <c r="C37" t="inlineStr">
        <is>
          <t>PRESTATIONS DE NETTOYAGE ET D'ENTRETIEN MENAGER DES BATIMENTS UNIVERSITAIRES</t>
        </is>
      </c>
      <c r="D37" t="inlineStr">
        <is>
          <t>Communauté d'Agglomération Melun Val de Seine</t>
        </is>
      </c>
      <c r="E37" t="inlineStr"/>
      <c r="F37" t="inlineStr"/>
      <c r="G37" t="inlineStr"/>
      <c r="H37" t="inlineStr"/>
      <c r="I37" t="inlineStr">
        <is>
          <t>publications-joue@aws-france.com</t>
        </is>
      </c>
      <c r="J37" t="inlineStr">
        <is>
          <t>+33480041260</t>
        </is>
      </c>
      <c r="K37" t="inlineStr"/>
      <c r="L37" t="inlineStr"/>
      <c r="M37" t="inlineStr"/>
      <c r="N37" t="inlineStr">
        <is>
          <t>77</t>
        </is>
      </c>
      <c r="O37" t="inlineStr"/>
      <c r="P37" t="inlineStr">
        <is>
          <t>Ile-de-France</t>
        </is>
      </c>
      <c r="Q37" s="15" t="n">
        <v>46257</v>
      </c>
      <c r="R37" s="15" t="n">
        <v>46286</v>
      </c>
      <c r="S37" s="14" t="n">
        <v>120000</v>
      </c>
      <c r="T37" t="inlineStr">
        <is>
          <t>BUDGET_EXPLICITE_OK</t>
        </is>
      </c>
      <c r="U37" t="inlineStr">
        <is>
          <t>120000</t>
        </is>
      </c>
      <c r="V37" t="inlineStr">
        <is>
          <t>oui</t>
        </is>
      </c>
      <c r="W37" t="inlineStr">
        <is>
          <t>Batiments</t>
        </is>
      </c>
      <c r="X37" t="inlineStr">
        <is>
          <t>Autre</t>
        </is>
      </c>
      <c r="Y37" t="inlineStr">
        <is>
          <t>SERVICES</t>
        </is>
      </c>
      <c r="Z37" t="inlineStr">
        <is>
          <t>Procédure Ouverte</t>
        </is>
      </c>
      <c r="AA37" t="inlineStr">
        <is>
          <t>Avis de marché</t>
        </is>
      </c>
      <c r="AB37" t="inlineStr">
        <is>
          <t>Nettoyage de locaux, Prestations de services</t>
        </is>
      </c>
      <c r="AC37" t="inlineStr"/>
      <c r="AD37" s="11" t="inlineStr">
        <is>
          <t>https://www.boamp.fr/pages/avis/?q=idweb:26-82245</t>
        </is>
      </c>
      <c r="AE37" t="inlineStr">
        <is>
          <t>https://www.marches-publics.info/mpiaws/index.cfm?fuseaction=dematEnt.login&amp;amp;type=DCE&amp;amp;IDM=1863025</t>
        </is>
      </c>
      <c r="AF37" t="inlineStr">
        <is>
          <t>https://www.marches-publics.info/mpiaws/index.cfm?fuseaction=dematEnt.login&amp;amp;type=DCE&amp;amp;IDM=1863025</t>
        </is>
      </c>
      <c r="AG37" t="inlineStr">
        <is>
          <t>nettoyage, entretien menager</t>
        </is>
      </c>
      <c r="AH37" t="inlineStr">
        <is>
          <t>2</t>
        </is>
      </c>
      <c r="AI37" t="inlineStr">
        <is>
          <t>62</t>
        </is>
      </c>
      <c r="AJ37" t="inlineStr">
        <is>
          <t>INFO_PARTIELLE</t>
        </is>
      </c>
      <c r="AK37" t="inlineStr">
        <is>
          <t>53.8</t>
        </is>
      </c>
      <c r="AL37" t="inlineStr">
        <is>
          <t>TIEDE</t>
        </is>
      </c>
      <c r="AM37" t="inlineStr"/>
      <c r="AN37" t="inlineStr"/>
      <c r="AO37" t="inlineStr"/>
      <c r="AP37" t="inlineStr"/>
      <c r="AQ37" t="inlineStr">
        <is>
          <t>IA_CONTACT_A_COMPLETER</t>
        </is>
      </c>
      <c r="AR37" t="inlineStr">
        <is>
          <t>Completer les champs manquants depuis l'avis source, le site acheteur ou le DCE.</t>
        </is>
      </c>
      <c r="AS37" t="inlineStr">
        <is>
          <t>SIRET, 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26-82245. Objet: PRESTATIONS DE NETTOYAGE ET D'ENTRETIEN MENAGER DES BATIMENTS UNIVERSITAIRES. Acheteur: Communauté d'Agglomération Melun Val de Seine. Lien: https://www.boamp.fr/pages/avis/?q=idweb:26-82245.</t>
        </is>
      </c>
      <c r="AU37" t="inlineStr">
        <is>
          <t>Verifier url_avis et DCE si disponible</t>
        </is>
      </c>
      <c r="AV37" t="inlineStr"/>
      <c r="AW37" t="inlineStr"/>
      <c r="AX37" t="inlineStr"/>
      <c r="AY37" t="inlineStr"/>
      <c r="AZ37" t="inlineStr"/>
      <c r="BA37" t="inlineStr"/>
      <c r="BB37" t="inlineStr">
        <is>
          <t>+33.5 nettoyage + categorie claire (1 termes) | +11.0 budget annualise 120 000 EUR | +7.8 delai 21 j | +1.5 dossier renseigne (3/4)</t>
        </is>
      </c>
      <c r="BC37"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7"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7"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2026-W34</t>
        </is>
      </c>
    </row>
    <row r="38">
      <c r="A38" t="inlineStr">
        <is>
          <t>BOAMP</t>
        </is>
      </c>
      <c r="B38" t="inlineStr">
        <is>
          <t>26-81766</t>
        </is>
      </c>
      <c r="C38" t="inlineStr">
        <is>
          <t>PRESTATIONS DE NETTOYAGE ET D'ENTRETIEN MENAGER DES BATIMENTS UNIVERSITAIRES</t>
        </is>
      </c>
      <c r="D38" t="inlineStr">
        <is>
          <t>Communauté d'Agglomération Melun Val de Seine</t>
        </is>
      </c>
      <c r="E38" t="inlineStr"/>
      <c r="F38" t="inlineStr"/>
      <c r="G38" t="inlineStr"/>
      <c r="H38" t="inlineStr"/>
      <c r="I38" t="inlineStr">
        <is>
          <t>publications-joue@aws-france.com</t>
        </is>
      </c>
      <c r="J38" t="inlineStr">
        <is>
          <t>+33480041260</t>
        </is>
      </c>
      <c r="K38" t="inlineStr"/>
      <c r="L38" t="inlineStr"/>
      <c r="M38" t="inlineStr"/>
      <c r="N38" t="inlineStr">
        <is>
          <t>77</t>
        </is>
      </c>
      <c r="O38" t="inlineStr"/>
      <c r="P38" t="inlineStr">
        <is>
          <t>Ile-de-France</t>
        </is>
      </c>
      <c r="Q38" s="15" t="n">
        <v>46255</v>
      </c>
      <c r="R38" s="15" t="n">
        <v>46286</v>
      </c>
      <c r="S38" s="14" t="n">
        <v>120000</v>
      </c>
      <c r="T38" t="inlineStr">
        <is>
          <t>BUDGET_EXPLICITE_OK</t>
        </is>
      </c>
      <c r="U38" t="inlineStr">
        <is>
          <t>120000</t>
        </is>
      </c>
      <c r="V38" t="inlineStr">
        <is>
          <t>oui</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https://www.boamp.fr/pages/avis/?q=idweb:26-81766</t>
        </is>
      </c>
      <c r="AE38" t="inlineStr">
        <is>
          <t>https://www.marches-publics.info/mpiaws/index.cfm?fuseaction=dematEnt.login&amp;amp;type=DCE&amp;amp;IDM=1863025</t>
        </is>
      </c>
      <c r="AF38" t="inlineStr">
        <is>
          <t>https://www.marches-publics.info/mpiaws/index.cfm?fuseaction=dematEnt.login&amp;amp;type=DCE&amp;amp;IDM=1863025</t>
        </is>
      </c>
      <c r="AG38" t="inlineStr">
        <is>
          <t>nettoyage, entretien menager</t>
        </is>
      </c>
      <c r="AH38" t="inlineStr">
        <is>
          <t>2</t>
        </is>
      </c>
      <c r="AI38" t="inlineStr">
        <is>
          <t>62</t>
        </is>
      </c>
      <c r="AJ38" t="inlineStr">
        <is>
          <t>INFO_PARTIELLE</t>
        </is>
      </c>
      <c r="AK38" t="inlineStr">
        <is>
          <t>53.8</t>
        </is>
      </c>
      <c r="AL38" t="inlineStr">
        <is>
          <t>TIEDE</t>
        </is>
      </c>
      <c r="AM38" t="inlineStr"/>
      <c r="AN38" t="inlineStr"/>
      <c r="AO38" t="inlineStr"/>
      <c r="AP38" t="inlineStr"/>
      <c r="AQ38" t="inlineStr">
        <is>
          <t>IA_CONTACT_A_COMPLETER</t>
        </is>
      </c>
      <c r="AR38" t="inlineStr">
        <is>
          <t>Completer les champs manquants depuis l'avis source, le site acheteur ou le DCE.</t>
        </is>
      </c>
      <c r="AS38" t="inlineStr">
        <is>
          <t>SIRET, 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26-81766. Objet: PRESTATIONS DE NETTOYAGE ET D'ENTRETIEN MENAGER DES BATIMENTS UNIVERSITAIRES. Acheteur: Communauté d'Agglomération Melun Val de Seine. Lien: https://www.boamp.fr/pages/avis/?q=idweb:26-81766.</t>
        </is>
      </c>
      <c r="AU38" t="inlineStr">
        <is>
          <t>Verifier url_avis et DCE si disponible</t>
        </is>
      </c>
      <c r="AV38" t="inlineStr"/>
      <c r="AW38" t="inlineStr"/>
      <c r="AX38" t="inlineStr"/>
      <c r="AY38" t="inlineStr"/>
      <c r="AZ38" t="inlineStr"/>
      <c r="BA38" t="inlineStr"/>
      <c r="BB38" t="inlineStr">
        <is>
          <t>+33.5 nettoyage + categorie claire (1 termes) | +11.0 budget annualise 120 000 EUR | +7.8 delai 21 j | +1.5 dossier renseigne (3/4)</t>
        </is>
      </c>
      <c r="BC38" t="inlineStr">
        <is>
          <t>Communauté d'Agglomération Melun Val de Seine publie un AO potentiellement pertinent pour CHRUTH : PRESTATIONS DE NETTOYAGE ET D'ENTRETIEN MENAGER DES BATIMENTS UNIVERSITAIRES. Zone : 77. Budget detecte environ 120 000 EUR. Verifier le lien source avant contact.</t>
        </is>
      </c>
      <c r="BD38" t="inlineStr">
        <is>
          <t>Bonjour,
Je me permets de vous contacter au sujet de votre appel d'offres : PRESTATIONS DE NETTOYAGE ET D'ENTRETIEN MENAGER DES BATIMENTS UNIVERSITAIRES.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Melun Val de Seine ?
Cordialement,</t>
        </is>
      </c>
      <c r="BE38" t="inlineStr">
        <is>
          <t>Bonjour, je vous appelle concernant un appel d'offres publié par Communauté d'Agglomération Melun Val de Seine.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2026-W34</t>
        </is>
      </c>
    </row>
    <row r="39">
      <c r="A39" t="inlineStr">
        <is>
          <t>BOAMP</t>
        </is>
      </c>
      <c r="B39" t="inlineStr">
        <is>
          <t>26-77541</t>
        </is>
      </c>
      <c r="C39" t="inlineStr">
        <is>
          <t>Le présent contrat a pour objet la délégation de l'exploitation du Centre Départemental d'initiation au golf de la Poudrerie à Livry-Gargan</t>
        </is>
      </c>
      <c r="D39" t="inlineStr">
        <is>
          <t>Département de la Seine-Saint-Denis</t>
        </is>
      </c>
      <c r="E39" t="inlineStr"/>
      <c r="F39" t="inlineStr"/>
      <c r="G39" t="inlineStr"/>
      <c r="H39" t="inlineStr"/>
      <c r="I39" t="inlineStr">
        <is>
          <t>publications-joue@aws-france.com</t>
        </is>
      </c>
      <c r="J39" t="inlineStr">
        <is>
          <t>+33480041260</t>
        </is>
      </c>
      <c r="K39" t="inlineStr"/>
      <c r="L39" t="inlineStr"/>
      <c r="M39" t="inlineStr"/>
      <c r="N39" t="inlineStr">
        <is>
          <t>93</t>
        </is>
      </c>
      <c r="O39" t="inlineStr"/>
      <c r="P39" t="inlineStr">
        <is>
          <t>Ile-de-France</t>
        </is>
      </c>
      <c r="Q39" s="15" t="n">
        <v>46239</v>
      </c>
      <c r="R39" s="15" t="n">
        <v>46286</v>
      </c>
      <c r="S39" t="inlineStr"/>
      <c r="T39" t="inlineStr">
        <is>
          <t>A_VERIFIER_BUDGET</t>
        </is>
      </c>
      <c r="U39" t="inlineStr"/>
      <c r="V39" t="inlineStr">
        <is>
          <t>non</t>
        </is>
      </c>
      <c r="W39" t="inlineStr">
        <is>
          <t>Personnel</t>
        </is>
      </c>
      <c r="X39" t="inlineStr">
        <is>
          <t>Autre</t>
        </is>
      </c>
      <c r="Y39" t="inlineStr">
        <is>
          <t>SERVICES</t>
        </is>
      </c>
      <c r="Z39" t="inlineStr">
        <is>
          <t>Procédure NC</t>
        </is>
      </c>
      <c r="AA39" t="inlineStr">
        <is>
          <t>Avis de marché</t>
        </is>
      </c>
      <c r="AB39" t="inlineStr">
        <is>
          <t>Equipement sportif, Délégation de service public</t>
        </is>
      </c>
      <c r="AC39" t="inlineStr">
        <is>
          <t>['environnementaux']</t>
        </is>
      </c>
      <c r="AD39" s="11" t="inlineStr">
        <is>
          <t>https://www.boamp.fr/pages/avis/?q=idweb:26-77541</t>
        </is>
      </c>
      <c r="AE39" t="inlineStr">
        <is>
          <t>https://www.marches-publics.info/mpiaws/index.cfm?fuseaction=dematEnt.login&amp;amp;type=DCE&amp;amp;IDM=1858330</t>
        </is>
      </c>
      <c r="AF39" t="inlineStr">
        <is>
          <t>https://www.marches-publics.info/mpiaws/index.cfm?fuseaction=dematEnt.login&amp;amp;type=DCE&amp;amp;IDM=1858330</t>
        </is>
      </c>
      <c r="AG39" t="inlineStr">
        <is>
          <t>nettoyage</t>
        </is>
      </c>
      <c r="AH39" t="inlineStr">
        <is>
          <t>2</t>
        </is>
      </c>
      <c r="AI39" t="inlineStr">
        <is>
          <t>58</t>
        </is>
      </c>
      <c r="AJ39" t="inlineStr">
        <is>
          <t>INFO_PARTIELLE</t>
        </is>
      </c>
      <c r="AK39" t="inlineStr">
        <is>
          <t>52.8</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26-77541. Objet: Le présent contrat a pour objet la délégation de l'exploitation du Centre Départemental d'initiation au golf de la Poudrerie à Livry-Gargan. Acheteur: Département de la Seine-Saint-Denis. Lien: https://www.boamp.fr/pages/avis/?q=idweb:26-77541.</t>
        </is>
      </c>
      <c r="AU39" t="inlineStr">
        <is>
          <t>Verifier url_avis et DCE si disponible</t>
        </is>
      </c>
      <c r="AV39" t="inlineStr">
        <is>
          <t>LIEN_SEUL</t>
        </is>
      </c>
      <c r="AW39" t="inlineStr"/>
      <c r="AX39" t="inlineStr"/>
      <c r="AY39" t="inlineStr"/>
      <c r="AZ39" t="inlineStr"/>
      <c r="BA39" t="inlineStr"/>
      <c r="BB39" t="inlineStr">
        <is>
          <t>+33.5 nettoyage + categorie claire (1 termes) | +10 budget non affiche (a verifier) | +7.8 delai 21 j | +1.5 dossier renseigne (3/4)</t>
        </is>
      </c>
      <c r="BC39" t="inlineStr">
        <is>
          <t>Département de la Seine-Saint-Denis publie un AO potentiellement pertinent pour CHRUTH : Le présent contrat a pour objet la délégation de l'exploitation du Centre Départemental d'initiation au golf de la Poudrerie à Livry-Gargan. Zone : 93. Budget a verifier. Verifier le lien source avant contact.</t>
        </is>
      </c>
      <c r="BD39" t="inlineStr">
        <is>
          <t>Bonjour,
Je me permets de vous contacter au sujet de votre appel d'offres : Le présent contrat a pour objet la délégation de l'exploitation du Centre Départemental d'initiation au golf de la Poudrerie à Livry-Gargan.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9"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2026-W32</t>
        </is>
      </c>
    </row>
    <row r="40">
      <c r="A40" t="inlineStr">
        <is>
          <t>BOAMP</t>
        </is>
      </c>
      <c r="B40" t="inlineStr">
        <is>
          <t>26-77581</t>
        </is>
      </c>
      <c r="C40" t="inlineStr">
        <is>
          <t>Marché de service de nettoyage de divers locaux communaux de la commune de Marcoussis</t>
        </is>
      </c>
      <c r="D40" t="inlineStr">
        <is>
          <t>COMMUNE DE MARCOUSSIS</t>
        </is>
      </c>
      <c r="E40" t="inlineStr">
        <is>
          <t>21910363700019</t>
        </is>
      </c>
      <c r="F40" t="inlineStr">
        <is>
          <t>219103637</t>
        </is>
      </c>
      <c r="G40" t="inlineStr"/>
      <c r="H40" t="inlineStr"/>
      <c r="I40" t="inlineStr">
        <is>
          <t>affairesjuridiques@marcoussis.fr</t>
        </is>
      </c>
      <c r="J40" t="inlineStr">
        <is>
          <t>0363700019</t>
        </is>
      </c>
      <c r="K40" t="inlineStr"/>
      <c r="L40" t="inlineStr"/>
      <c r="M40" t="inlineStr"/>
      <c r="N40" t="inlineStr">
        <is>
          <t>91</t>
        </is>
      </c>
      <c r="O40" t="inlineStr"/>
      <c r="P40" t="inlineStr">
        <is>
          <t>Ile-de-France</t>
        </is>
      </c>
      <c r="Q40" s="15" t="n">
        <v>46239</v>
      </c>
      <c r="R40" s="15" t="n">
        <v>46272</v>
      </c>
      <c r="S40" t="inlineStr"/>
      <c r="T40" t="inlineStr">
        <is>
          <t>A_VERIFIER_BUDGET</t>
        </is>
      </c>
      <c r="U40" t="inlineStr"/>
      <c r="V40" t="inlineStr">
        <is>
          <t>non</t>
        </is>
      </c>
      <c r="W40" t="inlineStr">
        <is>
          <t>Vitres</t>
        </is>
      </c>
      <c r="X40" t="inlineStr">
        <is>
          <t>Mairie</t>
        </is>
      </c>
      <c r="Y40" t="inlineStr">
        <is>
          <t>SERVICES</t>
        </is>
      </c>
      <c r="Z40" t="inlineStr">
        <is>
          <t>Procédure Ouverte</t>
        </is>
      </c>
      <c r="AA40" t="inlineStr">
        <is>
          <t>Avis de marché</t>
        </is>
      </c>
      <c r="AB40" t="inlineStr">
        <is>
          <t>Nettoyage de locaux</t>
        </is>
      </c>
      <c r="AC40" t="inlineStr">
        <is>
          <t>['sociaux', 'environnementaux']</t>
        </is>
      </c>
      <c r="AD40" s="11" t="inlineStr">
        <is>
          <t>https://www.boamp.fr/pages/avis/?q=idweb:26-77581</t>
        </is>
      </c>
      <c r="AE40" t="inlineStr">
        <is>
          <t>https://marcoussis.fr/</t>
        </is>
      </c>
      <c r="AF40" t="inlineStr"/>
      <c r="AG40" t="inlineStr">
        <is>
          <t>nettoyage</t>
        </is>
      </c>
      <c r="AH40" t="inlineStr">
        <is>
          <t>3</t>
        </is>
      </c>
      <c r="AI40" t="inlineStr">
        <is>
          <t>68</t>
        </is>
      </c>
      <c r="AJ40" t="inlineStr">
        <is>
          <t>INFO_PARTIELLE</t>
        </is>
      </c>
      <c r="AK40" t="inlineStr">
        <is>
          <t>52.0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26-77581. Objet: Marché de service de nettoyage de divers locaux communaux de la commune de Marcoussis. Acheteur: COMMUNE DE MARCOUSSIS. Lien: https://www.boamp.fr/pages/avis/?q=idweb:26-77581.</t>
        </is>
      </c>
      <c r="AU40" t="inlineStr">
        <is>
          <t>Verifier url_avis et DCE si disponible</t>
        </is>
      </c>
      <c r="AV40" t="inlineStr">
        <is>
          <t>LIEN_SEUL</t>
        </is>
      </c>
      <c r="AW40" t="inlineStr"/>
      <c r="AX40" t="inlineStr"/>
      <c r="AY40" t="inlineStr"/>
      <c r="AZ40" t="inlineStr"/>
      <c r="BA40" t="inlineStr"/>
      <c r="BB40" t="inlineStr">
        <is>
          <t>+33.5 nettoyage + categorie claire (1 termes) | +10 budget non affiche (a verifier) | +10 secteur cible Mairie | -3.0 delai 7 j | +1.5 dossier renseigne (3/4)</t>
        </is>
      </c>
      <c r="BC40" t="inlineStr">
        <is>
          <t>COMMUNE DE MARCOUSSIS publie un AO potentiellement pertinent pour CHRUTH : Marché de service de nettoyage de divers locaux communaux de la commune de Marcoussis. Zone : 91. Budget a verifier. Verifier le lien source avant contact.</t>
        </is>
      </c>
      <c r="BD40" t="inlineStr">
        <is>
          <t>Bonjour,
Je me permets de vous contacter au sujet de votre appel d'offres : Marché de service de nettoyage de divers locaux communaux de la commune de Marcoussis.
CHRUTH accompagne les structures publiques et privées sur les besoins de nettoyage, d'entretien des locaux et d'organisation de prestations de service.
Serait-il possible d'échanger rapidement afin de vérifier les modalités de réponse et les attentes de COMMUNE DE MARCOUSSIS ?
Cordialement,</t>
        </is>
      </c>
      <c r="BE40" t="inlineStr">
        <is>
          <t>Bonjour, je vous appelle concernant un appel d'offres publié par COMMUNE DE MARCOUSSIS.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2026-W32</t>
        </is>
      </c>
    </row>
    <row r="41">
      <c r="A41" t="inlineStr">
        <is>
          <t>BOAMP</t>
        </is>
      </c>
      <c r="B41" t="inlineStr">
        <is>
          <t>26-72690</t>
        </is>
      </c>
      <c r="C41" t="inlineStr">
        <is>
          <t>Service de mise à disposition de personnel</t>
        </is>
      </c>
      <c r="D41" t="inlineStr">
        <is>
          <t>Mairie d&amp;#039;ANTONY</t>
        </is>
      </c>
      <c r="E41" t="inlineStr">
        <is>
          <t>21920002900011</t>
        </is>
      </c>
      <c r="F41" t="inlineStr">
        <is>
          <t>219200029</t>
        </is>
      </c>
      <c r="G41" t="inlineStr"/>
      <c r="H41" t="inlineStr"/>
      <c r="I41" t="inlineStr">
        <is>
          <t>marchespublics@ville-antony.fr</t>
        </is>
      </c>
      <c r="J41" t="inlineStr">
        <is>
          <t>+33 140966840</t>
        </is>
      </c>
      <c r="K41" t="inlineStr"/>
      <c r="L41" t="inlineStr"/>
      <c r="M41" t="inlineStr"/>
      <c r="N41" t="inlineStr">
        <is>
          <t>92</t>
        </is>
      </c>
      <c r="O41" t="inlineStr"/>
      <c r="P41" t="inlineStr">
        <is>
          <t>Ile-de-France</t>
        </is>
      </c>
      <c r="Q41" s="15" t="n">
        <v>46225</v>
      </c>
      <c r="R41" s="15" t="n">
        <v>46274</v>
      </c>
      <c r="S41" s="14" t="n">
        <v>150000</v>
      </c>
      <c r="T41" t="inlineStr">
        <is>
          <t>BUDGET_EXPLICITE_OK</t>
        </is>
      </c>
      <c r="U41" t="inlineStr">
        <is>
          <t>37500</t>
        </is>
      </c>
      <c r="V41" t="inlineStr">
        <is>
          <t>oui</t>
        </is>
      </c>
      <c r="W41" t="inlineStr">
        <is>
          <t>Personnel</t>
        </is>
      </c>
      <c r="X41" t="inlineStr">
        <is>
          <t>Mairie</t>
        </is>
      </c>
      <c r="Y41" t="inlineStr">
        <is>
          <t>SERVICES</t>
        </is>
      </c>
      <c r="Z41" t="inlineStr">
        <is>
          <t>Procédure Ouverte</t>
        </is>
      </c>
      <c r="AA41" t="inlineStr">
        <is>
          <t>Avis de marché</t>
        </is>
      </c>
      <c r="AB41" t="inlineStr">
        <is>
          <t>Mise à disposition de personnel</t>
        </is>
      </c>
      <c r="AC41" t="inlineStr"/>
      <c r="AD41" s="11" t="inlineStr">
        <is>
          <t>https://www.boamp.fr/pages/avis/?q=idweb:26-72690</t>
        </is>
      </c>
      <c r="AE41" t="inlineStr">
        <is>
          <t>https://marches.maximilien.fr/</t>
        </is>
      </c>
      <c r="AF41" t="inlineStr">
        <is>
          <t>https://marches.maximilien.fr/</t>
        </is>
      </c>
      <c r="AG41" t="inlineStr"/>
      <c r="AH41" t="inlineStr">
        <is>
          <t>3</t>
        </is>
      </c>
      <c r="AI41" t="inlineStr">
        <is>
          <t>60</t>
        </is>
      </c>
      <c r="AJ41" t="inlineStr">
        <is>
          <t>INFO_PARTIELLE</t>
        </is>
      </c>
      <c r="AK41" t="inlineStr">
        <is>
          <t>45</t>
        </is>
      </c>
      <c r="AL41" t="inlineStr">
        <is>
          <t>TIEDE</t>
        </is>
      </c>
      <c r="AM41" t="inlineStr"/>
      <c r="AN41" t="inlineStr"/>
      <c r="AO41" t="inlineStr"/>
      <c r="AP41" t="inlineStr"/>
      <c r="AQ41" t="inlineStr">
        <is>
          <t>IA_CONTACT_A_COMPLETER</t>
        </is>
      </c>
      <c r="AR41" t="inlineStr">
        <is>
          <t>Completer les champs manquants depuis l'avis source, le site acheteur ou le DCE.</t>
        </is>
      </c>
      <c r="AS41" t="inlineStr">
        <is>
          <t>adresse, ville</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41" t="inlineStr">
        <is>
          <t>Verifier url_avis et DCE si disponible</t>
        </is>
      </c>
      <c r="AV41" t="inlineStr"/>
      <c r="AW41" t="inlineStr"/>
      <c r="AX41" t="inlineStr"/>
      <c r="AY41" t="inlineStr"/>
      <c r="AZ41" t="inlineStr"/>
      <c r="BA41" t="inlineStr"/>
      <c r="BB41" t="inlineStr">
        <is>
          <t>0 pertinence metier faible | +25 budget annualise &lt;= 50 000 EUR | +10 secteur cible Mairie | +10 delai confortable 43j</t>
        </is>
      </c>
      <c r="BC41" t="inlineStr">
        <is>
          <t>Mairie d&amp;#039;ANTONY publie un AO potentiellement pertinent pour CHRUTH : Service de mise à disposition de personnel. Zone : 92. Budget detecte environ 150 000 EUR. Verifier le lien source avant contact.</t>
        </is>
      </c>
      <c r="BD41"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41"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2026-W30</t>
        </is>
      </c>
    </row>
    <row r="42">
      <c r="A42" t="inlineStr">
        <is>
          <t>BOAMP</t>
        </is>
      </c>
      <c r="B42" t="inlineStr">
        <is>
          <t>26-70805</t>
        </is>
      </c>
      <c r="C42" t="inlineStr">
        <is>
          <t>Prestation de paie externalisée</t>
        </is>
      </c>
      <c r="D42" t="inlineStr">
        <is>
          <t>Les Eaux de la Confluence</t>
        </is>
      </c>
      <c r="E42" t="inlineStr">
        <is>
          <t>10133050400016</t>
        </is>
      </c>
      <c r="F42" t="inlineStr">
        <is>
          <t>101330504</t>
        </is>
      </c>
      <c r="G42" t="inlineStr">
        <is>
          <t>Service achat</t>
        </is>
      </c>
      <c r="H42" t="inlineStr"/>
      <c r="I42" t="inlineStr">
        <is>
          <t>juliette.gontier@leseauxdelaconfluence.fr</t>
        </is>
      </c>
      <c r="J42" t="inlineStr">
        <is>
          <t>0133050400</t>
        </is>
      </c>
      <c r="K42" t="inlineStr">
        <is>
          <t>(95) Val-d'Oise</t>
        </is>
      </c>
      <c r="L42" t="inlineStr">
        <is>
          <t>95027</t>
        </is>
      </c>
      <c r="M42" t="inlineStr">
        <is>
          <t>Cergy-Pontoise</t>
        </is>
      </c>
      <c r="N42" t="inlineStr">
        <is>
          <t>95</t>
        </is>
      </c>
      <c r="O42" t="inlineStr"/>
      <c r="P42" t="inlineStr">
        <is>
          <t>Ile-de-France</t>
        </is>
      </c>
      <c r="Q42" s="15" t="n">
        <v>46219</v>
      </c>
      <c r="R42" s="15" t="n">
        <v>46240</v>
      </c>
      <c r="S42" s="14" t="n">
        <v>95027</v>
      </c>
      <c r="T42" t="inlineStr">
        <is>
          <t>BUDGET_SOUS_SEUIL</t>
        </is>
      </c>
      <c r="U42" t="inlineStr">
        <is>
          <t>190054</t>
        </is>
      </c>
      <c r="V42" t="inlineStr">
        <is>
          <t>oui</t>
        </is>
      </c>
      <c r="W42" t="inlineStr">
        <is>
          <t>Batiments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https://www.boamp.fr/pages/avis/?q=idweb:26-70805</t>
        </is>
      </c>
      <c r="AE42" t="inlineStr">
        <is>
          <t>https://marches.maximilien.fr/entreprise/consultation/943427?orgAcronyme=a7q</t>
        </is>
      </c>
      <c r="AF42" t="inlineStr">
        <is>
          <t>https://marches.maximilien.fr/entreprise/consultation/943427?orgAcronyme=a7q</t>
        </is>
      </c>
      <c r="AG42" t="inlineStr">
        <is>
          <t>nettoyage</t>
        </is>
      </c>
      <c r="AH42" t="inlineStr">
        <is>
          <t>6</t>
        </is>
      </c>
      <c r="AI42" t="inlineStr">
        <is>
          <t>98</t>
        </is>
      </c>
      <c r="AJ42" t="inlineStr">
        <is>
          <t>INFO_PARTIELLE</t>
        </is>
      </c>
      <c r="AK42" t="inlineStr">
        <is>
          <t>45</t>
        </is>
      </c>
      <c r="AL42" t="inlineStr">
        <is>
          <t>TIEDE</t>
        </is>
      </c>
      <c r="AM42" t="inlineStr"/>
      <c r="AN42" t="inlineStr"/>
      <c r="AO42" t="inlineStr"/>
      <c r="AP42" t="inlineStr"/>
      <c r="AQ42" t="inlineStr">
        <is>
          <t>IA_CONTROLE_SOURCE</t>
        </is>
      </c>
      <c r="AR42" t="inlineStr">
        <is>
          <t>Verifier rapidement la source avant contact.</t>
        </is>
      </c>
      <c r="AS42" t="inlineStr">
        <is>
          <t>Aucun champ critique manquant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42" t="inlineStr">
        <is>
          <t>Verifier url_avis et DCE si disponible</t>
        </is>
      </c>
      <c r="AV42" t="inlineStr"/>
      <c r="AW42" t="inlineStr"/>
      <c r="AX42" t="inlineStr"/>
      <c r="AY42" t="inlineStr"/>
      <c r="AZ42" t="inlineStr"/>
      <c r="BA42" t="inlineStr"/>
      <c r="BB42" t="inlineStr">
        <is>
          <t>+35 nettoyage + categorie claire | +5 budget annualise &lt;= 200 000 EUR | +5 delai court 9j</t>
        </is>
      </c>
      <c r="BC42" t="inlineStr">
        <is>
          <t>Les Eaux de la Confluence publie un AO potentiellement pertinent pour CHRUTH : Prestation de paie externalisée. Zone : Cergy-Pontoise. Budget detecte environ 95 027 EUR. Verifier le lien source avant contact.</t>
        </is>
      </c>
      <c r="BD42"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42"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2026-W29</t>
        </is>
      </c>
    </row>
    <row r="43">
      <c r="A43" t="inlineStr">
        <is>
          <t>BOAMP</t>
        </is>
      </c>
      <c r="B43" t="inlineStr">
        <is>
          <t>26-77150</t>
        </is>
      </c>
      <c r="C43" t="inlineStr">
        <is>
          <t>Maintenance des installations frigorifiques de la patinoire</t>
        </is>
      </c>
      <c r="D43" t="inlineStr">
        <is>
          <t>Ville de Franconville-la-Garenne</t>
        </is>
      </c>
      <c r="E43" t="inlineStr"/>
      <c r="F43" t="inlineStr"/>
      <c r="G43" t="inlineStr"/>
      <c r="H43" t="inlineStr"/>
      <c r="I43" t="inlineStr">
        <is>
          <t>publications-joue@aws-france.com</t>
        </is>
      </c>
      <c r="J43" t="inlineStr">
        <is>
          <t>+33480041260</t>
        </is>
      </c>
      <c r="K43" t="inlineStr"/>
      <c r="L43" t="inlineStr"/>
      <c r="M43" t="inlineStr"/>
      <c r="N43" t="inlineStr">
        <is>
          <t>95</t>
        </is>
      </c>
      <c r="O43" t="inlineStr"/>
      <c r="P43" t="inlineStr">
        <is>
          <t>Ile-de-France</t>
        </is>
      </c>
      <c r="Q43" s="15" t="n">
        <v>46236</v>
      </c>
      <c r="R43" s="15" t="n">
        <v>46269</v>
      </c>
      <c r="S43" t="inlineStr"/>
      <c r="T43" t="inlineStr">
        <is>
          <t>A_VERIFIER_BUDGET</t>
        </is>
      </c>
      <c r="U43" t="inlineStr"/>
      <c r="V43" t="inlineStr">
        <is>
          <t>non</t>
        </is>
      </c>
      <c r="W43" t="inlineStr">
        <is>
          <t>Batiments</t>
        </is>
      </c>
      <c r="X43" t="inlineStr">
        <is>
          <t>Mairie</t>
        </is>
      </c>
      <c r="Y43" t="inlineStr">
        <is>
          <t>SERVICES</t>
        </is>
      </c>
      <c r="Z43" t="inlineStr">
        <is>
          <t>Procédure Ouverte</t>
        </is>
      </c>
      <c r="AA43" t="inlineStr">
        <is>
          <t>Avis de marché</t>
        </is>
      </c>
      <c r="AB43" t="inlineStr">
        <is>
          <t>Chambre froide, Equipement sportif, Maintenance</t>
        </is>
      </c>
      <c r="AC43" t="inlineStr">
        <is>
          <t>['environnementaux']</t>
        </is>
      </c>
      <c r="AD43" s="11" t="inlineStr">
        <is>
          <t>https://www.boamp.fr/pages/avis/?q=idweb:26-77150</t>
        </is>
      </c>
      <c r="AE43" t="inlineStr">
        <is>
          <t>http://agysoft.marches-publics.info/</t>
        </is>
      </c>
      <c r="AF43" t="inlineStr">
        <is>
          <t>http://agysoft.marches-publics.info/</t>
        </is>
      </c>
      <c r="AG43" t="inlineStr">
        <is>
          <t>proprete</t>
        </is>
      </c>
      <c r="AH43" t="inlineStr">
        <is>
          <t>2</t>
        </is>
      </c>
      <c r="AI43" t="inlineStr">
        <is>
          <t>58</t>
        </is>
      </c>
      <c r="AJ43" t="inlineStr">
        <is>
          <t>INFO_PARTIELLE</t>
        </is>
      </c>
      <c r="AK43" t="inlineStr">
        <is>
          <t>44.0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SIRET, 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26-77150. Objet: Maintenance des installations frigorifiques de la patinoire. Acheteur: Ville de Franconville-la-Garenne. Lien: https://www.boamp.fr/pages/avis/?q=idweb:26-77150.</t>
        </is>
      </c>
      <c r="AU43" t="inlineStr">
        <is>
          <t>Verifier url_avis et DCE si disponible</t>
        </is>
      </c>
      <c r="AV43" t="inlineStr">
        <is>
          <t>LIEN_SEUL</t>
        </is>
      </c>
      <c r="AW43" t="inlineStr"/>
      <c r="AX43" t="inlineStr"/>
      <c r="AY43" t="inlineStr"/>
      <c r="AZ43" t="inlineStr"/>
      <c r="BA43" t="inlineStr"/>
      <c r="BB43" t="inlineStr">
        <is>
          <t>+33.5 nettoyage + categorie claire (1 termes) | +10 budget non affiche (a verifier) | +10 secteur cible Mairie | -11.0 delai 4 j | +1.5 dossier renseigne (3/4)</t>
        </is>
      </c>
      <c r="BC43" t="inlineStr">
        <is>
          <t>Ville de Franconville-la-Garenne publie un AO potentiellement pertinent pour CHRUTH : Maintenance des installations frigorifiques de la patinoire. Zone : 95. Budget a verifier. Verifier le lien source avant contact.</t>
        </is>
      </c>
      <c r="BD43" t="inlineStr">
        <is>
          <t>Bonjour,
Je me permets de vous contacter au sujet de votre appel d'offres : Maintenance des installations frigorifiques de la patinoire.
CHRUTH accompagne les structures publiques et privées sur les besoins de nettoyage, d'entretien des locaux et d'organisation de prestations de service.
Serait-il possible d'échanger rapidement afin de vérifier les modalités de réponse et les attentes de Ville de Franconville-la-Garenne ?
Cordialement,</t>
        </is>
      </c>
      <c r="BE43" t="inlineStr">
        <is>
          <t>Bonjour, je vous appelle concernant un appel d'offres publié par Ville de Franconville-la-Garenne.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2026-W31</t>
        </is>
      </c>
    </row>
    <row r="44">
      <c r="A44" t="inlineStr">
        <is>
          <t>BOAMP</t>
        </is>
      </c>
      <c r="B44" t="inlineStr">
        <is>
          <t>26-83490</t>
        </is>
      </c>
      <c r="C44" t="inlineStr">
        <is>
          <t>Nettoyage des bâtiments scolaires élémentaires, des accueils de loisirs et des gymnases intégrés</t>
        </is>
      </c>
      <c r="D44" t="inlineStr">
        <is>
          <t>COMMUNE NOUVELLE DE SAINT-DENIS</t>
        </is>
      </c>
      <c r="E44" t="inlineStr">
        <is>
          <t>92993941100013</t>
        </is>
      </c>
      <c r="F44" t="inlineStr">
        <is>
          <t>929939411</t>
        </is>
      </c>
      <c r="G44" t="inlineStr"/>
      <c r="H44" t="inlineStr"/>
      <c r="I44" t="inlineStr">
        <is>
          <t>mp_achats@saintdenis.fr</t>
        </is>
      </c>
      <c r="J44" t="inlineStr">
        <is>
          <t>0149336611</t>
        </is>
      </c>
      <c r="K44" t="inlineStr"/>
      <c r="L44" t="inlineStr"/>
      <c r="M44" t="inlineStr"/>
      <c r="N44" t="inlineStr">
        <is>
          <t>93,74,75,77</t>
        </is>
      </c>
      <c r="O44" t="inlineStr"/>
      <c r="P44" t="inlineStr">
        <is>
          <t>Ile-de-France</t>
        </is>
      </c>
      <c r="Q44" s="15" t="n">
        <v>46262</v>
      </c>
      <c r="R44" s="15" t="n">
        <v>46293</v>
      </c>
      <c r="S44" s="14" t="n">
        <v>950000</v>
      </c>
      <c r="T44" t="inlineStr">
        <is>
          <t>BUDGET_EXPLICITE_OK</t>
        </is>
      </c>
      <c r="U44" t="inlineStr">
        <is>
          <t>237500</t>
        </is>
      </c>
      <c r="V44" t="inlineStr">
        <is>
          <t>oui</t>
        </is>
      </c>
      <c r="W44" t="inlineStr">
        <is>
          <t>Batiments</t>
        </is>
      </c>
      <c r="X44" t="inlineStr">
        <is>
          <t>Autre</t>
        </is>
      </c>
      <c r="Y44" t="inlineStr">
        <is>
          <t>SERVICES</t>
        </is>
      </c>
      <c r="Z44" t="inlineStr">
        <is>
          <t>Procédure Ouverte</t>
        </is>
      </c>
      <c r="AA44" t="inlineStr">
        <is>
          <t>Avis de marché</t>
        </is>
      </c>
      <c r="AB44" t="inlineStr">
        <is>
          <t>Nettoyage de locaux</t>
        </is>
      </c>
      <c r="AC44" t="inlineStr">
        <is>
          <t>['sociaux', 'environnementaux']</t>
        </is>
      </c>
      <c r="AD44" s="11" t="inlineStr">
        <is>
          <t>https://www.boamp.fr/pages/avis/?q=idweb:26-83490</t>
        </is>
      </c>
      <c r="AE44" t="inlineStr">
        <is>
          <t>https://marches.maximilien.fr/?page=Entreprise.EntrepriseAdvancedSearch&amp;AllCons&amp;id=944212&amp;orgAcronyme=a6q</t>
        </is>
      </c>
      <c r="AF44" t="inlineStr">
        <is>
          <t>https://marches.maximilien.fr/?page=Entreprise.EntrepriseAdvancedSearch&amp;AllCons&amp;id=944212&amp;orgAcronyme=a6q</t>
        </is>
      </c>
      <c r="AG44" t="inlineStr">
        <is>
          <t>nettoyage</t>
        </is>
      </c>
      <c r="AH44" t="inlineStr">
        <is>
          <t>3</t>
        </is>
      </c>
      <c r="AI44" t="inlineStr">
        <is>
          <t>68</t>
        </is>
      </c>
      <c r="AJ44" t="inlineStr">
        <is>
          <t>INFO_PARTIELLE</t>
        </is>
      </c>
      <c r="AK44" t="inlineStr">
        <is>
          <t>42.9</t>
        </is>
      </c>
      <c r="AL44" t="inlineStr">
        <is>
          <t>TIEDE</t>
        </is>
      </c>
      <c r="AM44" t="inlineStr"/>
      <c r="AN44" t="inlineStr"/>
      <c r="AO44" t="inlineStr"/>
      <c r="AP44" t="inlineStr"/>
      <c r="AQ44" t="inlineStr">
        <is>
          <t>IA_CONTACT_A_COMPLETER</t>
        </is>
      </c>
      <c r="AR44" t="inlineStr">
        <is>
          <t>Completer les champs manquants depuis l'avis source, le site acheteur ou le DCE.</t>
        </is>
      </c>
      <c r="AS44" t="inlineStr">
        <is>
          <t>adresse, ville</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26-83490. Objet: Nettoyage des bâtiments scolaires élémentaires, des accueils de loisirs et des gymnases intégrés. Acheteur: COMMUNE NOUVELLE DE SAINT-DENIS. Lien: https://www.boamp.fr/pages/avis/?q=idweb:26-83490.</t>
        </is>
      </c>
      <c r="AU44" t="inlineStr">
        <is>
          <t>Verifier url_avis et DCE si disponible</t>
        </is>
      </c>
      <c r="AV44" t="inlineStr"/>
      <c r="AW44" t="inlineStr"/>
      <c r="AX44" t="inlineStr"/>
      <c r="AY44" t="inlineStr"/>
      <c r="AZ44" t="inlineStr"/>
      <c r="BA44" t="inlineStr"/>
      <c r="BB44" t="inlineStr">
        <is>
          <t>+33.5 nettoyage + categorie claire (1 termes) | -1.6 budget annualise 237 500 EUR | +9.5 delai 28 j | +1.5 dossier renseigne (3/4)</t>
        </is>
      </c>
      <c r="BC44" t="inlineStr">
        <is>
          <t>COMMUNE NOUVELLE DE SAINT-DENIS publie un AO potentiellement pertinent pour CHRUTH : Nettoyage des bâtiments scolaires élémentaires, des accueils de loisirs et des gymnases intégrés. Zone : 93,74,75,77. Budget detecte environ 950 000 EUR. Verifier le lien source avant contact.</t>
        </is>
      </c>
      <c r="BD44" t="inlineStr">
        <is>
          <t>Bonjour,
Je me permets de vous contacter au sujet de votre appel d'offres : Nettoyage des bâtiments scolaires élémentaires, des accueils de loisirs et des gymnases intégrés.
CHRUTH accompagne les structures publiques et privées sur les besoins de nettoyage, d'entretien des locaux et d'organisation de prestations de service.
Serait-il possible d'échanger rapidement afin de vérifier les modalités de réponse et les attentes de COMMUNE NOUVELLE DE SAINT-DENIS ?
Cordialement,</t>
        </is>
      </c>
      <c r="BE44" t="inlineStr">
        <is>
          <t>Bonjour, je vous appelle concernant un appel d'offres publié par COMMUNE NOUVELLE DE SAINT-DENIS. Je souhaite vérifier les informations pratiques : périmètre des prestations, date limite, modalités de visite, contact technique et pièces attendues. Pouvez-vous m'indiquer la bonne personne à contacter ?</t>
        </is>
      </c>
      <c r="BF44" t="inlineStr"/>
      <c r="BG44" t="inlineStr"/>
      <c r="BH44" t="inlineStr"/>
      <c r="BI44" t="inlineStr"/>
      <c r="BJ44" t="inlineStr"/>
      <c r="BK44" t="inlineStr"/>
      <c r="BL44" t="inlineStr"/>
      <c r="BM44" t="inlineStr">
        <is>
          <t>2026-W35</t>
        </is>
      </c>
    </row>
    <row r="45">
      <c r="A45" t="inlineStr">
        <is>
          <t>BOAMP</t>
        </is>
      </c>
      <c r="B45" t="inlineStr">
        <is>
          <t>26-83694</t>
        </is>
      </c>
      <c r="C45" t="inlineStr">
        <is>
          <t>26SF09 - Maintenance du mobilier auto-relevable ou coulissant et du TCSP de la Communauté d'Agglomération de Cergy-Pontoise</t>
        </is>
      </c>
      <c r="D45" t="inlineStr">
        <is>
          <t>Communauté  d'Agglomération de Cergy-Pontoise</t>
        </is>
      </c>
      <c r="E45" t="inlineStr"/>
      <c r="F45" t="inlineStr"/>
      <c r="G45" t="inlineStr"/>
      <c r="H45" t="inlineStr"/>
      <c r="I45" t="inlineStr">
        <is>
          <t>publications-joue@aws-france.com</t>
        </is>
      </c>
      <c r="J45" t="inlineStr">
        <is>
          <t>+33480041260</t>
        </is>
      </c>
      <c r="K45" t="inlineStr"/>
      <c r="L45" t="inlineStr"/>
      <c r="M45" t="inlineStr"/>
      <c r="N45" t="inlineStr">
        <is>
          <t>95</t>
        </is>
      </c>
      <c r="O45" t="inlineStr"/>
      <c r="P45" t="inlineStr">
        <is>
          <t>Ile-de-France</t>
        </is>
      </c>
      <c r="Q45" s="15" t="n">
        <v>46262</v>
      </c>
      <c r="R45" s="15" t="n">
        <v>46295</v>
      </c>
      <c r="S45" s="14" t="n">
        <v>200000</v>
      </c>
      <c r="T45" t="inlineStr">
        <is>
          <t>BUDGET_EXPLICITE_OK</t>
        </is>
      </c>
      <c r="U45" t="inlineStr">
        <is>
          <t>200000</t>
        </is>
      </c>
      <c r="V45" t="inlineStr">
        <is>
          <t>oui</t>
        </is>
      </c>
      <c r="W45" t="inlineStr">
        <is>
          <t>Mixte/Autre</t>
        </is>
      </c>
      <c r="X45" t="inlineStr">
        <is>
          <t>Autre</t>
        </is>
      </c>
      <c r="Y45" t="inlineStr">
        <is>
          <t>SERVICES</t>
        </is>
      </c>
      <c r="Z45" t="inlineStr">
        <is>
          <t>Procédure Ouverte</t>
        </is>
      </c>
      <c r="AA45" t="inlineStr">
        <is>
          <t>Avis de marché</t>
        </is>
      </c>
      <c r="AB45" t="inlineStr">
        <is>
          <t>Maintenance</t>
        </is>
      </c>
      <c r="AC45" t="inlineStr">
        <is>
          <t>['environnementaux']</t>
        </is>
      </c>
      <c r="AD45" s="11" t="inlineStr">
        <is>
          <t>https://www.boamp.fr/pages/avis/?q=idweb:26-83694</t>
        </is>
      </c>
      <c r="AE45" t="inlineStr">
        <is>
          <t>https://www.marches-publics.info/mpiaws/index.cfm?fuseaction=dematEnt.login&amp;amp;type=DCE&amp;amp;IDM=1865399</t>
        </is>
      </c>
      <c r="AF45" t="inlineStr">
        <is>
          <t>https://www.marches-publics.info/mpiaws/index.cfm?fuseaction=dematEnt.login&amp;amp;type=DCE&amp;amp;IDM=1865399</t>
        </is>
      </c>
      <c r="AG45" t="inlineStr">
        <is>
          <t>nettoyage</t>
        </is>
      </c>
      <c r="AH45" t="inlineStr">
        <is>
          <t>2</t>
        </is>
      </c>
      <c r="AI45" t="inlineStr">
        <is>
          <t>58</t>
        </is>
      </c>
      <c r="AJ45" t="inlineStr">
        <is>
          <t>INFO_PARTIELLE</t>
        </is>
      </c>
      <c r="AK45" t="inlineStr">
        <is>
          <t>41.2</t>
        </is>
      </c>
      <c r="AL45" t="inlineStr">
        <is>
          <t>TIEDE</t>
        </is>
      </c>
      <c r="AM45" t="inlineStr"/>
      <c r="AN45" t="inlineStr"/>
      <c r="AO45" t="inlineStr"/>
      <c r="AP45" t="inlineStr"/>
      <c r="AQ45" t="inlineStr">
        <is>
          <t>IA_CONTACT_A_COMPLETER</t>
        </is>
      </c>
      <c r="AR45" t="inlineStr">
        <is>
          <t>Completer les champs manquants depuis l'avis source, le site acheteur ou le DCE.</t>
        </is>
      </c>
      <c r="AS45" t="inlineStr">
        <is>
          <t>SIRET, 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26-83694. Objet: 26SF09 - Maintenance du mobilier auto-relevable ou coulissant et du TCSP de la Communauté d'Agglomération de Cergy-Pontoise. Acheteur: Communauté  d'Agglomération de Cergy-Pontoise. Lien: https://www.boamp.fr/pages/avis/?q=idweb:26-83694.</t>
        </is>
      </c>
      <c r="AU45" t="inlineStr">
        <is>
          <t>Verifier url_avis et DCE si disponible</t>
        </is>
      </c>
      <c r="AV45" t="inlineStr"/>
      <c r="AW45" t="inlineStr"/>
      <c r="AX45" t="inlineStr"/>
      <c r="AY45" t="inlineStr"/>
      <c r="AZ45" t="inlineStr"/>
      <c r="BA45" t="inlineStr"/>
      <c r="BB45" t="inlineStr">
        <is>
          <t>+28.5 mots-cles nettoyage forts (1 termes) | +1.2 budget annualise 200 000 EUR | +10.0 delai 30 j | +1.5 dossier renseigne (3/4)</t>
        </is>
      </c>
      <c r="BC45" t="inlineStr">
        <is>
          <t>Communauté  d'Agglomération de Cergy-Pontoise publie un AO potentiellement pertinent pour CHRUTH : 26SF09 - Maintenance du mobilier auto-relevable ou coulissant et du TCSP de la Communauté d'Agglomération de Cergy-Pontoise. Zone : 95. Budget detecte environ 200 000 EUR. Verifier le lien source avant contact.</t>
        </is>
      </c>
      <c r="BD45" t="inlineStr">
        <is>
          <t>Bonjour,
Je me permets de vous contacter au sujet de votre appel d'offres : 26SF09 - Maintenance du mobilier auto-relevable ou coulissant et du TCSP de la Communauté d'Agglomération de Cergy-Pontoise.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de Cergy-Pontoise ?
Cordialement,</t>
        </is>
      </c>
      <c r="BE45" t="inlineStr">
        <is>
          <t>Bonjour, je vous appelle concernant un appel d'offres publié par Communauté  d'Agglomération de Cergy-Pontoise.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2026-W35</t>
        </is>
      </c>
    </row>
    <row r="46">
      <c r="A46" t="inlineStr">
        <is>
          <t>BOAMP</t>
        </is>
      </c>
      <c r="B46" t="inlineStr">
        <is>
          <t>26-70259</t>
        </is>
      </c>
      <c r="C46" t="inlineStr">
        <is>
          <t>Marché de prestations de gardiennage lors de manifestations sur sites
Le titulaire du présent marché sera capable d'assurer sa mission de gardiennage dans le cadre d'interventions planifiée</t>
        </is>
      </c>
      <c r="D46" t="inlineStr">
        <is>
          <t>Mairie de Sannois</t>
        </is>
      </c>
      <c r="E46" t="inlineStr"/>
      <c r="F46" t="inlineStr"/>
      <c r="G46" t="inlineStr"/>
      <c r="H46" t="inlineStr"/>
      <c r="I46" t="inlineStr">
        <is>
          <t>publications-joue@aws-france.com</t>
        </is>
      </c>
      <c r="J46" t="inlineStr">
        <is>
          <t>+33480041260</t>
        </is>
      </c>
      <c r="K46" t="inlineStr"/>
      <c r="L46" t="inlineStr"/>
      <c r="M46" t="inlineStr"/>
      <c r="N46" t="inlineStr">
        <is>
          <t>95</t>
        </is>
      </c>
      <c r="O46" t="inlineStr"/>
      <c r="P46" t="inlineStr">
        <is>
          <t>Ile-de-France</t>
        </is>
      </c>
      <c r="Q46" s="15" t="n">
        <v>46219</v>
      </c>
      <c r="R46" s="15" t="n">
        <v>46251</v>
      </c>
      <c r="S46" s="14" t="n">
        <v>55000</v>
      </c>
      <c r="T46" t="inlineStr">
        <is>
          <t>BUDGET_SOUS_SEUIL</t>
        </is>
      </c>
      <c r="U46" t="inlineStr">
        <is>
          <t>55000.0</t>
        </is>
      </c>
      <c r="V46" t="inlineStr">
        <is>
          <t>non</t>
        </is>
      </c>
      <c r="W46" t="inlineStr">
        <is>
          <t>Personnel</t>
        </is>
      </c>
      <c r="X46" t="inlineStr">
        <is>
          <t>Mairie</t>
        </is>
      </c>
      <c r="Y46" t="inlineStr">
        <is>
          <t>SERVICES</t>
        </is>
      </c>
      <c r="Z46" t="inlineStr">
        <is>
          <t>Procédure Ouverte</t>
        </is>
      </c>
      <c r="AA46" t="inlineStr">
        <is>
          <t>Avis de marché</t>
        </is>
      </c>
      <c r="AB46" t="inlineStr">
        <is>
          <t>Gardiennage, Prestations de services, Surveillance</t>
        </is>
      </c>
      <c r="AC46" t="inlineStr">
        <is>
          <t>['sociaux', 'environnementaux']</t>
        </is>
      </c>
      <c r="AD46" s="11" t="inlineStr">
        <is>
          <t>https://www.boamp.fr/pages/avis/?q=idweb:26-70259</t>
        </is>
      </c>
      <c r="AE46" t="inlineStr">
        <is>
          <t>https://www.achatpublic.com/</t>
        </is>
      </c>
      <c r="AF46" t="inlineStr">
        <is>
          <t>https://www.achatpublic.com/</t>
        </is>
      </c>
      <c r="AG46" t="inlineStr"/>
      <c r="AH46" t="inlineStr">
        <is>
          <t>2</t>
        </is>
      </c>
      <c r="AI46" t="inlineStr">
        <is>
          <t>50</t>
        </is>
      </c>
      <c r="AJ46" t="inlineStr">
        <is>
          <t>INFO_PARTIELLE</t>
        </is>
      </c>
      <c r="AK46" t="inlineStr">
        <is>
          <t>40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SIRET, 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46" t="inlineStr">
        <is>
          <t>Verifier url_avis et DCE si disponible</t>
        </is>
      </c>
      <c r="AV46" t="inlineStr"/>
      <c r="AW46" t="inlineStr"/>
      <c r="AX46" t="inlineStr"/>
      <c r="AY46" t="inlineStr"/>
      <c r="AZ46" t="inlineStr"/>
      <c r="BA46" t="inlineStr"/>
      <c r="BB46" t="inlineStr">
        <is>
          <t>0 pertinence metier faible | +20 budget annualise &lt;= 100 000 EUR | +10 secteur cible Mairie | +10 delai confortable 20j</t>
        </is>
      </c>
      <c r="BC46"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46"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46"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s>
  <pageMargins left="0.75" right="0.75" top="1" bottom="1" header="0.5" footer="0.5"/>
  <tableParts count="1">
    <tablePart xmlns:r="http://schemas.openxmlformats.org/officeDocument/2006/relationships" r:id="rId46"/>
  </tableParts>
</worksheet>
</file>

<file path=xl/worksheets/sheet11.xml><?xml version="1.0" encoding="utf-8"?>
<worksheet xmlns="http://schemas.openxmlformats.org/spreadsheetml/2006/main">
  <sheetPr>
    <outlinePr summaryBelow="1" summaryRight="1"/>
    <pageSetUpPr/>
  </sheetPr>
  <dimension ref="A1:D5"/>
  <sheetViews>
    <sheetView workbookViewId="0">
      <pane ySplit="1" topLeftCell="A2" activePane="bottomLeft" state="frozen"/>
      <selection pane="bottomLeft" activeCell="A1" sqref="A1"/>
    </sheetView>
  </sheetViews>
  <sheetFormatPr baseColWidth="8" defaultRowHeight="15"/>
  <cols>
    <col width="24" customWidth="1" min="1" max="1"/>
    <col width="55" customWidth="1" min="2" max="2"/>
    <col width="55" customWidth="1" min="3" max="3"/>
    <col width="55" customWidth="1" min="4" max="4"/>
  </cols>
  <sheetData>
    <row r="1">
      <c r="A1" s="12" t="inlineStr">
        <is>
          <t>cas</t>
        </is>
      </c>
      <c r="B1" s="12" t="inlineStr">
        <is>
          <t>quand_utiliser</t>
        </is>
      </c>
      <c r="C1" s="12" t="inlineStr">
        <is>
          <t>action_agent</t>
        </is>
      </c>
      <c r="D1" s="12" t="inlineStr">
        <is>
          <t>sortie_attendue</t>
        </is>
      </c>
    </row>
    <row r="2">
      <c r="A2" t="inlineStr">
        <is>
          <t>IA_DCE_REQUISE</t>
        </is>
      </c>
      <c r="B2" t="inlineStr">
        <is>
          <t>La ligne manque de contact, budget ou informations critiques.</t>
        </is>
      </c>
      <c r="C2" t="inlineStr">
        <is>
          <t>Lire l'avis source, puis telecharger ou consulter le DCE si necessaire.</t>
        </is>
      </c>
      <c r="D2" t="inlineStr">
        <is>
          <t>Champs complets ou mention 'non trouve' avec preuve.</t>
        </is>
      </c>
    </row>
    <row r="3">
      <c r="A3" t="inlineStr">
        <is>
          <t>IA_BUDGET_A_VERIFIER</t>
        </is>
      </c>
      <c r="B3" t="inlineStr">
        <is>
          <t>Le budget n'est pas explicite dans la ligne Excel.</t>
        </is>
      </c>
      <c r="C3" t="inlineStr">
        <is>
          <t>Chercher montant, valeur estimee, montant maximum ou accord-cadre dans l'avis/DCE.</t>
        </is>
      </c>
      <c r="D3" t="inlineStr">
        <is>
          <t>Budget confirme, budget non trouve, ou budget sous seuil.</t>
        </is>
      </c>
    </row>
    <row r="4">
      <c r="A4" t="inlineStr">
        <is>
          <t>IA_CONTACT_A_COMPLETER</t>
        </is>
      </c>
      <c r="B4" t="inlineStr">
        <is>
          <t>Email, telephone, SIRET, adresse ou ville manquent.</t>
        </is>
      </c>
      <c r="C4" t="inlineStr">
        <is>
          <t>Chercher dans l'avis, le profil acheteur, le site institutionnel et le DCE.</t>
        </is>
      </c>
      <c r="D4" t="inlineStr">
        <is>
          <t>Coordonnees verifiees et source de preuve.</t>
        </is>
      </c>
    </row>
    <row r="5">
      <c r="A5" t="inlineStr">
        <is>
          <t>IA_CONTROLE_SOURCE</t>
        </is>
      </c>
      <c r="B5" t="inlineStr">
        <is>
          <t>La ligne semble complete.</t>
        </is>
      </c>
      <c r="C5" t="inlineStr">
        <is>
          <t>Verifier que l'objet, le delai, le budget et le perimetre correspondent bien a CHRUTH.</t>
        </is>
      </c>
      <c r="D5" t="inlineStr">
        <is>
          <t>Decision : contacter, surveiller, non pertinent.</t>
        </is>
      </c>
    </row>
  </sheetData>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outlinePr summaryBelow="1" summaryRight="1"/>
    <pageSetUpPr/>
  </sheetPr>
  <dimension ref="A1:C17"/>
  <sheetViews>
    <sheetView workbookViewId="0">
      <pane ySplit="1" topLeftCell="A2" activePane="bottomLeft" state="frozen"/>
      <selection pane="bottomLeft" activeCell="A1" sqref="A1"/>
    </sheetView>
  </sheetViews>
  <sheetFormatPr baseColWidth="8" defaultRowHeight="15"/>
  <cols>
    <col width="20" customWidth="1" min="1" max="1"/>
    <col width="53" customWidth="1" min="2" max="2"/>
    <col width="12" customWidth="1" min="3" max="3"/>
  </cols>
  <sheetData>
    <row r="1">
      <c r="A1" s="12" t="inlineStr">
        <is>
          <t>critere</t>
        </is>
      </c>
      <c r="B1" s="12" t="inlineStr">
        <is>
          <t>regle</t>
        </is>
      </c>
      <c r="C1" s="12" t="inlineStr">
        <is>
          <t>points</t>
        </is>
      </c>
    </row>
    <row r="2">
      <c r="A2" t="inlineStr">
        <is>
          <t>Nettoyage</t>
        </is>
      </c>
      <c r="B2" t="inlineStr">
        <is>
          <t>Mot-cle fort + categorie claire</t>
        </is>
      </c>
      <c r="C2" t="n">
        <v>35</v>
      </c>
    </row>
    <row r="3">
      <c r="A3" t="inlineStr">
        <is>
          <t>Nettoyage</t>
        </is>
      </c>
      <c r="B3" t="inlineStr">
        <is>
          <t>Mot-cle secondaire seulement</t>
        </is>
      </c>
      <c r="C3" t="n">
        <v>15</v>
      </c>
    </row>
    <row r="4">
      <c r="A4" t="inlineStr">
        <is>
          <t>Budget (annualise)</t>
        </is>
      </c>
      <c r="B4" t="inlineStr">
        <is>
          <t>&lt;= 50 000 EUR / an (cible PME)</t>
        </is>
      </c>
      <c r="C4" t="n">
        <v>25</v>
      </c>
    </row>
    <row r="5">
      <c r="A5" t="inlineStr">
        <is>
          <t>Budget (annualise)</t>
        </is>
      </c>
      <c r="B5" t="inlineStr">
        <is>
          <t>50 000 - 100 000 EUR / an</t>
        </is>
      </c>
      <c r="C5" t="n">
        <v>20</v>
      </c>
    </row>
    <row r="6">
      <c r="A6" t="inlineStr">
        <is>
          <t>Budget (annualise)</t>
        </is>
      </c>
      <c r="B6" t="inlineStr">
        <is>
          <t>100 000 - 200 000 EUR / an</t>
        </is>
      </c>
      <c r="C6" t="n">
        <v>5</v>
      </c>
    </row>
    <row r="7">
      <c r="A7" t="inlineStr">
        <is>
          <t>Budget (annualise)</t>
        </is>
      </c>
      <c r="B7" t="inlineStr">
        <is>
          <t>200 000 - 500 000 EUR / an</t>
        </is>
      </c>
      <c r="C7" t="n">
        <v>-10</v>
      </c>
    </row>
    <row r="8">
      <c r="A8" t="inlineStr">
        <is>
          <t>Budget (annualise)</t>
        </is>
      </c>
      <c r="B8" t="inlineStr">
        <is>
          <t>&gt; 500 000 EUR / an (gros groupe)</t>
        </is>
      </c>
      <c r="C8" t="n">
        <v>-20</v>
      </c>
    </row>
    <row r="9">
      <c r="A9" t="inlineStr">
        <is>
          <t>Budget (annualise)</t>
        </is>
      </c>
      <c r="B9" t="inlineStr">
        <is>
          <t>Non affiche (frequent MAPA)</t>
        </is>
      </c>
      <c r="C9" t="n">
        <v>10</v>
      </c>
    </row>
    <row r="10">
      <c r="A10" t="inlineStr">
        <is>
          <t>Procedure</t>
        </is>
      </c>
      <c r="B10" t="inlineStr">
        <is>
          <t>Procedure adaptee / MAPA / allotissement</t>
        </is>
      </c>
      <c r="C10" t="n">
        <v>15</v>
      </c>
    </row>
    <row r="11">
      <c r="A11" t="inlineStr">
        <is>
          <t>Secteur cible</t>
        </is>
      </c>
      <c r="B11" t="inlineStr">
        <is>
          <t>Ecole / mairie / bat. admin / gymnase / mediatheque</t>
        </is>
      </c>
      <c r="C11" t="n">
        <v>10</v>
      </c>
    </row>
    <row r="12">
      <c r="A12" t="inlineStr">
        <is>
          <t>Delai</t>
        </is>
      </c>
      <c r="B12" t="inlineStr">
        <is>
          <t>Date limite confortable (&gt; 15 j)</t>
        </is>
      </c>
      <c r="C12" t="n">
        <v>10</v>
      </c>
    </row>
    <row r="13">
      <c r="A13" t="inlineStr">
        <is>
          <t>Delai</t>
        </is>
      </c>
      <c r="B13" t="inlineStr">
        <is>
          <t>Delai critique (&lt; 5 j)</t>
        </is>
      </c>
      <c r="C13" t="n">
        <v>-15</v>
      </c>
    </row>
    <row r="14">
      <c r="A14" t="inlineStr">
        <is>
          <t>Delai</t>
        </is>
      </c>
      <c r="B14" t="inlineStr">
        <is>
          <t>AO expire</t>
        </is>
      </c>
      <c r="C14" t="n">
        <v>-30</v>
      </c>
    </row>
    <row r="15">
      <c r="A15" t="inlineStr">
        <is>
          <t>Priorite</t>
        </is>
      </c>
      <c r="B15" t="inlineStr">
        <is>
          <t>Score &gt;= 65 et confiance suffisante</t>
        </is>
      </c>
      <c r="C15" t="inlineStr">
        <is>
          <t>CHAUD</t>
        </is>
      </c>
    </row>
    <row r="16">
      <c r="A16" t="inlineStr">
        <is>
          <t>Priorite</t>
        </is>
      </c>
      <c r="B16" t="inlineStr">
        <is>
          <t>Score &gt;= 40</t>
        </is>
      </c>
      <c r="C16" t="inlineStr">
        <is>
          <t>TIEDE</t>
        </is>
      </c>
    </row>
    <row r="17">
      <c r="A17" t="inlineStr">
        <is>
          <t>Priorite</t>
        </is>
      </c>
      <c r="B17" t="inlineStr">
        <is>
          <t>DCE requis / confiance faible</t>
        </is>
      </c>
      <c r="C17" t="inlineStr">
        <is>
          <t>A_VERIFIER</t>
        </is>
      </c>
    </row>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outlinePr summaryBelow="1" summaryRight="1"/>
    <pageSetUpPr/>
  </sheetPr>
  <dimension ref="A1:G79"/>
  <sheetViews>
    <sheetView workbookViewId="0">
      <pane ySplit="1" topLeftCell="A2" activePane="bottomLeft" state="frozen"/>
      <selection pane="bottomLeft" activeCell="A1" sqref="A1"/>
    </sheetView>
  </sheetViews>
  <sheetFormatPr baseColWidth="8" defaultRowHeight="15"/>
  <cols>
    <col width="55" customWidth="1" min="1" max="1"/>
    <col width="16" customWidth="1" min="2" max="2"/>
    <col width="10" customWidth="1" min="3" max="3"/>
    <col width="11" customWidth="1" min="4" max="4"/>
    <col width="14" customWidth="1" min="5" max="5"/>
    <col width="25" customWidth="1" min="6" max="6"/>
    <col width="12" customWidth="1" min="7" max="7"/>
  </cols>
  <sheetData>
    <row r="1">
      <c r="A1" s="12" t="inlineStr">
        <is>
          <t>acheteur</t>
        </is>
      </c>
      <c r="B1" s="12" t="inlineStr">
        <is>
          <t>siret_acheteur</t>
        </is>
      </c>
      <c r="C1" s="12" t="inlineStr">
        <is>
          <t>nb_ao</t>
        </is>
      </c>
      <c r="D1" s="12" t="inlineStr">
        <is>
          <t>score_max</t>
        </is>
      </c>
      <c r="E1" s="12" t="inlineStr">
        <is>
          <t>priorites</t>
        </is>
      </c>
      <c r="F1" s="12" t="inlineStr">
        <is>
          <t>villes</t>
        </is>
      </c>
      <c r="G1" s="12" t="inlineStr">
        <is>
          <t>dernier_ao</t>
        </is>
      </c>
    </row>
    <row r="2">
      <c r="A2" t="inlineStr">
        <is>
          <t>VILLE de PARIS - DFA - SDA</t>
        </is>
      </c>
      <c r="B2" t="inlineStr">
        <is>
          <t>21750001600019</t>
        </is>
      </c>
      <c r="C2" t="n">
        <v>2</v>
      </c>
      <c r="D2" t="n">
        <v>89.8</v>
      </c>
      <c r="E2" t="inlineStr">
        <is>
          <t>CHAUD, FROID</t>
        </is>
      </c>
      <c r="F2" t="inlineStr"/>
      <c r="G2" t="inlineStr">
        <is>
          <t>2026-08-26</t>
        </is>
      </c>
    </row>
    <row r="3">
      <c r="A3" t="inlineStr">
        <is>
          <t>VILLE DE LOUVRES</t>
        </is>
      </c>
      <c r="B3" t="inlineStr">
        <is>
          <t>21950351300018</t>
        </is>
      </c>
      <c r="C3" t="n">
        <v>1</v>
      </c>
      <c r="D3" t="n">
        <v>80.5</v>
      </c>
      <c r="E3" t="inlineStr">
        <is>
          <t>CHAUD</t>
        </is>
      </c>
      <c r="F3" t="inlineStr"/>
      <c r="G3" t="inlineStr">
        <is>
          <t>2026-08-27</t>
        </is>
      </c>
    </row>
    <row r="4">
      <c r="A4" t="inlineStr">
        <is>
          <t>Ville de Gennevilliers</t>
        </is>
      </c>
      <c r="B4" t="inlineStr"/>
      <c r="C4" t="n">
        <v>1</v>
      </c>
      <c r="D4" t="n">
        <v>80</v>
      </c>
      <c r="E4" t="inlineStr">
        <is>
          <t>CHAUD</t>
        </is>
      </c>
      <c r="F4" t="inlineStr"/>
      <c r="G4" t="inlineStr">
        <is>
          <t>2026-07-24</t>
        </is>
      </c>
    </row>
    <row r="5">
      <c r="A5" t="inlineStr">
        <is>
          <t>COMMUNE DE SAINT-DENIS</t>
        </is>
      </c>
      <c r="B5" t="inlineStr">
        <is>
          <t>92993941100013</t>
        </is>
      </c>
      <c r="C5" t="n">
        <v>1</v>
      </c>
      <c r="D5" t="n">
        <v>78.8</v>
      </c>
      <c r="E5" t="inlineStr">
        <is>
          <t>CHAUD</t>
        </is>
      </c>
      <c r="F5" t="inlineStr"/>
      <c r="G5" t="inlineStr">
        <is>
          <t>2026-08-22</t>
        </is>
      </c>
    </row>
    <row r="6">
      <c r="A6" t="inlineStr">
        <is>
          <t>Mairie de Maule</t>
        </is>
      </c>
      <c r="B6" t="inlineStr"/>
      <c r="C6" t="n">
        <v>1</v>
      </c>
      <c r="D6" t="n">
        <v>75.5</v>
      </c>
      <c r="E6" t="inlineStr">
        <is>
          <t>CHAUD</t>
        </is>
      </c>
      <c r="F6" t="inlineStr">
        <is>
          <t>Maule</t>
        </is>
      </c>
      <c r="G6" t="inlineStr">
        <is>
          <t>2026-08-25</t>
        </is>
      </c>
    </row>
    <row r="7">
      <c r="A7" t="inlineStr">
        <is>
          <t>ENSA Paris-La Villette</t>
        </is>
      </c>
      <c r="B7" t="inlineStr">
        <is>
          <t>19751875600014</t>
        </is>
      </c>
      <c r="C7" t="n">
        <v>1</v>
      </c>
      <c r="D7" t="n">
        <v>75</v>
      </c>
      <c r="E7" t="inlineStr">
        <is>
          <t>CHAUD</t>
        </is>
      </c>
      <c r="F7" t="inlineStr">
        <is>
          <t>Paris</t>
        </is>
      </c>
      <c r="G7" t="inlineStr">
        <is>
          <t>2026-07-23</t>
        </is>
      </c>
    </row>
    <row r="8">
      <c r="A8" t="inlineStr">
        <is>
          <t>Mairie de Montreuil</t>
        </is>
      </c>
      <c r="B8" t="inlineStr">
        <is>
          <t>21930048000015</t>
        </is>
      </c>
      <c r="C8" t="n">
        <v>1</v>
      </c>
      <c r="D8" t="n">
        <v>75</v>
      </c>
      <c r="E8" t="inlineStr">
        <is>
          <t>CHAUD</t>
        </is>
      </c>
      <c r="F8" t="inlineStr">
        <is>
          <t>Montreuil</t>
        </is>
      </c>
      <c r="G8" t="inlineStr">
        <is>
          <t>2026-07-20</t>
        </is>
      </c>
    </row>
    <row r="9">
      <c r="A9" t="inlineStr">
        <is>
          <t>Mairie de Roissy-en-Brie</t>
        </is>
      </c>
      <c r="B9" t="inlineStr">
        <is>
          <t>21770390900010</t>
        </is>
      </c>
      <c r="C9" t="n">
        <v>1</v>
      </c>
      <c r="D9" t="n">
        <v>75</v>
      </c>
      <c r="E9" t="inlineStr">
        <is>
          <t>CHAUD</t>
        </is>
      </c>
      <c r="F9" t="inlineStr">
        <is>
          <t>ROISSY EN BRIE</t>
        </is>
      </c>
      <c r="G9" t="inlineStr">
        <is>
          <t>2026-07-27</t>
        </is>
      </c>
    </row>
    <row r="10">
      <c r="A10" t="inlineStr">
        <is>
          <t>Ville de Longjumeau</t>
        </is>
      </c>
      <c r="B10" t="inlineStr">
        <is>
          <t>21910345400225</t>
        </is>
      </c>
      <c r="C10" t="n">
        <v>1</v>
      </c>
      <c r="D10" t="n">
        <v>73.5</v>
      </c>
      <c r="E10" t="inlineStr">
        <is>
          <t>CHAUD</t>
        </is>
      </c>
      <c r="F10" t="inlineStr"/>
      <c r="G10" t="inlineStr">
        <is>
          <t>2026-08-18</t>
        </is>
      </c>
    </row>
    <row r="11">
      <c r="A11" t="inlineStr">
        <is>
          <t>SAEM de construction Maisons-Laffitte</t>
        </is>
      </c>
      <c r="B11" t="inlineStr"/>
      <c r="C11" t="n">
        <v>1</v>
      </c>
      <c r="D11" t="n">
        <v>71</v>
      </c>
      <c r="E11" t="inlineStr">
        <is>
          <t>CHAUD</t>
        </is>
      </c>
      <c r="F11" t="inlineStr">
        <is>
          <t>Maisons-Laffitte Cedex</t>
        </is>
      </c>
      <c r="G11" t="inlineStr">
        <is>
          <t>2026-08-14</t>
        </is>
      </c>
    </row>
    <row r="12">
      <c r="A12" t="inlineStr">
        <is>
          <t>Mairie De Gouvernes</t>
        </is>
      </c>
      <c r="B12" t="inlineStr">
        <is>
          <t>21770209100018</t>
        </is>
      </c>
      <c r="C12" t="n">
        <v>1</v>
      </c>
      <c r="D12" t="n">
        <v>70.5</v>
      </c>
      <c r="E12" t="inlineStr">
        <is>
          <t>CHAUD</t>
        </is>
      </c>
      <c r="F12" t="inlineStr">
        <is>
          <t>GOUVERNES</t>
        </is>
      </c>
      <c r="G12" t="inlineStr">
        <is>
          <t>2026-08-06</t>
        </is>
      </c>
    </row>
    <row r="13">
      <c r="A13" t="inlineStr">
        <is>
          <t>COMMUNE DE MAGNY LE HONGRE</t>
        </is>
      </c>
      <c r="B13" t="inlineStr">
        <is>
          <t>21770268700013</t>
        </is>
      </c>
      <c r="C13" t="n">
        <v>1</v>
      </c>
      <c r="D13" t="n">
        <v>70</v>
      </c>
      <c r="E13" t="inlineStr">
        <is>
          <t>CHAUD</t>
        </is>
      </c>
      <c r="F13" t="inlineStr">
        <is>
          <t>MAGNY LE HONGRE</t>
        </is>
      </c>
      <c r="G13" t="inlineStr">
        <is>
          <t>2026-07-15</t>
        </is>
      </c>
    </row>
    <row r="14">
      <c r="A14" t="inlineStr">
        <is>
          <t>EPAMSA</t>
        </is>
      </c>
      <c r="B14" t="inlineStr">
        <is>
          <t>41063810000033</t>
        </is>
      </c>
      <c r="C14" t="n">
        <v>1</v>
      </c>
      <c r="D14" t="n">
        <v>70</v>
      </c>
      <c r="E14" t="inlineStr">
        <is>
          <t>CHAUD</t>
        </is>
      </c>
      <c r="F14" t="inlineStr">
        <is>
          <t>MANTES-LA-JOLIE</t>
        </is>
      </c>
      <c r="G14" t="inlineStr">
        <is>
          <t>2026-07-16</t>
        </is>
      </c>
    </row>
    <row r="15">
      <c r="A15" t="inlineStr">
        <is>
          <t>Mairie de Bonneuil sur Marne</t>
        </is>
      </c>
      <c r="B15" t="inlineStr">
        <is>
          <t>21940011600014</t>
        </is>
      </c>
      <c r="C15" t="n">
        <v>1</v>
      </c>
      <c r="D15" t="n">
        <v>69.90000000000001</v>
      </c>
      <c r="E15" t="inlineStr">
        <is>
          <t>CHAUD</t>
        </is>
      </c>
      <c r="F15" t="inlineStr">
        <is>
          <t>Bonneuil-sur-Marne</t>
        </is>
      </c>
      <c r="G15" t="inlineStr">
        <is>
          <t>2026-08-26</t>
        </is>
      </c>
    </row>
    <row r="16">
      <c r="A16" t="inlineStr">
        <is>
          <t>Mairie d'Emerainville</t>
        </is>
      </c>
      <c r="B16" t="inlineStr">
        <is>
          <t>21770169700013</t>
        </is>
      </c>
      <c r="C16" t="n">
        <v>1</v>
      </c>
      <c r="D16" t="n">
        <v>66</v>
      </c>
      <c r="E16" t="inlineStr">
        <is>
          <t>CHAUD</t>
        </is>
      </c>
      <c r="F16" t="inlineStr"/>
      <c r="G16" t="inlineStr">
        <is>
          <t>2026-08-30</t>
        </is>
      </c>
    </row>
    <row r="17">
      <c r="A17" t="inlineStr">
        <is>
          <t>Seine Spport Culture</t>
        </is>
      </c>
      <c r="B17" t="inlineStr">
        <is>
          <t>99057630800011</t>
        </is>
      </c>
      <c r="C17" t="n">
        <v>1</v>
      </c>
      <c r="D17" t="n">
        <v>65.5</v>
      </c>
      <c r="E17" t="inlineStr">
        <is>
          <t>CHAUD</t>
        </is>
      </c>
      <c r="F17" t="inlineStr"/>
      <c r="G17" t="inlineStr">
        <is>
          <t>2026-08-08</t>
        </is>
      </c>
    </row>
    <row r="18">
      <c r="A18" t="inlineStr">
        <is>
          <t>VILLE DE MELUN, Pôle ressources, Services à la population et Transition Ecologique</t>
        </is>
      </c>
      <c r="B18" t="inlineStr">
        <is>
          <t>21770288500013</t>
        </is>
      </c>
      <c r="C18" t="n">
        <v>1</v>
      </c>
      <c r="D18" t="n">
        <v>65.2</v>
      </c>
      <c r="E18" t="inlineStr">
        <is>
          <t>CHAUD</t>
        </is>
      </c>
      <c r="F18" t="inlineStr"/>
      <c r="G18" t="inlineStr">
        <is>
          <t>2026-08-16</t>
        </is>
      </c>
    </row>
    <row r="19">
      <c r="A19" t="inlineStr">
        <is>
          <t>Centre Monuments Nationaux</t>
        </is>
      </c>
      <c r="B19" t="inlineStr">
        <is>
          <t>18004601300017</t>
        </is>
      </c>
      <c r="C19" t="n">
        <v>1</v>
      </c>
      <c r="D19" t="n">
        <v>65</v>
      </c>
      <c r="E19" t="inlineStr">
        <is>
          <t>CHAUD</t>
        </is>
      </c>
      <c r="F19" t="inlineStr"/>
      <c r="G19" t="inlineStr">
        <is>
          <t>2026-07-23</t>
        </is>
      </c>
    </row>
    <row r="20">
      <c r="A20" t="inlineStr">
        <is>
          <t>Département des Hauts-de-Seine</t>
        </is>
      </c>
      <c r="B20" t="inlineStr">
        <is>
          <t>22920050600611</t>
        </is>
      </c>
      <c r="C20" t="n">
        <v>1</v>
      </c>
      <c r="D20" t="n">
        <v>65</v>
      </c>
      <c r="E20" t="inlineStr">
        <is>
          <t>CHAUD</t>
        </is>
      </c>
      <c r="F20" t="inlineStr">
        <is>
          <t>NANTERRE</t>
        </is>
      </c>
      <c r="G20" t="inlineStr">
        <is>
          <t>2026-07-17</t>
        </is>
      </c>
    </row>
    <row r="21">
      <c r="A21" t="inlineStr">
        <is>
          <t>Ville de Levallois</t>
        </is>
      </c>
      <c r="B21" t="inlineStr"/>
      <c r="C21" t="n">
        <v>1</v>
      </c>
      <c r="D21" t="n">
        <v>65</v>
      </c>
      <c r="E21" t="inlineStr">
        <is>
          <t>CHAUD</t>
        </is>
      </c>
      <c r="F21" t="inlineStr"/>
      <c r="G21" t="inlineStr">
        <is>
          <t>2026-08-23</t>
        </is>
      </c>
    </row>
    <row r="22">
      <c r="A22" t="inlineStr">
        <is>
          <t>Ville de Montrouge</t>
        </is>
      </c>
      <c r="B22" t="inlineStr"/>
      <c r="C22" t="n">
        <v>1</v>
      </c>
      <c r="D22" t="n">
        <v>65</v>
      </c>
      <c r="E22" t="inlineStr">
        <is>
          <t>CHAUD</t>
        </is>
      </c>
      <c r="F22" t="inlineStr">
        <is>
          <t>Montrouge cedex</t>
        </is>
      </c>
      <c r="G22" t="inlineStr">
        <is>
          <t>2026-07-16</t>
        </is>
      </c>
    </row>
    <row r="23">
      <c r="A23" t="inlineStr">
        <is>
          <t>ville de sceaux</t>
        </is>
      </c>
      <c r="B23" t="inlineStr">
        <is>
          <t>21920071400018</t>
        </is>
      </c>
      <c r="C23" t="n">
        <v>1</v>
      </c>
      <c r="D23" t="n">
        <v>64.8</v>
      </c>
      <c r="E23" t="inlineStr">
        <is>
          <t>TIEDE</t>
        </is>
      </c>
      <c r="F23" t="inlineStr"/>
      <c r="G23" t="inlineStr">
        <is>
          <t>2026-08-28</t>
        </is>
      </c>
    </row>
    <row r="24">
      <c r="A24" t="inlineStr">
        <is>
          <t>Ville de Sarcelles</t>
        </is>
      </c>
      <c r="B24" t="inlineStr">
        <is>
          <t>21950585600019</t>
        </is>
      </c>
      <c r="C24" t="n">
        <v>1</v>
      </c>
      <c r="D24" t="n">
        <v>64.2</v>
      </c>
      <c r="E24" t="inlineStr">
        <is>
          <t>TIEDE</t>
        </is>
      </c>
      <c r="F24" t="inlineStr"/>
      <c r="G24" t="inlineStr">
        <is>
          <t>2026-08-14</t>
        </is>
      </c>
    </row>
    <row r="25">
      <c r="A25" t="inlineStr">
        <is>
          <t>Commune de Villepreux</t>
        </is>
      </c>
      <c r="B25" t="inlineStr">
        <is>
          <t>21780674400108</t>
        </is>
      </c>
      <c r="C25" t="n">
        <v>1</v>
      </c>
      <c r="D25" t="n">
        <v>62</v>
      </c>
      <c r="E25" t="inlineStr">
        <is>
          <t>TIEDE</t>
        </is>
      </c>
      <c r="F25" t="inlineStr"/>
      <c r="G25" t="inlineStr">
        <is>
          <t>2026-08-21</t>
        </is>
      </c>
    </row>
    <row r="26">
      <c r="A26" t="inlineStr">
        <is>
          <t>Grand Paris Seine Ouest</t>
        </is>
      </c>
      <c r="B26" t="inlineStr">
        <is>
          <t>20005797400012</t>
        </is>
      </c>
      <c r="C26" t="n">
        <v>1</v>
      </c>
      <c r="D26" t="n">
        <v>60</v>
      </c>
      <c r="E26" t="inlineStr">
        <is>
          <t>TIEDE</t>
        </is>
      </c>
      <c r="F26" t="inlineStr"/>
      <c r="G26" t="inlineStr">
        <is>
          <t>2026-07-19</t>
        </is>
      </c>
    </row>
    <row r="27">
      <c r="A27" t="inlineStr">
        <is>
          <t>Ville de Fontenay-aux-Roses</t>
        </is>
      </c>
      <c r="B27" t="inlineStr"/>
      <c r="C27" t="n">
        <v>1</v>
      </c>
      <c r="D27" t="n">
        <v>60</v>
      </c>
      <c r="E27" t="inlineStr">
        <is>
          <t>TIEDE</t>
        </is>
      </c>
      <c r="F27" t="inlineStr"/>
      <c r="G27" t="inlineStr">
        <is>
          <t>2026-07-21</t>
        </is>
      </c>
    </row>
    <row r="28">
      <c r="A28" t="inlineStr">
        <is>
          <t>Ville de Plaisir</t>
        </is>
      </c>
      <c r="B28" t="inlineStr">
        <is>
          <t>21780490500016</t>
        </is>
      </c>
      <c r="C28" t="n">
        <v>1</v>
      </c>
      <c r="D28" t="n">
        <v>60</v>
      </c>
      <c r="E28" t="inlineStr">
        <is>
          <t>TIEDE</t>
        </is>
      </c>
      <c r="F28" t="inlineStr"/>
      <c r="G28" t="inlineStr">
        <is>
          <t>2026-07-23</t>
        </is>
      </c>
    </row>
    <row r="29">
      <c r="A29" t="inlineStr">
        <is>
          <t>Ville de Sevran</t>
        </is>
      </c>
      <c r="B29" t="inlineStr"/>
      <c r="C29" t="n">
        <v>1</v>
      </c>
      <c r="D29" t="n">
        <v>60</v>
      </c>
      <c r="E29" t="inlineStr">
        <is>
          <t>TIEDE</t>
        </is>
      </c>
      <c r="F29" t="inlineStr"/>
      <c r="G29" t="inlineStr">
        <is>
          <t>2026-08-28</t>
        </is>
      </c>
    </row>
    <row r="30">
      <c r="A30" t="inlineStr">
        <is>
          <t>Commune de Chanteloup les Vignes</t>
        </is>
      </c>
      <c r="B30" t="inlineStr">
        <is>
          <t>21780138000015</t>
        </is>
      </c>
      <c r="C30" t="n">
        <v>1</v>
      </c>
      <c r="D30" t="n">
        <v>57</v>
      </c>
      <c r="E30" t="inlineStr">
        <is>
          <t>TIEDE</t>
        </is>
      </c>
      <c r="F30" t="inlineStr"/>
      <c r="G30" t="inlineStr">
        <is>
          <t>2026-08-09</t>
        </is>
      </c>
    </row>
    <row r="31">
      <c r="A31" t="inlineStr">
        <is>
          <t>CNRS Délégation paris-Centre</t>
        </is>
      </c>
      <c r="B31" t="inlineStr">
        <is>
          <t>18008901303282</t>
        </is>
      </c>
      <c r="C31" t="n">
        <v>1</v>
      </c>
      <c r="D31" t="n">
        <v>55</v>
      </c>
      <c r="E31" t="inlineStr">
        <is>
          <t>TIEDE</t>
        </is>
      </c>
      <c r="F31" t="inlineStr"/>
      <c r="G31" t="inlineStr">
        <is>
          <t>2026-07-22</t>
        </is>
      </c>
    </row>
    <row r="32">
      <c r="A32" t="inlineStr">
        <is>
          <t>Centre Hospitalier Poissy/Saint-Germain-En-Laye</t>
        </is>
      </c>
      <c r="B32" t="inlineStr">
        <is>
          <t>26780580200316</t>
        </is>
      </c>
      <c r="C32" t="n">
        <v>1</v>
      </c>
      <c r="D32" t="n">
        <v>55</v>
      </c>
      <c r="E32" t="inlineStr">
        <is>
          <t>TIEDE</t>
        </is>
      </c>
      <c r="F32" t="inlineStr"/>
      <c r="G32" t="inlineStr">
        <is>
          <t>2026-07-21</t>
        </is>
      </c>
    </row>
    <row r="33">
      <c r="A33" t="inlineStr">
        <is>
          <t>DGDDI DI PARIS-AEROPORTS</t>
        </is>
      </c>
      <c r="B33" t="inlineStr">
        <is>
          <t>17950230700053</t>
        </is>
      </c>
      <c r="C33" t="n">
        <v>1</v>
      </c>
      <c r="D33" t="n">
        <v>55</v>
      </c>
      <c r="E33" t="inlineStr">
        <is>
          <t>TIEDE</t>
        </is>
      </c>
      <c r="F33" t="inlineStr"/>
      <c r="G33" t="inlineStr">
        <is>
          <t>2026-08-27</t>
        </is>
      </c>
    </row>
    <row r="34">
      <c r="A34" t="inlineStr">
        <is>
          <t>Département des Hauts-de-Seine</t>
        </is>
      </c>
      <c r="B34" t="inlineStr"/>
      <c r="C34" t="n">
        <v>1</v>
      </c>
      <c r="D34" t="n">
        <v>55</v>
      </c>
      <c r="E34" t="inlineStr">
        <is>
          <t>TIEDE</t>
        </is>
      </c>
      <c r="F34" t="inlineStr"/>
      <c r="G34" t="inlineStr">
        <is>
          <t>2026-07-25</t>
        </is>
      </c>
    </row>
    <row r="35">
      <c r="A35" t="inlineStr">
        <is>
          <t>EPIDE</t>
        </is>
      </c>
      <c r="B35" t="inlineStr">
        <is>
          <t>18009259500131</t>
        </is>
      </c>
      <c r="C35" t="n">
        <v>1</v>
      </c>
      <c r="D35" t="n">
        <v>55</v>
      </c>
      <c r="E35" t="inlineStr">
        <is>
          <t>TIEDE</t>
        </is>
      </c>
      <c r="F35" t="inlineStr"/>
      <c r="G35" t="inlineStr">
        <is>
          <t>2026-07-17</t>
        </is>
      </c>
    </row>
    <row r="36">
      <c r="A36" t="inlineStr">
        <is>
          <t>GHT GPNE</t>
        </is>
      </c>
      <c r="B36" t="inlineStr">
        <is>
          <t>20001803400013</t>
        </is>
      </c>
      <c r="C36" t="n">
        <v>1</v>
      </c>
      <c r="D36" t="n">
        <v>55</v>
      </c>
      <c r="E36" t="inlineStr">
        <is>
          <t>TIEDE</t>
        </is>
      </c>
      <c r="F36" t="inlineStr"/>
      <c r="G36" t="inlineStr">
        <is>
          <t>2026-07-17</t>
        </is>
      </c>
    </row>
    <row r="37">
      <c r="A37" t="inlineStr">
        <is>
          <t>Communauté d'Agglomération Melun Val de Seine</t>
        </is>
      </c>
      <c r="B37" t="inlineStr"/>
      <c r="C37" t="n">
        <v>2</v>
      </c>
      <c r="D37" t="n">
        <v>53.8</v>
      </c>
      <c r="E37" t="inlineStr">
        <is>
          <t>TIEDE</t>
        </is>
      </c>
      <c r="F37" t="inlineStr"/>
      <c r="G37" t="inlineStr">
        <is>
          <t>2026-08-23</t>
        </is>
      </c>
    </row>
    <row r="38">
      <c r="A38" t="inlineStr">
        <is>
          <t>Département de la Seine-Saint-Denis</t>
        </is>
      </c>
      <c r="B38" t="inlineStr"/>
      <c r="C38" t="n">
        <v>1</v>
      </c>
      <c r="D38" t="n">
        <v>52.8</v>
      </c>
      <c r="E38" t="inlineStr">
        <is>
          <t>TIEDE</t>
        </is>
      </c>
      <c r="F38" t="inlineStr"/>
      <c r="G38" t="inlineStr">
        <is>
          <t>2026-08-05</t>
        </is>
      </c>
    </row>
    <row r="39">
      <c r="A39" t="inlineStr">
        <is>
          <t>COMMUNE DE MARCOUSSIS</t>
        </is>
      </c>
      <c r="B39" t="inlineStr">
        <is>
          <t>21910363700019</t>
        </is>
      </c>
      <c r="C39" t="n">
        <v>1</v>
      </c>
      <c r="D39" t="n">
        <v>52</v>
      </c>
      <c r="E39" t="inlineStr">
        <is>
          <t>TIEDE</t>
        </is>
      </c>
      <c r="F39" t="inlineStr"/>
      <c r="G39" t="inlineStr">
        <is>
          <t>2026-08-05</t>
        </is>
      </c>
    </row>
    <row r="40">
      <c r="A40" t="inlineStr">
        <is>
          <t>Les Eaux de la Confluence</t>
        </is>
      </c>
      <c r="B40" t="inlineStr">
        <is>
          <t>10133050400016</t>
        </is>
      </c>
      <c r="C40" t="n">
        <v>1</v>
      </c>
      <c r="D40" t="n">
        <v>45</v>
      </c>
      <c r="E40" t="inlineStr">
        <is>
          <t>TIEDE</t>
        </is>
      </c>
      <c r="F40" t="inlineStr">
        <is>
          <t>Cergy-Pontoise</t>
        </is>
      </c>
      <c r="G40" t="inlineStr">
        <is>
          <t>2026-07-16</t>
        </is>
      </c>
    </row>
    <row r="41">
      <c r="A41" t="inlineStr">
        <is>
          <t>Mairie d&amp;#039;ANTONY</t>
        </is>
      </c>
      <c r="B41" t="inlineStr">
        <is>
          <t>21920002900011</t>
        </is>
      </c>
      <c r="C41" t="n">
        <v>1</v>
      </c>
      <c r="D41" t="n">
        <v>45</v>
      </c>
      <c r="E41" t="inlineStr">
        <is>
          <t>TIEDE</t>
        </is>
      </c>
      <c r="F41" t="inlineStr"/>
      <c r="G41" t="inlineStr">
        <is>
          <t>2026-07-22</t>
        </is>
      </c>
    </row>
    <row r="42">
      <c r="A42" t="inlineStr">
        <is>
          <t>Ville de Franconville-la-Garenne</t>
        </is>
      </c>
      <c r="B42" t="inlineStr"/>
      <c r="C42" t="n">
        <v>1</v>
      </c>
      <c r="D42" t="n">
        <v>44</v>
      </c>
      <c r="E42" t="inlineStr">
        <is>
          <t>TIEDE</t>
        </is>
      </c>
      <c r="F42" t="inlineStr"/>
      <c r="G42" t="inlineStr">
        <is>
          <t>2026-08-02</t>
        </is>
      </c>
    </row>
    <row r="43">
      <c r="A43" t="inlineStr">
        <is>
          <t>COMMUNE NOUVELLE DE SAINT-DENIS</t>
        </is>
      </c>
      <c r="B43" t="inlineStr">
        <is>
          <t>92993941100013</t>
        </is>
      </c>
      <c r="C43" t="n">
        <v>1</v>
      </c>
      <c r="D43" t="n">
        <v>42.9</v>
      </c>
      <c r="E43" t="inlineStr">
        <is>
          <t>TIEDE</t>
        </is>
      </c>
      <c r="F43" t="inlineStr"/>
      <c r="G43" t="inlineStr">
        <is>
          <t>2026-08-28</t>
        </is>
      </c>
    </row>
    <row r="44">
      <c r="A44" t="inlineStr">
        <is>
          <t>Communauté  d'Agglomération de Cergy-Pontoise</t>
        </is>
      </c>
      <c r="B44" t="inlineStr"/>
      <c r="C44" t="n">
        <v>1</v>
      </c>
      <c r="D44" t="n">
        <v>41.2</v>
      </c>
      <c r="E44" t="inlineStr">
        <is>
          <t>TIEDE</t>
        </is>
      </c>
      <c r="F44" t="inlineStr"/>
      <c r="G44" t="inlineStr">
        <is>
          <t>2026-08-28</t>
        </is>
      </c>
    </row>
    <row r="45">
      <c r="A45" t="inlineStr">
        <is>
          <t>Mairie de Sannois</t>
        </is>
      </c>
      <c r="B45" t="inlineStr"/>
      <c r="C45" t="n">
        <v>1</v>
      </c>
      <c r="D45" t="n">
        <v>40</v>
      </c>
      <c r="E45" t="inlineStr">
        <is>
          <t>TIEDE</t>
        </is>
      </c>
      <c r="F45" t="inlineStr"/>
      <c r="G45" t="inlineStr">
        <is>
          <t>2026-07-16</t>
        </is>
      </c>
    </row>
    <row r="46">
      <c r="A46" t="inlineStr">
        <is>
          <t>CDEF 93</t>
        </is>
      </c>
      <c r="B46" t="inlineStr">
        <is>
          <t>26931400100018</t>
        </is>
      </c>
      <c r="C46" t="n">
        <v>1</v>
      </c>
      <c r="D46" t="n">
        <v>39.8</v>
      </c>
      <c r="E46" t="inlineStr">
        <is>
          <t>FROID</t>
        </is>
      </c>
      <c r="F46" t="inlineStr"/>
      <c r="G46" t="inlineStr">
        <is>
          <t>2026-08-20</t>
        </is>
      </c>
    </row>
    <row r="47">
      <c r="A47" t="inlineStr">
        <is>
          <t>Conseil départemental du Val-d'Oise</t>
        </is>
      </c>
      <c r="B47" t="inlineStr"/>
      <c r="C47" t="n">
        <v>1</v>
      </c>
      <c r="D47" t="n">
        <v>37.5</v>
      </c>
      <c r="E47" t="inlineStr">
        <is>
          <t>FROID</t>
        </is>
      </c>
      <c r="F47" t="inlineStr"/>
      <c r="G47" t="inlineStr">
        <is>
          <t>2026-08-19</t>
        </is>
      </c>
    </row>
    <row r="48">
      <c r="A48" t="inlineStr">
        <is>
          <t>Val d'Europe agglomération</t>
        </is>
      </c>
      <c r="B48" t="inlineStr">
        <is>
          <t>24770033900010</t>
        </is>
      </c>
      <c r="C48" t="n">
        <v>1</v>
      </c>
      <c r="D48" t="n">
        <v>35.1</v>
      </c>
      <c r="E48" t="inlineStr">
        <is>
          <t>FROID</t>
        </is>
      </c>
      <c r="F48" t="inlineStr">
        <is>
          <t>Marne la vallée cedex 4</t>
        </is>
      </c>
      <c r="G48" t="inlineStr">
        <is>
          <t>2026-08-03</t>
        </is>
      </c>
    </row>
    <row r="49">
      <c r="A49" t="inlineStr">
        <is>
          <t>SG / SDF2</t>
        </is>
      </c>
      <c r="B49" t="inlineStr">
        <is>
          <t>12006401900074</t>
        </is>
      </c>
      <c r="C49" t="n">
        <v>1</v>
      </c>
      <c r="D49" t="n">
        <v>35</v>
      </c>
      <c r="E49" t="inlineStr">
        <is>
          <t>FROID</t>
        </is>
      </c>
      <c r="F49" t="inlineStr">
        <is>
          <t>Paris Cedex 15</t>
        </is>
      </c>
      <c r="G49" t="inlineStr">
        <is>
          <t>2026-07-24</t>
        </is>
      </c>
    </row>
    <row r="50">
      <c r="A50" t="inlineStr">
        <is>
          <t>Ville de Montrouge
Direction des bâtiments, énergie et propreté 
43 avenue de la République
92120 MONTROUGE</t>
        </is>
      </c>
      <c r="B50" t="inlineStr">
        <is>
          <t>21920049000015</t>
        </is>
      </c>
      <c r="C50" t="n">
        <v>1</v>
      </c>
      <c r="D50" t="n">
        <v>35</v>
      </c>
      <c r="E50" t="inlineStr">
        <is>
          <t>FROID</t>
        </is>
      </c>
      <c r="F50" t="inlineStr"/>
      <c r="G50" t="inlineStr">
        <is>
          <t>2026-07-24</t>
        </is>
      </c>
    </row>
    <row r="51">
      <c r="A51" t="inlineStr">
        <is>
          <t>Mairie de Paray-Vieille-Poste</t>
        </is>
      </c>
      <c r="B51" t="inlineStr">
        <is>
          <t>21910479100013</t>
        </is>
      </c>
      <c r="C51" t="n">
        <v>1</v>
      </c>
      <c r="D51" t="n">
        <v>34.2</v>
      </c>
      <c r="E51" t="inlineStr">
        <is>
          <t>FROID</t>
        </is>
      </c>
      <c r="F51" t="inlineStr"/>
      <c r="G51" t="inlineStr">
        <is>
          <t>2026-08-07</t>
        </is>
      </c>
    </row>
    <row r="52">
      <c r="A52" t="inlineStr">
        <is>
          <t>Commune de Montmagny</t>
        </is>
      </c>
      <c r="B52" t="inlineStr">
        <is>
          <t>21950427100012</t>
        </is>
      </c>
      <c r="C52" t="n">
        <v>1</v>
      </c>
      <c r="D52" t="n">
        <v>32.8</v>
      </c>
      <c r="E52" t="inlineStr">
        <is>
          <t>FROID</t>
        </is>
      </c>
      <c r="F52" t="inlineStr"/>
      <c r="G52" t="inlineStr">
        <is>
          <t>2026-08-25</t>
        </is>
      </c>
    </row>
    <row r="53">
      <c r="A53" t="inlineStr">
        <is>
          <t>Ville de Vitry-sur-Seine</t>
        </is>
      </c>
      <c r="B53" t="inlineStr">
        <is>
          <t>21940081900575</t>
        </is>
      </c>
      <c r="C53" t="n">
        <v>1</v>
      </c>
      <c r="D53" t="n">
        <v>31.5</v>
      </c>
      <c r="E53" t="inlineStr">
        <is>
          <t>FROID</t>
        </is>
      </c>
      <c r="F53" t="inlineStr"/>
      <c r="G53" t="inlineStr">
        <is>
          <t>2026-08-27</t>
        </is>
      </c>
    </row>
    <row r="54">
      <c r="A54" t="inlineStr">
        <is>
          <t>CA GRAND PARIS SUD SEINE ESSONNE SENART</t>
        </is>
      </c>
      <c r="B54" t="inlineStr">
        <is>
          <t>20005922800011</t>
        </is>
      </c>
      <c r="C54" t="n">
        <v>1</v>
      </c>
      <c r="D54" t="n">
        <v>30</v>
      </c>
      <c r="E54" t="inlineStr">
        <is>
          <t>FROID</t>
        </is>
      </c>
      <c r="F54" t="inlineStr"/>
      <c r="G54" t="inlineStr">
        <is>
          <t>2026-07-24</t>
        </is>
      </c>
    </row>
    <row r="55">
      <c r="A55" t="inlineStr">
        <is>
          <t>Comité de concertation et de coordination de l'apprentissage du Btp</t>
        </is>
      </c>
      <c r="B55" t="inlineStr">
        <is>
          <t>77568322000104</t>
        </is>
      </c>
      <c r="C55" t="n">
        <v>1</v>
      </c>
      <c r="D55" t="n">
        <v>30</v>
      </c>
      <c r="E55" t="inlineStr">
        <is>
          <t>FROID</t>
        </is>
      </c>
      <c r="F55" t="inlineStr">
        <is>
          <t>Paris</t>
        </is>
      </c>
      <c r="G55" t="inlineStr">
        <is>
          <t>2026-07-24</t>
        </is>
      </c>
    </row>
    <row r="56">
      <c r="A56" t="inlineStr">
        <is>
          <t>ETBT du Château de Versailles</t>
        </is>
      </c>
      <c r="B56" t="inlineStr">
        <is>
          <t>18004626000014</t>
        </is>
      </c>
      <c r="C56" t="n">
        <v>1</v>
      </c>
      <c r="D56" t="n">
        <v>30</v>
      </c>
      <c r="E56" t="inlineStr">
        <is>
          <t>FROID</t>
        </is>
      </c>
      <c r="F56" t="inlineStr"/>
      <c r="G56" t="inlineStr">
        <is>
          <t>2026-08-26</t>
        </is>
      </c>
    </row>
    <row r="57">
      <c r="A57" t="inlineStr">
        <is>
          <t>COMMUNE DE FONTENAY-SOUS-BOIS</t>
        </is>
      </c>
      <c r="B57" t="inlineStr">
        <is>
          <t>21940033000011</t>
        </is>
      </c>
      <c r="C57" t="n">
        <v>2</v>
      </c>
      <c r="D57" t="n">
        <v>28.5</v>
      </c>
      <c r="E57" t="inlineStr">
        <is>
          <t>FROID</t>
        </is>
      </c>
      <c r="F57" t="inlineStr"/>
      <c r="G57" t="inlineStr">
        <is>
          <t>2026-08-16</t>
        </is>
      </c>
    </row>
    <row r="58">
      <c r="A58" t="inlineStr">
        <is>
          <t>PFC Paris</t>
        </is>
      </c>
      <c r="B58" t="inlineStr">
        <is>
          <t>13001534000016</t>
        </is>
      </c>
      <c r="C58" t="n">
        <v>1</v>
      </c>
      <c r="D58" t="n">
        <v>26.8</v>
      </c>
      <c r="E58" t="inlineStr">
        <is>
          <t>FROID</t>
        </is>
      </c>
      <c r="F58" t="inlineStr"/>
      <c r="G58" t="inlineStr">
        <is>
          <t>2026-08-21</t>
        </is>
      </c>
    </row>
    <row r="59">
      <c r="A59" t="inlineStr">
        <is>
          <t>Département du Val-de-Marne</t>
        </is>
      </c>
      <c r="B59" t="inlineStr">
        <is>
          <t>22940028800010</t>
        </is>
      </c>
      <c r="C59" t="n">
        <v>2</v>
      </c>
      <c r="D59" t="n">
        <v>25</v>
      </c>
      <c r="E59" t="inlineStr">
        <is>
          <t>FROID</t>
        </is>
      </c>
      <c r="F59" t="inlineStr"/>
      <c r="G59" t="inlineStr">
        <is>
          <t>2026-07-24</t>
        </is>
      </c>
    </row>
    <row r="60">
      <c r="A60" t="inlineStr">
        <is>
          <t>Agglomération Roissy Pays de France</t>
        </is>
      </c>
      <c r="B60" t="inlineStr"/>
      <c r="C60" t="n">
        <v>1</v>
      </c>
      <c r="D60" t="n">
        <v>25</v>
      </c>
      <c r="E60" t="inlineStr">
        <is>
          <t>FROID</t>
        </is>
      </c>
      <c r="F60" t="inlineStr"/>
      <c r="G60" t="inlineStr">
        <is>
          <t>2026-07-17</t>
        </is>
      </c>
    </row>
    <row r="61">
      <c r="A61" t="inlineStr">
        <is>
          <t>GCLH.</t>
        </is>
      </c>
      <c r="B61" t="inlineStr">
        <is>
          <t>18000001000017</t>
        </is>
      </c>
      <c r="C61" t="n">
        <v>1</v>
      </c>
      <c r="D61" t="n">
        <v>25</v>
      </c>
      <c r="E61" t="inlineStr">
        <is>
          <t>FROID</t>
        </is>
      </c>
      <c r="F61" t="inlineStr"/>
      <c r="G61" t="inlineStr">
        <is>
          <t>2026-07-26</t>
        </is>
      </c>
    </row>
    <row r="62">
      <c r="A62" t="inlineStr">
        <is>
          <t>SEM SEINE OUEST HABITAT ET PATRIMOINE</t>
        </is>
      </c>
      <c r="B62" t="inlineStr">
        <is>
          <t>99864030400015</t>
        </is>
      </c>
      <c r="C62" t="n">
        <v>1</v>
      </c>
      <c r="D62" t="n">
        <v>25</v>
      </c>
      <c r="E62" t="inlineStr">
        <is>
          <t>FROID</t>
        </is>
      </c>
      <c r="F62" t="inlineStr"/>
      <c r="G62" t="inlineStr">
        <is>
          <t>2026-08-01</t>
        </is>
      </c>
    </row>
    <row r="63">
      <c r="A63" t="inlineStr">
        <is>
          <t>Etablissement français du sang</t>
        </is>
      </c>
      <c r="B63" t="inlineStr">
        <is>
          <t>42882285202140</t>
        </is>
      </c>
      <c r="C63" t="n">
        <v>1</v>
      </c>
      <c r="D63" t="n">
        <v>23.2</v>
      </c>
      <c r="E63" t="inlineStr">
        <is>
          <t>FROID</t>
        </is>
      </c>
      <c r="F63" t="inlineStr"/>
      <c r="G63" t="inlineStr">
        <is>
          <t>2026-08-16</t>
        </is>
      </c>
    </row>
    <row r="64">
      <c r="A64" t="inlineStr">
        <is>
          <t>GHU APHP Université Paris Saclay.</t>
        </is>
      </c>
      <c r="B64" t="inlineStr">
        <is>
          <t>26750045201928</t>
        </is>
      </c>
      <c r="C64" t="n">
        <v>1</v>
      </c>
      <c r="D64" t="n">
        <v>23.2</v>
      </c>
      <c r="E64" t="inlineStr">
        <is>
          <t>FROID</t>
        </is>
      </c>
      <c r="F64" t="inlineStr"/>
      <c r="G64" t="inlineStr">
        <is>
          <t>2026-08-12</t>
        </is>
      </c>
    </row>
    <row r="65">
      <c r="A65" t="inlineStr">
        <is>
          <t>Département de Seine-et-Marne</t>
        </is>
      </c>
      <c r="B65" t="inlineStr">
        <is>
          <t>22770001000019</t>
        </is>
      </c>
      <c r="C65" t="n">
        <v>1</v>
      </c>
      <c r="D65" t="n">
        <v>20.2</v>
      </c>
      <c r="E65" t="inlineStr">
        <is>
          <t>FROID</t>
        </is>
      </c>
      <c r="F65" t="inlineStr"/>
      <c r="G65" t="inlineStr">
        <is>
          <t>2026-08-09</t>
        </is>
      </c>
    </row>
    <row r="66">
      <c r="A66" t="inlineStr">
        <is>
          <t>CCI OCCITANIE PYRENEES-MEDITERRANEE</t>
        </is>
      </c>
      <c r="B66" t="inlineStr"/>
      <c r="C66" t="n">
        <v>1</v>
      </c>
      <c r="D66" t="n">
        <v>20</v>
      </c>
      <c r="E66" t="inlineStr">
        <is>
          <t>FROID</t>
        </is>
      </c>
      <c r="F66" t="inlineStr"/>
      <c r="G66" t="inlineStr">
        <is>
          <t>2026-07-17</t>
        </is>
      </c>
    </row>
    <row r="67">
      <c r="A67" t="inlineStr">
        <is>
          <t>HEC Paris</t>
        </is>
      </c>
      <c r="B67" t="inlineStr"/>
      <c r="C67" t="n">
        <v>1</v>
      </c>
      <c r="D67" t="n">
        <v>20</v>
      </c>
      <c r="E67" t="inlineStr">
        <is>
          <t>FROID</t>
        </is>
      </c>
      <c r="F67" t="inlineStr"/>
      <c r="G67" t="inlineStr">
        <is>
          <t>2026-07-15</t>
        </is>
      </c>
    </row>
    <row r="68">
      <c r="A68" t="inlineStr">
        <is>
          <t>Est Ensemble</t>
        </is>
      </c>
      <c r="B68" t="inlineStr">
        <is>
          <t>20005787500011</t>
        </is>
      </c>
      <c r="C68" t="n">
        <v>1</v>
      </c>
      <c r="D68" t="n">
        <v>15</v>
      </c>
      <c r="E68" t="inlineStr">
        <is>
          <t>FROID</t>
        </is>
      </c>
      <c r="F68" t="inlineStr"/>
      <c r="G68" t="inlineStr">
        <is>
          <t>2026-07-25</t>
        </is>
      </c>
    </row>
    <row r="69">
      <c r="A69" t="inlineStr">
        <is>
          <t>Ministères sociaux, DFAS/SDADD</t>
        </is>
      </c>
      <c r="B69" t="inlineStr">
        <is>
          <t>11000201100044</t>
        </is>
      </c>
      <c r="C69" t="n">
        <v>1</v>
      </c>
      <c r="D69" t="n">
        <v>15</v>
      </c>
      <c r="E69" t="inlineStr">
        <is>
          <t>FROID</t>
        </is>
      </c>
      <c r="F69" t="inlineStr"/>
      <c r="G69" t="inlineStr">
        <is>
          <t>2026-07-17</t>
        </is>
      </c>
    </row>
    <row r="70">
      <c r="A70" t="inlineStr">
        <is>
          <t>Museum National d'Histoire Naturelle</t>
        </is>
      </c>
      <c r="B70" t="inlineStr">
        <is>
          <t>45072478600030</t>
        </is>
      </c>
      <c r="C70" t="n">
        <v>1</v>
      </c>
      <c r="D70" t="n">
        <v>11.5</v>
      </c>
      <c r="E70" t="inlineStr">
        <is>
          <t>FROID</t>
        </is>
      </c>
      <c r="F70" t="inlineStr"/>
      <c r="G70" t="inlineStr">
        <is>
          <t>2026-08-02</t>
        </is>
      </c>
    </row>
    <row r="71">
      <c r="A71" t="inlineStr">
        <is>
          <t>Société d'Exploitation de la Tour Eiffel</t>
        </is>
      </c>
      <c r="B71" t="inlineStr">
        <is>
          <t>48262252900048</t>
        </is>
      </c>
      <c r="C71" t="n">
        <v>1</v>
      </c>
      <c r="D71" t="n">
        <v>11.5</v>
      </c>
      <c r="E71" t="inlineStr">
        <is>
          <t>FROID</t>
        </is>
      </c>
      <c r="F71" t="inlineStr"/>
      <c r="G71" t="inlineStr">
        <is>
          <t>2026-08-12</t>
        </is>
      </c>
    </row>
    <row r="72">
      <c r="A72" t="inlineStr">
        <is>
          <t>Cour d'appel de Paris - SAR</t>
        </is>
      </c>
      <c r="B72" t="inlineStr"/>
      <c r="C72" t="n">
        <v>1</v>
      </c>
      <c r="D72" t="n">
        <v>10</v>
      </c>
      <c r="E72" t="inlineStr">
        <is>
          <t>FROID</t>
        </is>
      </c>
      <c r="F72" t="inlineStr"/>
      <c r="G72" t="inlineStr">
        <is>
          <t>2026-07-23</t>
        </is>
      </c>
    </row>
    <row r="73">
      <c r="A73" t="inlineStr">
        <is>
          <t>EFS ILE-DE-FRANCE</t>
        </is>
      </c>
      <c r="B73" t="inlineStr">
        <is>
          <t>42882285201811</t>
        </is>
      </c>
      <c r="C73" t="n">
        <v>1</v>
      </c>
      <c r="D73" t="n">
        <v>8.800000000000001</v>
      </c>
      <c r="E73" t="inlineStr">
        <is>
          <t>FROID</t>
        </is>
      </c>
      <c r="F73" t="inlineStr"/>
      <c r="G73" t="inlineStr">
        <is>
          <t>2026-08-05</t>
        </is>
      </c>
    </row>
    <row r="74">
      <c r="A74" t="inlineStr">
        <is>
          <t>ANRU.</t>
        </is>
      </c>
      <c r="B74" t="inlineStr">
        <is>
          <t>45367825200025</t>
        </is>
      </c>
      <c r="C74" t="n">
        <v>1</v>
      </c>
      <c r="D74" t="n">
        <v>8.5</v>
      </c>
      <c r="E74" t="inlineStr">
        <is>
          <t>FROID</t>
        </is>
      </c>
      <c r="F74" t="inlineStr"/>
      <c r="G74" t="inlineStr">
        <is>
          <t>2026-08-09</t>
        </is>
      </c>
    </row>
    <row r="75">
      <c r="A75" t="inlineStr">
        <is>
          <t>CENTRE POMPIDOU</t>
        </is>
      </c>
      <c r="B75" t="inlineStr">
        <is>
          <t>18004602100028</t>
        </is>
      </c>
      <c r="C75" t="n">
        <v>1</v>
      </c>
      <c r="D75" t="n">
        <v>0</v>
      </c>
      <c r="E75" t="inlineStr">
        <is>
          <t>FROID</t>
        </is>
      </c>
      <c r="F75" t="inlineStr"/>
      <c r="G75" t="inlineStr">
        <is>
          <t>2026-07-17</t>
        </is>
      </c>
    </row>
    <row r="76">
      <c r="A76" t="inlineStr">
        <is>
          <t>CNRS VILLEJUIF</t>
        </is>
      </c>
      <c r="B76" t="inlineStr">
        <is>
          <t>18008901303720</t>
        </is>
      </c>
      <c r="C76" t="n">
        <v>1</v>
      </c>
      <c r="D76" t="n">
        <v>0</v>
      </c>
      <c r="E76" t="inlineStr">
        <is>
          <t>FROID</t>
        </is>
      </c>
      <c r="F76" t="inlineStr"/>
      <c r="G76" t="inlineStr">
        <is>
          <t>2026-08-16</t>
        </is>
      </c>
    </row>
    <row r="77">
      <c r="A77" t="inlineStr">
        <is>
          <t>Conseil National Ordre Des Pharmaciens</t>
        </is>
      </c>
      <c r="B77" t="inlineStr">
        <is>
          <t>17750111101763</t>
        </is>
      </c>
      <c r="C77" t="n">
        <v>1</v>
      </c>
      <c r="D77" t="n">
        <v>0</v>
      </c>
      <c r="E77" t="inlineStr">
        <is>
          <t>FROID</t>
        </is>
      </c>
      <c r="F77" t="inlineStr"/>
      <c r="G77" t="inlineStr">
        <is>
          <t>2026-08-21</t>
        </is>
      </c>
    </row>
    <row r="78">
      <c r="A78" t="inlineStr">
        <is>
          <t>Direction des Achats de l'Etat (DAE)</t>
        </is>
      </c>
      <c r="B78" t="inlineStr">
        <is>
          <t>13002220500012</t>
        </is>
      </c>
      <c r="C78" t="n">
        <v>1</v>
      </c>
      <c r="D78" t="n">
        <v>0</v>
      </c>
      <c r="E78" t="inlineStr">
        <is>
          <t>FROID</t>
        </is>
      </c>
      <c r="F78" t="inlineStr"/>
      <c r="G78" t="inlineStr">
        <is>
          <t>2026-07-17</t>
        </is>
      </c>
    </row>
    <row r="79">
      <c r="A79" t="inlineStr">
        <is>
          <t>SDIS 77 de Seine-et-Marne</t>
        </is>
      </c>
      <c r="B79" t="inlineStr">
        <is>
          <t>28770831700014</t>
        </is>
      </c>
      <c r="C79" t="n">
        <v>1</v>
      </c>
      <c r="D79" t="n">
        <v>0</v>
      </c>
      <c r="E79" t="inlineStr">
        <is>
          <t>FROID</t>
        </is>
      </c>
      <c r="F79" t="inlineStr"/>
      <c r="G79" t="inlineStr">
        <is>
          <t>2026-07-17</t>
        </is>
      </c>
    </row>
  </sheetData>
  <pageMargins left="0.75" right="0.75" top="1" bottom="1" header="0.5" footer="0.5"/>
  <tableParts count="1">
    <tablePart xmlns:r="http://schemas.openxmlformats.org/officeDocument/2006/relationships" r:id="rId1"/>
  </tableParts>
</worksheet>
</file>

<file path=xl/worksheets/sheet14.xml><?xml version="1.0" encoding="utf-8"?>
<worksheet xmlns="http://schemas.openxmlformats.org/spreadsheetml/2006/main">
  <sheetPr>
    <outlinePr summaryBelow="1" summaryRight="1"/>
    <pageSetUpPr/>
  </sheetPr>
  <dimension ref="A1:G23"/>
  <sheetViews>
    <sheetView workbookViewId="0">
      <pane ySplit="1" topLeftCell="A2" activePane="bottomLeft" state="frozen"/>
      <selection pane="bottomLeft" activeCell="A1" sqref="A1"/>
    </sheetView>
  </sheetViews>
  <sheetFormatPr baseColWidth="8" defaultRowHeight="15"/>
  <cols>
    <col width="13" customWidth="1" min="1" max="1"/>
    <col width="25" customWidth="1" min="2" max="2"/>
    <col width="10" customWidth="1" min="3" max="3"/>
    <col width="13" customWidth="1" min="4" max="4"/>
    <col width="10" customWidth="1" min="5" max="5"/>
    <col width="15" customWidth="1" min="6" max="6"/>
    <col width="55" customWidth="1" min="7" max="7"/>
  </cols>
  <sheetData>
    <row r="1">
      <c r="A1" s="12" t="inlineStr">
        <is>
          <t>departement</t>
        </is>
      </c>
      <c r="B1" s="12" t="inlineStr">
        <is>
          <t>ville</t>
        </is>
      </c>
      <c r="C1" s="12" t="inlineStr">
        <is>
          <t>nb_ao</t>
        </is>
      </c>
      <c r="D1" s="12" t="inlineStr">
        <is>
          <t>score_moyen</t>
        </is>
      </c>
      <c r="E1" s="12" t="inlineStr">
        <is>
          <t>nb_chaud</t>
        </is>
      </c>
      <c r="F1" s="12" t="inlineStr">
        <is>
          <t>nb_a_verifier</t>
        </is>
      </c>
      <c r="G1" s="12" t="inlineStr">
        <is>
          <t>acheteurs</t>
        </is>
      </c>
    </row>
    <row r="2">
      <c r="A2" t="inlineStr">
        <is>
          <t>92</t>
        </is>
      </c>
      <c r="B2" t="inlineStr"/>
      <c r="C2" t="n">
        <v>11</v>
      </c>
      <c r="D2" t="n">
        <v>55.5</v>
      </c>
      <c r="E2" t="n">
        <v>3</v>
      </c>
      <c r="F2" t="n">
        <v>0</v>
      </c>
      <c r="G2" t="inlineStr">
        <is>
          <t>Ville de Gennevilliers, Seine Spport Culture, Ville de Levallois, ville de sceaux, Ville de Fontenay-aux-Roses</t>
        </is>
      </c>
    </row>
    <row r="3">
      <c r="A3" t="inlineStr">
        <is>
          <t>77</t>
        </is>
      </c>
      <c r="B3" t="inlineStr"/>
      <c r="C3" t="n">
        <v>6</v>
      </c>
      <c r="D3" t="n">
        <v>43.2</v>
      </c>
      <c r="E3" t="n">
        <v>2</v>
      </c>
      <c r="F3" t="n">
        <v>0</v>
      </c>
      <c r="G3" t="inlineStr">
        <is>
          <t>Mairie d'Emerainville, VILLE DE MELUN, Pôle ressources, Services à la population et Transition Ecologique, Communauté d'Agglomération Melun Val de Seine, Département de Seine-et-Marne, SDIS 77 de Seine-et-Marne</t>
        </is>
      </c>
    </row>
    <row r="4">
      <c r="A4" t="inlineStr">
        <is>
          <t>75</t>
        </is>
      </c>
      <c r="B4" t="inlineStr"/>
      <c r="C4" t="n">
        <v>15</v>
      </c>
      <c r="D4" t="n">
        <v>27</v>
      </c>
      <c r="E4" t="n">
        <v>2</v>
      </c>
      <c r="F4" t="n">
        <v>0</v>
      </c>
      <c r="G4" t="inlineStr">
        <is>
          <t>VILLE de PARIS - DFA - SDA, Centre Monuments Nationaux, Ville de Sarcelles, CNRS Délégation paris-Centre, GCLH.</t>
        </is>
      </c>
    </row>
    <row r="5">
      <c r="A5" t="inlineStr">
        <is>
          <t>78</t>
        </is>
      </c>
      <c r="B5" t="inlineStr">
        <is>
          <t>Maule</t>
        </is>
      </c>
      <c r="C5" t="n">
        <v>1</v>
      </c>
      <c r="D5" t="n">
        <v>75.5</v>
      </c>
      <c r="E5" t="n">
        <v>1</v>
      </c>
      <c r="F5" t="n">
        <v>0</v>
      </c>
      <c r="G5" t="inlineStr">
        <is>
          <t>Mairie de Maule</t>
        </is>
      </c>
    </row>
    <row r="6">
      <c r="A6" t="inlineStr">
        <is>
          <t>77</t>
        </is>
      </c>
      <c r="B6" t="inlineStr">
        <is>
          <t>ROISSY EN BRIE</t>
        </is>
      </c>
      <c r="C6" t="n">
        <v>1</v>
      </c>
      <c r="D6" t="n">
        <v>75</v>
      </c>
      <c r="E6" t="n">
        <v>1</v>
      </c>
      <c r="F6" t="n">
        <v>0</v>
      </c>
      <c r="G6" t="inlineStr">
        <is>
          <t>Mairie de Roissy-en-Brie</t>
        </is>
      </c>
    </row>
    <row r="7">
      <c r="A7" t="inlineStr">
        <is>
          <t>93</t>
        </is>
      </c>
      <c r="B7" t="inlineStr">
        <is>
          <t>Montreuil</t>
        </is>
      </c>
      <c r="C7" t="n">
        <v>1</v>
      </c>
      <c r="D7" t="n">
        <v>75</v>
      </c>
      <c r="E7" t="n">
        <v>1</v>
      </c>
      <c r="F7" t="n">
        <v>0</v>
      </c>
      <c r="G7" t="inlineStr">
        <is>
          <t>Mairie de Montreuil</t>
        </is>
      </c>
    </row>
    <row r="8">
      <c r="A8" t="inlineStr">
        <is>
          <t>78</t>
        </is>
      </c>
      <c r="B8" t="inlineStr">
        <is>
          <t>Maisons-Laffitte Cedex</t>
        </is>
      </c>
      <c r="C8" t="n">
        <v>1</v>
      </c>
      <c r="D8" t="n">
        <v>71</v>
      </c>
      <c r="E8" t="n">
        <v>1</v>
      </c>
      <c r="F8" t="n">
        <v>0</v>
      </c>
      <c r="G8" t="inlineStr">
        <is>
          <t>SAEM de construction Maisons-Laffitte</t>
        </is>
      </c>
    </row>
    <row r="9">
      <c r="A9" t="inlineStr">
        <is>
          <t>77</t>
        </is>
      </c>
      <c r="B9" t="inlineStr">
        <is>
          <t>GOUVERNES</t>
        </is>
      </c>
      <c r="C9" t="n">
        <v>1</v>
      </c>
      <c r="D9" t="n">
        <v>70.5</v>
      </c>
      <c r="E9" t="n">
        <v>1</v>
      </c>
      <c r="F9" t="n">
        <v>0</v>
      </c>
      <c r="G9" t="inlineStr">
        <is>
          <t>Mairie De Gouvernes</t>
        </is>
      </c>
    </row>
    <row r="10">
      <c r="A10" t="inlineStr">
        <is>
          <t>77</t>
        </is>
      </c>
      <c r="B10" t="inlineStr">
        <is>
          <t>MAGNY LE HONGRE</t>
        </is>
      </c>
      <c r="C10" t="n">
        <v>1</v>
      </c>
      <c r="D10" t="n">
        <v>70</v>
      </c>
      <c r="E10" t="n">
        <v>1</v>
      </c>
      <c r="F10" t="n">
        <v>0</v>
      </c>
      <c r="G10" t="inlineStr">
        <is>
          <t>COMMUNE DE MAGNY LE HONGRE</t>
        </is>
      </c>
    </row>
    <row r="11">
      <c r="A11" t="inlineStr">
        <is>
          <t>78</t>
        </is>
      </c>
      <c r="B11" t="inlineStr">
        <is>
          <t>MANTES-LA-JOLIE</t>
        </is>
      </c>
      <c r="C11" t="n">
        <v>1</v>
      </c>
      <c r="D11" t="n">
        <v>70</v>
      </c>
      <c r="E11" t="n">
        <v>1</v>
      </c>
      <c r="F11" t="n">
        <v>0</v>
      </c>
      <c r="G11" t="inlineStr">
        <is>
          <t>EPAMSA</t>
        </is>
      </c>
    </row>
    <row r="12">
      <c r="A12" t="inlineStr">
        <is>
          <t>94</t>
        </is>
      </c>
      <c r="B12" t="inlineStr">
        <is>
          <t>Bonneuil-sur-Marne</t>
        </is>
      </c>
      <c r="C12" t="n">
        <v>1</v>
      </c>
      <c r="D12" t="n">
        <v>69.90000000000001</v>
      </c>
      <c r="E12" t="n">
        <v>1</v>
      </c>
      <c r="F12" t="n">
        <v>0</v>
      </c>
      <c r="G12" t="inlineStr">
        <is>
          <t>Mairie de Bonneuil sur Marne</t>
        </is>
      </c>
    </row>
    <row r="13">
      <c r="A13" t="inlineStr">
        <is>
          <t>92</t>
        </is>
      </c>
      <c r="B13" t="inlineStr">
        <is>
          <t>Montrouge cedex</t>
        </is>
      </c>
      <c r="C13" t="n">
        <v>1</v>
      </c>
      <c r="D13" t="n">
        <v>65</v>
      </c>
      <c r="E13" t="n">
        <v>1</v>
      </c>
      <c r="F13" t="n">
        <v>0</v>
      </c>
      <c r="G13" t="inlineStr">
        <is>
          <t>Ville de Montrouge</t>
        </is>
      </c>
    </row>
    <row r="14">
      <c r="A14" t="inlineStr">
        <is>
          <t>92</t>
        </is>
      </c>
      <c r="B14" t="inlineStr">
        <is>
          <t>NANTERRE</t>
        </is>
      </c>
      <c r="C14" t="n">
        <v>1</v>
      </c>
      <c r="D14" t="n">
        <v>65</v>
      </c>
      <c r="E14" t="n">
        <v>1</v>
      </c>
      <c r="F14" t="n">
        <v>0</v>
      </c>
      <c r="G14" t="inlineStr">
        <is>
          <t>Département des Hauts-de-Seine</t>
        </is>
      </c>
    </row>
    <row r="15">
      <c r="A15" t="inlineStr">
        <is>
          <t>75</t>
        </is>
      </c>
      <c r="B15" t="inlineStr">
        <is>
          <t>Paris</t>
        </is>
      </c>
      <c r="C15" t="n">
        <v>2</v>
      </c>
      <c r="D15" t="n">
        <v>52.5</v>
      </c>
      <c r="E15" t="n">
        <v>1</v>
      </c>
      <c r="F15" t="n">
        <v>0</v>
      </c>
      <c r="G15" t="inlineStr">
        <is>
          <t>ENSA Paris-La Villette, Comité de concertation et de coordination de l'apprentissage du Btp</t>
        </is>
      </c>
    </row>
    <row r="16">
      <c r="A16" t="inlineStr">
        <is>
          <t>91</t>
        </is>
      </c>
      <c r="B16" t="inlineStr"/>
      <c r="C16" t="n">
        <v>4</v>
      </c>
      <c r="D16" t="n">
        <v>47.4</v>
      </c>
      <c r="E16" t="n">
        <v>1</v>
      </c>
      <c r="F16" t="n">
        <v>0</v>
      </c>
      <c r="G16" t="inlineStr">
        <is>
          <t>Ville de Longjumeau, COMMUNE DE MARCOUSSIS, Mairie de Paray-Vieille-Poste, CA GRAND PARIS SUD SEINE ESSONNE SENART</t>
        </is>
      </c>
    </row>
    <row r="17">
      <c r="A17" t="inlineStr">
        <is>
          <t>95</t>
        </is>
      </c>
      <c r="B17" t="inlineStr"/>
      <c r="C17" t="n">
        <v>8</v>
      </c>
      <c r="D17" t="n">
        <v>44.5</v>
      </c>
      <c r="E17" t="n">
        <v>1</v>
      </c>
      <c r="F17" t="n">
        <v>0</v>
      </c>
      <c r="G17" t="inlineStr">
        <is>
          <t>VILLE DE LOUVRES, DGDDI DI PARIS-AEROPORTS, Ville de Franconville-la-Garenne, Communauté  d'Agglomération de Cergy-Pontoise, Mairie de Sannois</t>
        </is>
      </c>
    </row>
    <row r="18">
      <c r="A18" t="inlineStr">
        <is>
          <t>93</t>
        </is>
      </c>
      <c r="B18" t="inlineStr"/>
      <c r="C18" t="n">
        <v>9</v>
      </c>
      <c r="D18" t="n">
        <v>41.8</v>
      </c>
      <c r="E18" t="n">
        <v>1</v>
      </c>
      <c r="F18" t="n">
        <v>0</v>
      </c>
      <c r="G18" t="inlineStr">
        <is>
          <t>COMMUNE DE SAINT-DENIS, Ville de Sevran, GHT GPNE, Département de la Seine-Saint-Denis, COMMUNE NOUVELLE DE SAINT-DENIS</t>
        </is>
      </c>
    </row>
    <row r="19">
      <c r="A19" t="inlineStr">
        <is>
          <t>95</t>
        </is>
      </c>
      <c r="B19" t="inlineStr">
        <is>
          <t>Cergy-Pontoise</t>
        </is>
      </c>
      <c r="C19" t="n">
        <v>1</v>
      </c>
      <c r="D19" t="n">
        <v>45</v>
      </c>
      <c r="E19" t="n">
        <v>0</v>
      </c>
      <c r="F19" t="n">
        <v>0</v>
      </c>
      <c r="G19" t="inlineStr">
        <is>
          <t>Les Eaux de la Confluence</t>
        </is>
      </c>
    </row>
    <row r="20">
      <c r="A20" t="inlineStr">
        <is>
          <t>78</t>
        </is>
      </c>
      <c r="B20" t="inlineStr"/>
      <c r="C20" t="n">
        <v>7</v>
      </c>
      <c r="D20" t="n">
        <v>44.4</v>
      </c>
      <c r="E20" t="n">
        <v>0</v>
      </c>
      <c r="F20" t="n">
        <v>0</v>
      </c>
      <c r="G20" t="inlineStr">
        <is>
          <t>Commune de Villepreux, Ville de Plaisir, Commune de Chanteloup les Vignes, Centre Hospitalier Poissy/Saint-Germain-En-Laye, ETBT du Château de Versailles</t>
        </is>
      </c>
    </row>
    <row r="21">
      <c r="A21" t="inlineStr">
        <is>
          <t>77</t>
        </is>
      </c>
      <c r="B21" t="inlineStr">
        <is>
          <t>Marne la vallée cedex 4</t>
        </is>
      </c>
      <c r="C21" t="n">
        <v>1</v>
      </c>
      <c r="D21" t="n">
        <v>35.1</v>
      </c>
      <c r="E21" t="n">
        <v>0</v>
      </c>
      <c r="F21" t="n">
        <v>0</v>
      </c>
      <c r="G21" t="inlineStr">
        <is>
          <t>Val d'Europe agglomération</t>
        </is>
      </c>
    </row>
    <row r="22">
      <c r="A22" t="inlineStr">
        <is>
          <t>75</t>
        </is>
      </c>
      <c r="B22" t="inlineStr">
        <is>
          <t>Paris Cedex 15</t>
        </is>
      </c>
      <c r="C22" t="n">
        <v>1</v>
      </c>
      <c r="D22" t="n">
        <v>35</v>
      </c>
      <c r="E22" t="n">
        <v>0</v>
      </c>
      <c r="F22" t="n">
        <v>0</v>
      </c>
      <c r="G22" t="inlineStr">
        <is>
          <t>SG / SDF2</t>
        </is>
      </c>
    </row>
    <row r="23">
      <c r="A23" t="inlineStr">
        <is>
          <t>94</t>
        </is>
      </c>
      <c r="B23" t="inlineStr"/>
      <c r="C23" t="n">
        <v>7</v>
      </c>
      <c r="D23" t="n">
        <v>13.4</v>
      </c>
      <c r="E23" t="n">
        <v>0</v>
      </c>
      <c r="F23" t="n">
        <v>0</v>
      </c>
      <c r="G23" t="inlineStr">
        <is>
          <t>Ville de Vitry-sur-Seine, COMMUNE DE FONTENAY-SOUS-BOIS, Département du Val-de-Marne, EFS ILE-DE-FRANCE, CNRS VILLEJUIF</t>
        </is>
      </c>
    </row>
  </sheetData>
  <pageMargins left="0.75" right="0.75" top="1" bottom="1" header="0.5" footer="0.5"/>
  <tableParts count="1">
    <tablePart xmlns:r="http://schemas.openxmlformats.org/officeDocument/2006/relationships" r:id="rId1"/>
  </tableParts>
</worksheet>
</file>

<file path=xl/worksheets/sheet15.xml><?xml version="1.0" encoding="utf-8"?>
<worksheet xmlns="http://schemas.openxmlformats.org/spreadsheetml/2006/main">
  <sheetPr>
    <outlinePr summaryBelow="1" summaryRight="1"/>
    <pageSetUpPr/>
  </sheetPr>
  <dimension ref="A1:B221"/>
  <sheetViews>
    <sheetView workbookViewId="0">
      <pane ySplit="1" topLeftCell="A2" activePane="bottomLeft" state="frozen"/>
      <selection pane="bottomLeft" activeCell="A1" sqref="A1"/>
    </sheetView>
  </sheetViews>
  <sheetFormatPr baseColWidth="8" defaultRowHeight="15"/>
  <cols>
    <col width="26" customWidth="1" min="1" max="1"/>
    <col width="55" customWidth="1" min="2" max="2"/>
  </cols>
  <sheetData>
    <row r="1">
      <c r="A1" s="12" t="inlineStr">
        <is>
          <t>section</t>
        </is>
      </c>
      <c r="B1" s="12" t="inlineStr">
        <is>
          <t>contenu</t>
        </is>
      </c>
    </row>
    <row r="2">
      <c r="A2" t="inlineStr">
        <is>
          <t>1. Utilisation</t>
        </is>
      </c>
      <c r="B2" t="inlineStr">
        <is>
          <t>Enregistrer une copie du fichier en .xlsm, puis importer AO_CHRUTH_VBA.bas dans l'editeur VBA.</t>
        </is>
      </c>
    </row>
    <row r="3">
      <c r="A3" t="inlineStr">
        <is>
          <t>2. Bouton</t>
        </is>
      </c>
      <c r="B3" t="inlineStr">
        <is>
          <t>Creer une forme ou un bouton Excel et affecter la macro Update_AO_CHRUTH.</t>
        </is>
      </c>
    </row>
    <row r="4">
      <c r="A4" t="inlineStr">
        <is>
          <t>2b. Bouton notifications</t>
        </is>
      </c>
      <c r="B4" t="inlineStr">
        <is>
          <t>Creer un 2e bouton (ex. dans l'onglet Parametres) et affecter la macro Basculer_Notifications : il bascule Parametres!B2 entre ON/OFF (vert/rouge) et coupe/reactive les emails d'alerte. La cellule B2 affiche l'etat courant.</t>
        </is>
      </c>
    </row>
    <row r="5">
      <c r="A5" t="inlineStr">
        <is>
          <t>2c. Bouton collecte</t>
        </is>
      </c>
      <c r="B5" t="inlineStr">
        <is>
          <t>Creer un bouton dans Parametres et affecter la macro Basculer_Collecte_Donnees : il bascule Parametres!B3 entre ON/OFF et coupe/reactive la collecte reseau.</t>
        </is>
      </c>
    </row>
    <row r="6">
      <c r="A6" t="inlineStr">
        <is>
          <t>3. Securite</t>
        </is>
      </c>
      <c r="B6" t="inlineStr">
        <is>
          <t>Excel peut bloquer les macros. Activer seulement si le fichier reste local et controle.</t>
        </is>
      </c>
    </row>
    <row r="7">
      <c r="A7" t="inlineStr">
        <is>
          <t>4. Code VBA</t>
        </is>
      </c>
      <c r="B7" t="inlineStr">
        <is>
          <t>Le code complet est aussi exporte dans AO_CHRUTH_VBA.bas.</t>
        </is>
      </c>
    </row>
    <row r="8">
      <c r="A8" t="inlineStr">
        <is>
          <t>VBA</t>
        </is>
      </c>
      <c r="B8" t="inlineStr">
        <is>
          <t>Attribute VB_Name = "AO_CHRUTH"</t>
        </is>
      </c>
    </row>
    <row r="9">
      <c r="A9" t="inlineStr">
        <is>
          <t>VBA</t>
        </is>
      </c>
      <c r="B9" t="inlineStr">
        <is>
          <t>Option Explicit</t>
        </is>
      </c>
    </row>
    <row r="10">
      <c r="A10" t="inlineStr">
        <is>
          <t>VBA</t>
        </is>
      </c>
      <c r="B10" t="inlineStr"/>
    </row>
    <row r="11">
      <c r="A11" t="inlineStr">
        <is>
          <t>VBA</t>
        </is>
      </c>
      <c r="B11" t="inlineStr">
        <is>
          <t>Sub Update_AO_CHRUTH()</t>
        </is>
      </c>
    </row>
    <row r="12">
      <c r="A12" t="inlineStr">
        <is>
          <t>VBA</t>
        </is>
      </c>
      <c r="B12" t="inlineStr">
        <is>
          <t xml:space="preserve">    Dim projet As String</t>
        </is>
      </c>
    </row>
    <row r="13">
      <c r="A13" t="inlineStr">
        <is>
          <t>VBA</t>
        </is>
      </c>
      <c r="B13" t="inlineStr">
        <is>
          <t xml:space="preserve">    Dim region As String</t>
        </is>
      </c>
    </row>
    <row r="14">
      <c r="A14" t="inlineStr">
        <is>
          <t>VBA</t>
        </is>
      </c>
      <c r="B14" t="inlineStr">
        <is>
          <t xml:space="preserve">    Dim cmd As String</t>
        </is>
      </c>
    </row>
    <row r="15">
      <c r="A15" t="inlineStr">
        <is>
          <t>VBA</t>
        </is>
      </c>
      <c r="B15" t="inlineStr">
        <is>
          <t xml:space="preserve">    projet = ThisWorkbook.Path &amp; "\.."</t>
        </is>
      </c>
    </row>
    <row r="16">
      <c r="A16" t="inlineStr">
        <is>
          <t>VBA</t>
        </is>
      </c>
      <c r="B16" t="inlineStr">
        <is>
          <t xml:space="preserve">    region = ""</t>
        </is>
      </c>
    </row>
    <row r="17">
      <c r="A17" t="inlineStr">
        <is>
          <t>VBA</t>
        </is>
      </c>
      <c r="B17" t="inlineStr">
        <is>
          <t xml:space="preserve">    On Error Resume Next</t>
        </is>
      </c>
    </row>
    <row r="18">
      <c r="A18" t="inlineStr">
        <is>
          <t>VBA</t>
        </is>
      </c>
      <c r="B18" t="inlineStr">
        <is>
          <t xml:space="preserve">    region = Trim(CStr(ThisWorkbook.Sheets("Parametres").Range("B1").Value))</t>
        </is>
      </c>
    </row>
    <row r="19">
      <c r="A19" t="inlineStr">
        <is>
          <t>VBA</t>
        </is>
      </c>
      <c r="B19" t="inlineStr">
        <is>
          <t xml:space="preserve">    On Error GoTo 0</t>
        </is>
      </c>
    </row>
    <row r="20">
      <c r="A20" t="inlineStr">
        <is>
          <t>VBA</t>
        </is>
      </c>
      <c r="B20" t="inlineStr">
        <is>
          <t xml:space="preserve">    cmd = "cmd.exe /c cd /d """ &amp; projet &amp; """ &amp;&amp; python outils\refresh_runner.py ao"</t>
        </is>
      </c>
    </row>
    <row r="21">
      <c r="A21" t="inlineStr">
        <is>
          <t>VBA</t>
        </is>
      </c>
      <c r="B21" t="inlineStr">
        <is>
          <t xml:space="preserve">    If Len(region) &gt; 0 Then cmd = cmd &amp; " """ &amp; region &amp; """"</t>
        </is>
      </c>
    </row>
    <row r="22">
      <c r="A22" t="inlineStr">
        <is>
          <t>VBA</t>
        </is>
      </c>
      <c r="B22" t="inlineStr">
        <is>
          <t xml:space="preserve">    Shell cmd, vbNormalFocus</t>
        </is>
      </c>
    </row>
    <row r="23">
      <c r="A23" t="inlineStr">
        <is>
          <t>VBA</t>
        </is>
      </c>
      <c r="B23" t="inlineStr">
        <is>
          <t xml:space="preserve">    ThisWorkbook.Close SaveChanges:=False</t>
        </is>
      </c>
    </row>
    <row r="24">
      <c r="A24" t="inlineStr">
        <is>
          <t>VBA</t>
        </is>
      </c>
      <c r="B24" t="inlineStr">
        <is>
          <t>End Sub</t>
        </is>
      </c>
    </row>
    <row r="25">
      <c r="A25" t="inlineStr">
        <is>
          <t>VBA</t>
        </is>
      </c>
      <c r="B25" t="inlineStr"/>
    </row>
    <row r="26">
      <c r="A26" t="inlineStr">
        <is>
          <t>VBA</t>
        </is>
      </c>
      <c r="B26" t="inlineStr">
        <is>
          <t>Sub Aller_AO_Region()</t>
        </is>
      </c>
    </row>
    <row r="27">
      <c r="A27" t="inlineStr">
        <is>
          <t>VBA</t>
        </is>
      </c>
      <c r="B27" t="inlineStr">
        <is>
          <t xml:space="preserve">    On Error Resume Next</t>
        </is>
      </c>
    </row>
    <row r="28">
      <c r="A28" t="inlineStr">
        <is>
          <t>VBA</t>
        </is>
      </c>
      <c r="B28" t="inlineStr">
        <is>
          <t xml:space="preserve">    Sheets("AO_Region").Activate</t>
        </is>
      </c>
    </row>
    <row r="29">
      <c r="A29" t="inlineStr">
        <is>
          <t>VBA</t>
        </is>
      </c>
      <c r="B29" t="inlineStr">
        <is>
          <t xml:space="preserve">    On Error GoTo 0</t>
        </is>
      </c>
    </row>
    <row r="30">
      <c r="A30" t="inlineStr">
        <is>
          <t>VBA</t>
        </is>
      </c>
      <c r="B30" t="inlineStr">
        <is>
          <t>End Sub</t>
        </is>
      </c>
    </row>
    <row r="31">
      <c r="A31" t="inlineStr">
        <is>
          <t>VBA</t>
        </is>
      </c>
      <c r="B31" t="inlineStr"/>
    </row>
    <row r="32">
      <c r="A32" t="inlineStr">
        <is>
          <t>VBA</t>
        </is>
      </c>
      <c r="B32" t="inlineStr">
        <is>
          <t>Sub Aller_AO_Chauds()</t>
        </is>
      </c>
    </row>
    <row r="33">
      <c r="A33" t="inlineStr">
        <is>
          <t>VBA</t>
        </is>
      </c>
      <c r="B33" t="inlineStr">
        <is>
          <t xml:space="preserve">    Sheets("AO_CHAUDS").Activate</t>
        </is>
      </c>
    </row>
    <row r="34">
      <c r="A34" t="inlineStr">
        <is>
          <t>VBA</t>
        </is>
      </c>
      <c r="B34" t="inlineStr">
        <is>
          <t>End Sub</t>
        </is>
      </c>
    </row>
    <row r="35">
      <c r="A35" t="inlineStr">
        <is>
          <t>VBA</t>
        </is>
      </c>
      <c r="B35" t="inlineStr"/>
    </row>
    <row r="36">
      <c r="A36" t="inlineStr">
        <is>
          <t>VBA</t>
        </is>
      </c>
      <c r="B36" t="inlineStr">
        <is>
          <t>Sub Aller_CRM()</t>
        </is>
      </c>
    </row>
    <row r="37">
      <c r="A37" t="inlineStr">
        <is>
          <t>VBA</t>
        </is>
      </c>
      <c r="B37" t="inlineStr">
        <is>
          <t xml:space="preserve">    Sheets("CRM_Suivi").Activate</t>
        </is>
      </c>
    </row>
    <row r="38">
      <c r="A38" t="inlineStr">
        <is>
          <t>VBA</t>
        </is>
      </c>
      <c r="B38" t="inlineStr">
        <is>
          <t>End Sub</t>
        </is>
      </c>
    </row>
    <row r="39">
      <c r="A39" t="inlineStr">
        <is>
          <t>VBA</t>
        </is>
      </c>
      <c r="B39" t="inlineStr"/>
    </row>
    <row r="40">
      <c r="A40" t="inlineStr">
        <is>
          <t>VBA</t>
        </is>
      </c>
      <c r="B40" t="inlineStr">
        <is>
          <t>Sub Filtrer_AO_Chauds()</t>
        </is>
      </c>
    </row>
    <row r="41">
      <c r="A41" t="inlineStr">
        <is>
          <t>VBA</t>
        </is>
      </c>
      <c r="B41" t="inlineStr">
        <is>
          <t xml:space="preserve">    Sheets("AO_Tous").Activate</t>
        </is>
      </c>
    </row>
    <row r="42">
      <c r="A42" t="inlineStr">
        <is>
          <t>VBA</t>
        </is>
      </c>
      <c r="B42" t="inlineStr">
        <is>
          <t xml:space="preserve">    If ActiveSheet.AutoFilterMode Then ActiveSheet.AutoFilterMode = False</t>
        </is>
      </c>
    </row>
    <row r="43">
      <c r="A43" t="inlineStr">
        <is>
          <t>VBA</t>
        </is>
      </c>
      <c r="B43" t="inlineStr">
        <is>
          <t xml:space="preserve">    Range("A1").CurrentRegion.AutoFilter Field:=33, Criteria1:="CHAUD"</t>
        </is>
      </c>
    </row>
    <row r="44">
      <c r="A44" t="inlineStr">
        <is>
          <t>VBA</t>
        </is>
      </c>
      <c r="B44" t="inlineStr">
        <is>
          <t>End Sub</t>
        </is>
      </c>
    </row>
    <row r="45">
      <c r="A45" t="inlineStr">
        <is>
          <t>VBA</t>
        </is>
      </c>
      <c r="B45" t="inlineStr"/>
    </row>
    <row r="46">
      <c r="A46" t="inlineStr">
        <is>
          <t>VBA</t>
        </is>
      </c>
      <c r="B46" t="inlineStr">
        <is>
          <t>Sub Basculer_Collecte_Donnees()</t>
        </is>
      </c>
    </row>
    <row r="47">
      <c r="A47" t="inlineStr">
        <is>
          <t>VBA</t>
        </is>
      </c>
      <c r="B47" t="inlineStr">
        <is>
          <t xml:space="preserve">    ' Active / desactive la collecte reseau CHRUTH.</t>
        </is>
      </c>
    </row>
    <row r="48">
      <c r="A48" t="inlineStr">
        <is>
          <t>VBA</t>
        </is>
      </c>
      <c r="B48" t="inlineStr">
        <is>
          <t xml:space="preserve">    ' OFF = les boutons retraitent/exportent les donnees locales sans appeler BOAMP/DCE.</t>
        </is>
      </c>
    </row>
    <row r="49">
      <c r="A49" t="inlineStr">
        <is>
          <t>VBA</t>
        </is>
      </c>
      <c r="B49" t="inlineStr">
        <is>
          <t xml:space="preserve">    Dim ws As Worksheet</t>
        </is>
      </c>
    </row>
    <row r="50">
      <c r="A50" t="inlineStr">
        <is>
          <t>VBA</t>
        </is>
      </c>
      <c r="B50" t="inlineStr">
        <is>
          <t xml:space="preserve">    Dim etat As String</t>
        </is>
      </c>
    </row>
    <row r="51">
      <c r="A51" t="inlineStr">
        <is>
          <t>VBA</t>
        </is>
      </c>
      <c r="B51" t="inlineStr">
        <is>
          <t xml:space="preserve">    Dim nouveau As String</t>
        </is>
      </c>
    </row>
    <row r="52">
      <c r="A52" t="inlineStr">
        <is>
          <t>VBA</t>
        </is>
      </c>
      <c r="B52" t="inlineStr">
        <is>
          <t xml:space="preserve">    Dim projet As String</t>
        </is>
      </c>
    </row>
    <row r="53">
      <c r="A53" t="inlineStr">
        <is>
          <t>VBA</t>
        </is>
      </c>
      <c r="B53" t="inlineStr">
        <is>
          <t xml:space="preserve">    On Error Resume Next</t>
        </is>
      </c>
    </row>
    <row r="54">
      <c r="A54" t="inlineStr">
        <is>
          <t>VBA</t>
        </is>
      </c>
      <c r="B54" t="inlineStr">
        <is>
          <t xml:space="preserve">    Set ws = ThisWorkbook.Sheets("Parametres")</t>
        </is>
      </c>
    </row>
    <row r="55">
      <c r="A55" t="inlineStr">
        <is>
          <t>VBA</t>
        </is>
      </c>
      <c r="B55" t="inlineStr">
        <is>
          <t xml:space="preserve">    On Error GoTo 0</t>
        </is>
      </c>
    </row>
    <row r="56">
      <c r="A56" t="inlineStr">
        <is>
          <t>VBA</t>
        </is>
      </c>
      <c r="B56" t="inlineStr">
        <is>
          <t xml:space="preserve">    If ws Is Nothing Then</t>
        </is>
      </c>
    </row>
    <row r="57">
      <c r="A57" t="inlineStr">
        <is>
          <t>VBA</t>
        </is>
      </c>
      <c r="B57" t="inlineStr">
        <is>
          <t xml:space="preserve">        MsgBox "Onglet Parametres introuvable.", vbExclamation</t>
        </is>
      </c>
    </row>
    <row r="58">
      <c r="A58" t="inlineStr">
        <is>
          <t>VBA</t>
        </is>
      </c>
      <c r="B58" t="inlineStr">
        <is>
          <t xml:space="preserve">        Exit Sub</t>
        </is>
      </c>
    </row>
    <row r="59">
      <c r="A59" t="inlineStr">
        <is>
          <t>VBA</t>
        </is>
      </c>
      <c r="B59" t="inlineStr">
        <is>
          <t xml:space="preserve">    End If</t>
        </is>
      </c>
    </row>
    <row r="60">
      <c r="A60" t="inlineStr">
        <is>
          <t>VBA</t>
        </is>
      </c>
      <c r="B60" t="inlineStr">
        <is>
          <t xml:space="preserve">    etat = UCase(Trim(CStr(ws.Range("B3").Value)))</t>
        </is>
      </c>
    </row>
    <row r="61">
      <c r="A61" t="inlineStr">
        <is>
          <t>VBA</t>
        </is>
      </c>
      <c r="B61" t="inlineStr">
        <is>
          <t xml:space="preserve">    If etat = "OFF" Then</t>
        </is>
      </c>
    </row>
    <row r="62">
      <c r="A62" t="inlineStr">
        <is>
          <t>VBA</t>
        </is>
      </c>
      <c r="B62" t="inlineStr">
        <is>
          <t xml:space="preserve">        nouveau = "ON"</t>
        </is>
      </c>
    </row>
    <row r="63">
      <c r="A63" t="inlineStr">
        <is>
          <t>VBA</t>
        </is>
      </c>
      <c r="B63" t="inlineStr">
        <is>
          <t xml:space="preserve">    Else</t>
        </is>
      </c>
    </row>
    <row r="64">
      <c r="A64" t="inlineStr">
        <is>
          <t>VBA</t>
        </is>
      </c>
      <c r="B64" t="inlineStr">
        <is>
          <t xml:space="preserve">        nouveau = "OFF"</t>
        </is>
      </c>
    </row>
    <row r="65">
      <c r="A65" t="inlineStr">
        <is>
          <t>VBA</t>
        </is>
      </c>
      <c r="B65" t="inlineStr">
        <is>
          <t xml:space="preserve">    End If</t>
        </is>
      </c>
    </row>
    <row r="66">
      <c r="A66" t="inlineStr">
        <is>
          <t>VBA</t>
        </is>
      </c>
      <c r="B66" t="inlineStr">
        <is>
          <t xml:space="preserve">    ws.Range("B3").Value = nouveau</t>
        </is>
      </c>
    </row>
    <row r="67">
      <c r="A67" t="inlineStr">
        <is>
          <t>VBA</t>
        </is>
      </c>
      <c r="B67" t="inlineStr">
        <is>
          <t xml:space="preserve">    If nouveau = "ON" Then</t>
        </is>
      </c>
    </row>
    <row r="68">
      <c r="A68" t="inlineStr">
        <is>
          <t>VBA</t>
        </is>
      </c>
      <c r="B68" t="inlineStr">
        <is>
          <t xml:space="preserve">        ws.Range("B3").Interior.Color = RGB(198, 239, 206)</t>
        </is>
      </c>
    </row>
    <row r="69">
      <c r="A69" t="inlineStr">
        <is>
          <t>VBA</t>
        </is>
      </c>
      <c r="B69" t="inlineStr">
        <is>
          <t xml:space="preserve">    Else</t>
        </is>
      </c>
    </row>
    <row r="70">
      <c r="A70" t="inlineStr">
        <is>
          <t>VBA</t>
        </is>
      </c>
      <c r="B70" t="inlineStr">
        <is>
          <t xml:space="preserve">        ws.Range("B3").Interior.Color = RGB(255, 199, 206)</t>
        </is>
      </c>
    </row>
    <row r="71">
      <c r="A71" t="inlineStr">
        <is>
          <t>VBA</t>
        </is>
      </c>
      <c r="B71" t="inlineStr">
        <is>
          <t xml:space="preserve">    End If</t>
        </is>
      </c>
    </row>
    <row r="72">
      <c r="A72" t="inlineStr">
        <is>
          <t>VBA</t>
        </is>
      </c>
      <c r="B72" t="inlineStr">
        <is>
          <t xml:space="preserve">    projet = ThisWorkbook.Path &amp; "\.."</t>
        </is>
      </c>
    </row>
    <row r="73">
      <c r="A73" t="inlineStr">
        <is>
          <t>VBA</t>
        </is>
      </c>
      <c r="B73" t="inlineStr">
        <is>
          <t xml:space="preserve">    Shell "cmd.exe /c cd /d """ &amp; projet &amp; """ &amp;&amp; python outils\set_collecte.py " &amp; nouveau, vbHide</t>
        </is>
      </c>
    </row>
    <row r="74">
      <c r="A74" t="inlineStr">
        <is>
          <t>VBA</t>
        </is>
      </c>
      <c r="B74" t="inlineStr">
        <is>
          <t xml:space="preserve">    ThisWorkbook.Save</t>
        </is>
      </c>
    </row>
    <row r="75">
      <c r="A75" t="inlineStr">
        <is>
          <t>VBA</t>
        </is>
      </c>
      <c r="B75" t="inlineStr">
        <is>
          <t xml:space="preserve">    MsgBox "Collecte de donnees : " &amp; nouveau, vbInformation</t>
        </is>
      </c>
    </row>
    <row r="76">
      <c r="A76" t="inlineStr">
        <is>
          <t>VBA</t>
        </is>
      </c>
      <c r="B76" t="inlineStr">
        <is>
          <t>End Sub</t>
        </is>
      </c>
    </row>
    <row r="77">
      <c r="A77" t="inlineStr">
        <is>
          <t>VBA</t>
        </is>
      </c>
      <c r="B77" t="inlineStr"/>
    </row>
    <row r="78">
      <c r="A78" t="inlineStr">
        <is>
          <t>VBA</t>
        </is>
      </c>
      <c r="B78" t="inlineStr">
        <is>
          <t>Sub Basculer_Notifications()</t>
        </is>
      </c>
    </row>
    <row r="79">
      <c r="A79" t="inlineStr">
        <is>
          <t>VBA</t>
        </is>
      </c>
      <c r="B79" t="inlineStr">
        <is>
          <t xml:space="preserve">    ' Active / desactive les alertes email CHRUTH (coupe les emails seulement ;</t>
        </is>
      </c>
    </row>
    <row r="80">
      <c r="A80" t="inlineStr">
        <is>
          <t>VBA</t>
        </is>
      </c>
      <c r="B80" t="inlineStr">
        <is>
          <t xml:space="preserve">    ' la collecte et la mise a jour du tableur continuent). L'etat est persiste</t>
        </is>
      </c>
    </row>
    <row r="81">
      <c r="A81" t="inlineStr">
        <is>
          <t>VBA</t>
        </is>
      </c>
      <c r="B81" t="inlineStr">
        <is>
          <t xml:space="preserve">    ' cote Python via outils\set_notifications.py pour survivre aux refresh.</t>
        </is>
      </c>
    </row>
    <row r="82">
      <c r="A82" t="inlineStr">
        <is>
          <t>VBA</t>
        </is>
      </c>
      <c r="B82" t="inlineStr">
        <is>
          <t xml:space="preserve">    Dim ws As Worksheet</t>
        </is>
      </c>
    </row>
    <row r="83">
      <c r="A83" t="inlineStr">
        <is>
          <t>VBA</t>
        </is>
      </c>
      <c r="B83" t="inlineStr">
        <is>
          <t xml:space="preserve">    Dim etat As String</t>
        </is>
      </c>
    </row>
    <row r="84">
      <c r="A84" t="inlineStr">
        <is>
          <t>VBA</t>
        </is>
      </c>
      <c r="B84" t="inlineStr">
        <is>
          <t xml:space="preserve">    Dim nouveau As String</t>
        </is>
      </c>
    </row>
    <row r="85">
      <c r="A85" t="inlineStr">
        <is>
          <t>VBA</t>
        </is>
      </c>
      <c r="B85" t="inlineStr">
        <is>
          <t xml:space="preserve">    Dim projet As String</t>
        </is>
      </c>
    </row>
    <row r="86">
      <c r="A86" t="inlineStr">
        <is>
          <t>VBA</t>
        </is>
      </c>
      <c r="B86" t="inlineStr">
        <is>
          <t xml:space="preserve">    On Error Resume Next</t>
        </is>
      </c>
    </row>
    <row r="87">
      <c r="A87" t="inlineStr">
        <is>
          <t>VBA</t>
        </is>
      </c>
      <c r="B87" t="inlineStr">
        <is>
          <t xml:space="preserve">    Set ws = ThisWorkbook.Sheets("Parametres")</t>
        </is>
      </c>
    </row>
    <row r="88">
      <c r="A88" t="inlineStr">
        <is>
          <t>VBA</t>
        </is>
      </c>
      <c r="B88" t="inlineStr">
        <is>
          <t xml:space="preserve">    On Error GoTo 0</t>
        </is>
      </c>
    </row>
    <row r="89">
      <c r="A89" t="inlineStr">
        <is>
          <t>VBA</t>
        </is>
      </c>
      <c r="B89" t="inlineStr">
        <is>
          <t xml:space="preserve">    If ws Is Nothing Then</t>
        </is>
      </c>
    </row>
    <row r="90">
      <c r="A90" t="inlineStr">
        <is>
          <t>VBA</t>
        </is>
      </c>
      <c r="B90" t="inlineStr">
        <is>
          <t xml:space="preserve">        MsgBox "Onglet Parametres introuvable.", vbExclamation</t>
        </is>
      </c>
    </row>
    <row r="91">
      <c r="A91" t="inlineStr">
        <is>
          <t>VBA</t>
        </is>
      </c>
      <c r="B91" t="inlineStr">
        <is>
          <t xml:space="preserve">        Exit Sub</t>
        </is>
      </c>
    </row>
    <row r="92">
      <c r="A92" t="inlineStr">
        <is>
          <t>VBA</t>
        </is>
      </c>
      <c r="B92" t="inlineStr">
        <is>
          <t xml:space="preserve">    End If</t>
        </is>
      </c>
    </row>
    <row r="93">
      <c r="A93" t="inlineStr">
        <is>
          <t>VBA</t>
        </is>
      </c>
      <c r="B93" t="inlineStr">
        <is>
          <t xml:space="preserve">    etat = UCase(Trim(CStr(ws.Range("B2").Value)))</t>
        </is>
      </c>
    </row>
    <row r="94">
      <c r="A94" t="inlineStr">
        <is>
          <t>VBA</t>
        </is>
      </c>
      <c r="B94" t="inlineStr">
        <is>
          <t xml:space="preserve">    If etat = "OFF" Then</t>
        </is>
      </c>
    </row>
    <row r="95">
      <c r="A95" t="inlineStr">
        <is>
          <t>VBA</t>
        </is>
      </c>
      <c r="B95" t="inlineStr">
        <is>
          <t xml:space="preserve">        nouveau = "ON"</t>
        </is>
      </c>
    </row>
    <row r="96">
      <c r="A96" t="inlineStr">
        <is>
          <t>VBA</t>
        </is>
      </c>
      <c r="B96" t="inlineStr">
        <is>
          <t xml:space="preserve">    Else</t>
        </is>
      </c>
    </row>
    <row r="97">
      <c r="A97" t="inlineStr">
        <is>
          <t>VBA</t>
        </is>
      </c>
      <c r="B97" t="inlineStr">
        <is>
          <t xml:space="preserve">        nouveau = "OFF"</t>
        </is>
      </c>
    </row>
    <row r="98">
      <c r="A98" t="inlineStr">
        <is>
          <t>VBA</t>
        </is>
      </c>
      <c r="B98" t="inlineStr">
        <is>
          <t xml:space="preserve">    End If</t>
        </is>
      </c>
    </row>
    <row r="99">
      <c r="A99" t="inlineStr">
        <is>
          <t>VBA</t>
        </is>
      </c>
      <c r="B99" t="inlineStr">
        <is>
          <t xml:space="preserve">    ws.Range("B2").Value = nouveau</t>
        </is>
      </c>
    </row>
    <row r="100">
      <c r="A100" t="inlineStr">
        <is>
          <t>VBA</t>
        </is>
      </c>
      <c r="B100" t="inlineStr">
        <is>
          <t xml:space="preserve">    If nouveau = "ON" Then</t>
        </is>
      </c>
    </row>
    <row r="101">
      <c r="A101" t="inlineStr">
        <is>
          <t>VBA</t>
        </is>
      </c>
      <c r="B101" t="inlineStr">
        <is>
          <t xml:space="preserve">        ws.Range("B2").Interior.Color = RGB(198, 239, 206)</t>
        </is>
      </c>
    </row>
    <row r="102">
      <c r="A102" t="inlineStr">
        <is>
          <t>VBA</t>
        </is>
      </c>
      <c r="B102" t="inlineStr">
        <is>
          <t xml:space="preserve">    Else</t>
        </is>
      </c>
    </row>
    <row r="103">
      <c r="A103" t="inlineStr">
        <is>
          <t>VBA</t>
        </is>
      </c>
      <c r="B103" t="inlineStr">
        <is>
          <t xml:space="preserve">        ws.Range("B2").Interior.Color = RGB(255, 199, 206)</t>
        </is>
      </c>
    </row>
    <row r="104">
      <c r="A104" t="inlineStr">
        <is>
          <t>VBA</t>
        </is>
      </c>
      <c r="B104" t="inlineStr">
        <is>
          <t xml:space="preserve">    End If</t>
        </is>
      </c>
    </row>
    <row r="105">
      <c r="A105" t="inlineStr">
        <is>
          <t>VBA</t>
        </is>
      </c>
      <c r="B105" t="inlineStr">
        <is>
          <t xml:space="preserve">    projet = ThisWorkbook.Path &amp; "\.."</t>
        </is>
      </c>
    </row>
    <row r="106">
      <c r="A106" t="inlineStr">
        <is>
          <t>VBA</t>
        </is>
      </c>
      <c r="B106" t="inlineStr">
        <is>
          <t xml:space="preserve">    Shell "cmd.exe /c cd /d """ &amp; projet &amp; """ &amp;&amp; python outils\set_notifications.py " &amp; nouveau, vbHide</t>
        </is>
      </c>
    </row>
    <row r="107">
      <c r="A107" t="inlineStr">
        <is>
          <t>VBA</t>
        </is>
      </c>
      <c r="B107" t="inlineStr">
        <is>
          <t xml:space="preserve">    ThisWorkbook.Save</t>
        </is>
      </c>
    </row>
    <row r="108">
      <c r="A108" t="inlineStr">
        <is>
          <t>VBA</t>
        </is>
      </c>
      <c r="B108" t="inlineStr">
        <is>
          <t xml:space="preserve">    MsgBox "Notifications email : " &amp; nouveau, vbInformation</t>
        </is>
      </c>
    </row>
    <row r="109">
      <c r="A109" t="inlineStr">
        <is>
          <t>VBA</t>
        </is>
      </c>
      <c r="B109" t="inlineStr">
        <is>
          <t>End Sub</t>
        </is>
      </c>
    </row>
    <row r="110">
      <c r="A110" t="inlineStr">
        <is>
          <t>VBA</t>
        </is>
      </c>
      <c r="B110" t="inlineStr"/>
    </row>
    <row r="111">
      <c r="A111" t="inlineStr">
        <is>
          <t>VBA</t>
        </is>
      </c>
      <c r="B111" t="inlineStr">
        <is>
          <t>Sub Enregistrer_Destinataires()</t>
        </is>
      </c>
    </row>
    <row r="112">
      <c r="A112" t="inlineStr">
        <is>
          <t>VBA</t>
        </is>
      </c>
      <c r="B112" t="inlineStr">
        <is>
          <t xml:space="preserve">    ' Enregistre la liste des destinataires saisie dans l'onglet Parametres</t>
        </is>
      </c>
    </row>
    <row r="113">
      <c r="A113" t="inlineStr">
        <is>
          <t>VBA</t>
        </is>
      </c>
      <c r="B113" t="inlineStr">
        <is>
          <t xml:space="preserve">    ' (colonne B a partir de la ligne 5) pour les prochaines alertes email.</t>
        </is>
      </c>
    </row>
    <row r="114">
      <c r="A114" t="inlineStr">
        <is>
          <t>VBA</t>
        </is>
      </c>
      <c r="B114" t="inlineStr">
        <is>
          <t xml:space="preserve">    Dim projet As String</t>
        </is>
      </c>
    </row>
    <row r="115">
      <c r="A115" t="inlineStr">
        <is>
          <t>VBA</t>
        </is>
      </c>
      <c r="B115" t="inlineStr">
        <is>
          <t xml:space="preserve">    Dim sh As Object</t>
        </is>
      </c>
    </row>
    <row r="116">
      <c r="A116" t="inlineStr">
        <is>
          <t>VBA</t>
        </is>
      </c>
      <c r="B116" t="inlineStr">
        <is>
          <t xml:space="preserve">    Dim rc As Long</t>
        </is>
      </c>
    </row>
    <row r="117">
      <c r="A117" t="inlineStr">
        <is>
          <t>VBA</t>
        </is>
      </c>
      <c r="B117" t="inlineStr">
        <is>
          <t xml:space="preserve">    ThisWorkbook.Save</t>
        </is>
      </c>
    </row>
    <row r="118">
      <c r="A118" t="inlineStr">
        <is>
          <t>VBA</t>
        </is>
      </c>
      <c r="B118" t="inlineStr">
        <is>
          <t xml:space="preserve">    projet = ThisWorkbook.Path &amp; "\.."</t>
        </is>
      </c>
    </row>
    <row r="119">
      <c r="A119" t="inlineStr">
        <is>
          <t>VBA</t>
        </is>
      </c>
      <c r="B119" t="inlineStr">
        <is>
          <t xml:space="preserve">    Set sh = CreateObject("WScript.Shell")</t>
        </is>
      </c>
    </row>
    <row r="120">
      <c r="A120" t="inlineStr">
        <is>
          <t>VBA</t>
        </is>
      </c>
      <c r="B120" t="inlineStr">
        <is>
          <t xml:space="preserve">    rc = sh.Run("cmd /c cd /d """ &amp; projet &amp; """ &amp;&amp; python outils\sync_destinataires.py", 0, True)</t>
        </is>
      </c>
    </row>
    <row r="121">
      <c r="A121" t="inlineStr">
        <is>
          <t>VBA</t>
        </is>
      </c>
      <c r="B121" t="inlineStr">
        <is>
          <t xml:space="preserve">    If rc = 0 Then</t>
        </is>
      </c>
    </row>
    <row r="122">
      <c r="A122" t="inlineStr">
        <is>
          <t>VBA</t>
        </is>
      </c>
      <c r="B122" t="inlineStr">
        <is>
          <t xml:space="preserve">        MsgBox "Destinataires enregistres. Ils recevront les prochaines alertes.", vbInformation</t>
        </is>
      </c>
    </row>
    <row r="123">
      <c r="A123" t="inlineStr">
        <is>
          <t>VBA</t>
        </is>
      </c>
      <c r="B123" t="inlineStr">
        <is>
          <t xml:space="preserve">    Else</t>
        </is>
      </c>
    </row>
    <row r="124">
      <c r="A124" t="inlineStr">
        <is>
          <t>VBA</t>
        </is>
      </c>
      <c r="B124" t="inlineStr">
        <is>
          <t xml:space="preserve">        MsgBox "Aucune adresse valide trouvee (colonne B a partir de la ligne 5).", vbExclamation</t>
        </is>
      </c>
    </row>
    <row r="125">
      <c r="A125" t="inlineStr">
        <is>
          <t>VBA</t>
        </is>
      </c>
      <c r="B125" t="inlineStr">
        <is>
          <t xml:space="preserve">    End If</t>
        </is>
      </c>
    </row>
    <row r="126">
      <c r="A126" t="inlineStr">
        <is>
          <t>VBA</t>
        </is>
      </c>
      <c r="B126" t="inlineStr">
        <is>
          <t>End Sub</t>
        </is>
      </c>
    </row>
    <row r="127">
      <c r="A127" t="inlineStr">
        <is>
          <t>VBA</t>
        </is>
      </c>
      <c r="B127" t="inlineStr"/>
    </row>
    <row r="128">
      <c r="A128" t="inlineStr">
        <is>
          <t>VBA</t>
        </is>
      </c>
      <c r="B128" t="inlineStr">
        <is>
          <t>Sub Generer_Message_AO()</t>
        </is>
      </c>
    </row>
    <row r="129">
      <c r="A129" t="inlineStr">
        <is>
          <t>VBA</t>
        </is>
      </c>
      <c r="B129" t="inlineStr">
        <is>
          <t xml:space="preserve">    ' Genere le message IA (email + script) pour l'AO de la ligne selectionnee.</t>
        </is>
      </c>
    </row>
    <row r="130">
      <c r="A130" t="inlineStr">
        <is>
          <t>VBA</t>
        </is>
      </c>
      <c r="B130" t="inlineStr">
        <is>
          <t xml:space="preserve">    ' Lit id_ao sur la feuille active, appelle Python (Ollama), affiche le resultat</t>
        </is>
      </c>
    </row>
    <row r="131">
      <c r="A131" t="inlineStr">
        <is>
          <t>VBA</t>
        </is>
      </c>
      <c r="B131" t="inlineStr">
        <is>
          <t xml:space="preserve">    ' dans l'onglet Message_IA (a copier/coller).</t>
        </is>
      </c>
    </row>
    <row r="132">
      <c r="A132" t="inlineStr">
        <is>
          <t>VBA</t>
        </is>
      </c>
      <c r="B132" t="inlineStr">
        <is>
          <t xml:space="preserve">    Dim idCol As Long, lastCol As Long, c As Long, idAO As String</t>
        </is>
      </c>
    </row>
    <row r="133">
      <c r="A133" t="inlineStr">
        <is>
          <t>VBA</t>
        </is>
      </c>
      <c r="B133" t="inlineStr">
        <is>
          <t xml:space="preserve">    Dim projet As String, sh As Object, rc As Long, fichier As String</t>
        </is>
      </c>
    </row>
    <row r="134">
      <c r="A134" t="inlineStr">
        <is>
          <t>VBA</t>
        </is>
      </c>
      <c r="B134" t="inlineStr">
        <is>
          <t xml:space="preserve">    Dim ws As Worksheet, stream As Object, contenu As String, lignes() As String, i As Long</t>
        </is>
      </c>
    </row>
    <row r="135">
      <c r="A135" t="inlineStr">
        <is>
          <t>VBA</t>
        </is>
      </c>
      <c r="B135" t="inlineStr">
        <is>
          <t xml:space="preserve">    On Error GoTo Erreur</t>
        </is>
      </c>
    </row>
    <row r="136">
      <c r="A136" t="inlineStr">
        <is>
          <t>VBA</t>
        </is>
      </c>
      <c r="B136" t="inlineStr"/>
    </row>
    <row r="137">
      <c r="A137" t="inlineStr">
        <is>
          <t>VBA</t>
        </is>
      </c>
      <c r="B137" t="inlineStr">
        <is>
          <t xml:space="preserve">    lastCol = Cells(1, Columns.Count).End(xlToLeft).Column</t>
        </is>
      </c>
    </row>
    <row r="138">
      <c r="A138" t="inlineStr">
        <is>
          <t>VBA</t>
        </is>
      </c>
      <c r="B138" t="inlineStr">
        <is>
          <t xml:space="preserve">    For c = 1 To lastCol</t>
        </is>
      </c>
    </row>
    <row r="139">
      <c r="A139" t="inlineStr">
        <is>
          <t>VBA</t>
        </is>
      </c>
      <c r="B139" t="inlineStr">
        <is>
          <t xml:space="preserve">        If LCase(Trim(CStr(Cells(1, c).Value))) = "id_ao" Then idCol = c: Exit For</t>
        </is>
      </c>
    </row>
    <row r="140">
      <c r="A140" t="inlineStr">
        <is>
          <t>VBA</t>
        </is>
      </c>
      <c r="B140" t="inlineStr">
        <is>
          <t xml:space="preserve">    Next c</t>
        </is>
      </c>
    </row>
    <row r="141">
      <c r="A141" t="inlineStr">
        <is>
          <t>VBA</t>
        </is>
      </c>
      <c r="B141" t="inlineStr">
        <is>
          <t xml:space="preserve">    If idCol = 0 Then</t>
        </is>
      </c>
    </row>
    <row r="142">
      <c r="A142" t="inlineStr">
        <is>
          <t>VBA</t>
        </is>
      </c>
      <c r="B142" t="inlineStr">
        <is>
          <t xml:space="preserve">        MsgBox "Place-toi sur l'onglet AO_Nettoyage_IDF (colonne id_ao requise).", vbExclamation</t>
        </is>
      </c>
    </row>
    <row r="143">
      <c r="A143" t="inlineStr">
        <is>
          <t>VBA</t>
        </is>
      </c>
      <c r="B143" t="inlineStr">
        <is>
          <t xml:space="preserve">        Exit Sub</t>
        </is>
      </c>
    </row>
    <row r="144">
      <c r="A144" t="inlineStr">
        <is>
          <t>VBA</t>
        </is>
      </c>
      <c r="B144" t="inlineStr">
        <is>
          <t xml:space="preserve">    End If</t>
        </is>
      </c>
    </row>
    <row r="145">
      <c r="A145" t="inlineStr">
        <is>
          <t>VBA</t>
        </is>
      </c>
      <c r="B145" t="inlineStr">
        <is>
          <t xml:space="preserve">    If ActiveCell.Row &lt; 2 Then</t>
        </is>
      </c>
    </row>
    <row r="146">
      <c r="A146" t="inlineStr">
        <is>
          <t>VBA</t>
        </is>
      </c>
      <c r="B146" t="inlineStr">
        <is>
          <t xml:space="preserve">        MsgBox "Selectionne d'abord une ligne d'appel d'offres.", vbInformation</t>
        </is>
      </c>
    </row>
    <row r="147">
      <c r="A147" t="inlineStr">
        <is>
          <t>VBA</t>
        </is>
      </c>
      <c r="B147" t="inlineStr">
        <is>
          <t xml:space="preserve">        Exit Sub</t>
        </is>
      </c>
    </row>
    <row r="148">
      <c r="A148" t="inlineStr">
        <is>
          <t>VBA</t>
        </is>
      </c>
      <c r="B148" t="inlineStr">
        <is>
          <t xml:space="preserve">    End If</t>
        </is>
      </c>
    </row>
    <row r="149">
      <c r="A149" t="inlineStr">
        <is>
          <t>VBA</t>
        </is>
      </c>
      <c r="B149" t="inlineStr">
        <is>
          <t xml:space="preserve">    idAO = Trim(CStr(Cells(ActiveCell.Row, idCol).Value))</t>
        </is>
      </c>
    </row>
    <row r="150">
      <c r="A150" t="inlineStr">
        <is>
          <t>VBA</t>
        </is>
      </c>
      <c r="B150" t="inlineStr">
        <is>
          <t xml:space="preserve">    If idAO = "" Then</t>
        </is>
      </c>
    </row>
    <row r="151">
      <c r="A151" t="inlineStr">
        <is>
          <t>VBA</t>
        </is>
      </c>
      <c r="B151" t="inlineStr">
        <is>
          <t xml:space="preserve">        MsgBox "Pas d'identifiant sur cette ligne.", vbInformation</t>
        </is>
      </c>
    </row>
    <row r="152">
      <c r="A152" t="inlineStr">
        <is>
          <t>VBA</t>
        </is>
      </c>
      <c r="B152" t="inlineStr">
        <is>
          <t xml:space="preserve">        Exit Sub</t>
        </is>
      </c>
    </row>
    <row r="153">
      <c r="A153" t="inlineStr">
        <is>
          <t>VBA</t>
        </is>
      </c>
      <c r="B153" t="inlineStr">
        <is>
          <t xml:space="preserve">    End If</t>
        </is>
      </c>
    </row>
    <row r="154">
      <c r="A154" t="inlineStr">
        <is>
          <t>VBA</t>
        </is>
      </c>
      <c r="B154" t="inlineStr"/>
    </row>
    <row r="155">
      <c r="A155" t="inlineStr">
        <is>
          <t>VBA</t>
        </is>
      </c>
      <c r="B155" t="inlineStr">
        <is>
          <t xml:space="preserve">    projet = ThisWorkbook.Path &amp; "\.."</t>
        </is>
      </c>
    </row>
    <row r="156">
      <c r="A156" t="inlineStr">
        <is>
          <t>VBA</t>
        </is>
      </c>
      <c r="B156" t="inlineStr">
        <is>
          <t xml:space="preserve">    Application.StatusBar = "Generation du message IA en cours (Ollama)..."</t>
        </is>
      </c>
    </row>
    <row r="157">
      <c r="A157" t="inlineStr">
        <is>
          <t>VBA</t>
        </is>
      </c>
      <c r="B157" t="inlineStr">
        <is>
          <t xml:space="preserve">    Set sh = CreateObject("WScript.Shell")</t>
        </is>
      </c>
    </row>
    <row r="158">
      <c r="A158" t="inlineStr">
        <is>
          <t>VBA</t>
        </is>
      </c>
      <c r="B158" t="inlineStr">
        <is>
          <t xml:space="preserve">    rc = sh.Run("cmd /c cd /d """ &amp; projet &amp; """ &amp;&amp; python outils\generer_message_ao.py """ &amp; idAO &amp; """", 0, True)</t>
        </is>
      </c>
    </row>
    <row r="159">
      <c r="A159" t="inlineStr">
        <is>
          <t>VBA</t>
        </is>
      </c>
      <c r="B159" t="inlineStr">
        <is>
          <t xml:space="preserve">    Application.StatusBar = False</t>
        </is>
      </c>
    </row>
    <row r="160">
      <c r="A160" t="inlineStr">
        <is>
          <t>VBA</t>
        </is>
      </c>
      <c r="B160" t="inlineStr"/>
    </row>
    <row r="161">
      <c r="A161" t="inlineStr">
        <is>
          <t>VBA</t>
        </is>
      </c>
      <c r="B161" t="inlineStr">
        <is>
          <t xml:space="preserve">    fichier = projet &amp; "\output\_message_ao.txt"</t>
        </is>
      </c>
    </row>
    <row r="162">
      <c r="A162" t="inlineStr">
        <is>
          <t>VBA</t>
        </is>
      </c>
      <c r="B162" t="inlineStr">
        <is>
          <t xml:space="preserve">    If Dir(fichier) = "" Then</t>
        </is>
      </c>
    </row>
    <row r="163">
      <c r="A163" t="inlineStr">
        <is>
          <t>VBA</t>
        </is>
      </c>
      <c r="B163" t="inlineStr">
        <is>
          <t xml:space="preserve">        MsgBox "Generation echouee (fichier non produit). Verifie Python/Ollama.", vbExclamation</t>
        </is>
      </c>
    </row>
    <row r="164">
      <c r="A164" t="inlineStr">
        <is>
          <t>VBA</t>
        </is>
      </c>
      <c r="B164" t="inlineStr">
        <is>
          <t xml:space="preserve">        Exit Sub</t>
        </is>
      </c>
    </row>
    <row r="165">
      <c r="A165" t="inlineStr">
        <is>
          <t>VBA</t>
        </is>
      </c>
      <c r="B165" t="inlineStr">
        <is>
          <t xml:space="preserve">    End If</t>
        </is>
      </c>
    </row>
    <row r="166">
      <c r="A166" t="inlineStr">
        <is>
          <t>VBA</t>
        </is>
      </c>
      <c r="B166" t="inlineStr"/>
    </row>
    <row r="167">
      <c r="A167" t="inlineStr">
        <is>
          <t>VBA</t>
        </is>
      </c>
      <c r="B167" t="inlineStr">
        <is>
          <t xml:space="preserve">    Set stream = CreateObject("ADODB.Stream")</t>
        </is>
      </c>
    </row>
    <row r="168">
      <c r="A168" t="inlineStr">
        <is>
          <t>VBA</t>
        </is>
      </c>
      <c r="B168" t="inlineStr">
        <is>
          <t xml:space="preserve">    stream.Charset = "utf-8"</t>
        </is>
      </c>
    </row>
    <row r="169">
      <c r="A169" t="inlineStr">
        <is>
          <t>VBA</t>
        </is>
      </c>
      <c r="B169" t="inlineStr">
        <is>
          <t xml:space="preserve">    stream.Open</t>
        </is>
      </c>
    </row>
    <row r="170">
      <c r="A170" t="inlineStr">
        <is>
          <t>VBA</t>
        </is>
      </c>
      <c r="B170" t="inlineStr">
        <is>
          <t xml:space="preserve">    stream.LoadFromFile fichier</t>
        </is>
      </c>
    </row>
    <row r="171">
      <c r="A171" t="inlineStr">
        <is>
          <t>VBA</t>
        </is>
      </c>
      <c r="B171" t="inlineStr">
        <is>
          <t xml:space="preserve">    contenu = stream.ReadText</t>
        </is>
      </c>
    </row>
    <row r="172">
      <c r="A172" t="inlineStr">
        <is>
          <t>VBA</t>
        </is>
      </c>
      <c r="B172" t="inlineStr">
        <is>
          <t xml:space="preserve">    stream.Close</t>
        </is>
      </c>
    </row>
    <row r="173">
      <c r="A173" t="inlineStr">
        <is>
          <t>VBA</t>
        </is>
      </c>
      <c r="B173" t="inlineStr"/>
    </row>
    <row r="174">
      <c r="A174" t="inlineStr">
        <is>
          <t>VBA</t>
        </is>
      </c>
      <c r="B174" t="inlineStr">
        <is>
          <t xml:space="preserve">    On Error Resume Next</t>
        </is>
      </c>
    </row>
    <row r="175">
      <c r="A175" t="inlineStr">
        <is>
          <t>VBA</t>
        </is>
      </c>
      <c r="B175" t="inlineStr">
        <is>
          <t xml:space="preserve">    Set ws = ThisWorkbook.Sheets("Message_IA")</t>
        </is>
      </c>
    </row>
    <row r="176">
      <c r="A176" t="inlineStr">
        <is>
          <t>VBA</t>
        </is>
      </c>
      <c r="B176" t="inlineStr">
        <is>
          <t xml:space="preserve">    On Error GoTo Erreur</t>
        </is>
      </c>
    </row>
    <row r="177">
      <c r="A177" t="inlineStr">
        <is>
          <t>VBA</t>
        </is>
      </c>
      <c r="B177" t="inlineStr">
        <is>
          <t xml:space="preserve">    If ws Is Nothing Then</t>
        </is>
      </c>
    </row>
    <row r="178">
      <c r="A178" t="inlineStr">
        <is>
          <t>VBA</t>
        </is>
      </c>
      <c r="B178" t="inlineStr">
        <is>
          <t xml:space="preserve">        Set ws = ThisWorkbook.Sheets.Add(After:=ThisWorkbook.Sheets(ThisWorkbook.Sheets.Count))</t>
        </is>
      </c>
    </row>
    <row r="179">
      <c r="A179" t="inlineStr">
        <is>
          <t>VBA</t>
        </is>
      </c>
      <c r="B179" t="inlineStr">
        <is>
          <t xml:space="preserve">        ws.Name = "Message_IA"</t>
        </is>
      </c>
    </row>
    <row r="180">
      <c r="A180" t="inlineStr">
        <is>
          <t>VBA</t>
        </is>
      </c>
      <c r="B180" t="inlineStr">
        <is>
          <t xml:space="preserve">    End If</t>
        </is>
      </c>
    </row>
    <row r="181">
      <c r="A181" t="inlineStr">
        <is>
          <t>VBA</t>
        </is>
      </c>
      <c r="B181" t="inlineStr">
        <is>
          <t xml:space="preserve">    ws.Cells.Clear</t>
        </is>
      </c>
    </row>
    <row r="182">
      <c r="A182" t="inlineStr">
        <is>
          <t>VBA</t>
        </is>
      </c>
      <c r="B182" t="inlineStr">
        <is>
          <t xml:space="preserve">    ws.Columns(1).NumberFormat = "@"   ' texte : sinon "===..." est pris pour une formule (erreur 1004)</t>
        </is>
      </c>
    </row>
    <row r="183">
      <c r="A183" t="inlineStr">
        <is>
          <t>VBA</t>
        </is>
      </c>
      <c r="B183" t="inlineStr">
        <is>
          <t xml:space="preserve">    lignes = Split(Replace(contenu, vbCrLf, vbLf), vbLf)</t>
        </is>
      </c>
    </row>
    <row r="184">
      <c r="A184" t="inlineStr">
        <is>
          <t>VBA</t>
        </is>
      </c>
      <c r="B184" t="inlineStr">
        <is>
          <t xml:space="preserve">    For i = 0 To UBound(lignes)</t>
        </is>
      </c>
    </row>
    <row r="185">
      <c r="A185" t="inlineStr">
        <is>
          <t>VBA</t>
        </is>
      </c>
      <c r="B185" t="inlineStr">
        <is>
          <t xml:space="preserve">        ws.Cells(i + 1, 1).Value = lignes(i)</t>
        </is>
      </c>
    </row>
    <row r="186">
      <c r="A186" t="inlineStr">
        <is>
          <t>VBA</t>
        </is>
      </c>
      <c r="B186" t="inlineStr">
        <is>
          <t xml:space="preserve">    Next i</t>
        </is>
      </c>
    </row>
    <row r="187">
      <c r="A187" t="inlineStr">
        <is>
          <t>VBA</t>
        </is>
      </c>
      <c r="B187" t="inlineStr">
        <is>
          <t xml:space="preserve">    ws.Columns(1).ColumnWidth = 110</t>
        </is>
      </c>
    </row>
    <row r="188">
      <c r="A188" t="inlineStr">
        <is>
          <t>VBA</t>
        </is>
      </c>
      <c r="B188" t="inlineStr">
        <is>
          <t xml:space="preserve">    ws.Activate</t>
        </is>
      </c>
    </row>
    <row r="189">
      <c r="A189" t="inlineStr">
        <is>
          <t>VBA</t>
        </is>
      </c>
      <c r="B189" t="inlineStr">
        <is>
          <t xml:space="preserve">    ws.Range("A1").Select</t>
        </is>
      </c>
    </row>
    <row r="190">
      <c r="A190" t="inlineStr">
        <is>
          <t>VBA</t>
        </is>
      </c>
      <c r="B190" t="inlineStr">
        <is>
          <t xml:space="preserve">    MsgBox "Message genere dans l'onglet Message_IA (copier/coller depuis la colonne A).", vbInformation</t>
        </is>
      </c>
    </row>
    <row r="191">
      <c r="A191" t="inlineStr">
        <is>
          <t>VBA</t>
        </is>
      </c>
      <c r="B191" t="inlineStr">
        <is>
          <t xml:space="preserve">    Exit Sub</t>
        </is>
      </c>
    </row>
    <row r="192">
      <c r="A192" t="inlineStr">
        <is>
          <t>VBA</t>
        </is>
      </c>
      <c r="B192" t="inlineStr">
        <is>
          <t>Erreur:</t>
        </is>
      </c>
    </row>
    <row r="193">
      <c r="A193" t="inlineStr">
        <is>
          <t>VBA</t>
        </is>
      </c>
      <c r="B193" t="inlineStr">
        <is>
          <t xml:space="preserve">    Application.StatusBar = False</t>
        </is>
      </c>
    </row>
    <row r="194">
      <c r="A194" t="inlineStr">
        <is>
          <t>VBA</t>
        </is>
      </c>
      <c r="B194" t="inlineStr">
        <is>
          <t xml:space="preserve">    MsgBox "Erreur generation message : " &amp; Err.Number &amp; " - " &amp; Err.Description, vbExclamation</t>
        </is>
      </c>
    </row>
    <row r="195">
      <c r="A195" t="inlineStr">
        <is>
          <t>VBA</t>
        </is>
      </c>
      <c r="B195" t="inlineStr">
        <is>
          <t>End Sub</t>
        </is>
      </c>
    </row>
    <row r="196">
      <c r="A196" t="inlineStr">
        <is>
          <t>VBA</t>
        </is>
      </c>
      <c r="B196" t="inlineStr"/>
    </row>
    <row r="197">
      <c r="A197" t="inlineStr">
        <is>
          <t>VBA</t>
        </is>
      </c>
      <c r="B197" t="inlineStr">
        <is>
          <t>Sub Ouvrir_Lien_AO()</t>
        </is>
      </c>
    </row>
    <row r="198">
      <c r="A198" t="inlineStr">
        <is>
          <t>VBA</t>
        </is>
      </c>
      <c r="B198" t="inlineStr">
        <is>
          <t xml:space="preserve">    Dim urlCol As Long</t>
        </is>
      </c>
    </row>
    <row r="199">
      <c r="A199" t="inlineStr">
        <is>
          <t>VBA</t>
        </is>
      </c>
      <c r="B199" t="inlineStr">
        <is>
          <t xml:space="preserve">    Dim lastCol As Long</t>
        </is>
      </c>
    </row>
    <row r="200">
      <c r="A200" t="inlineStr">
        <is>
          <t>VBA</t>
        </is>
      </c>
      <c r="B200" t="inlineStr">
        <is>
          <t xml:space="preserve">    Dim c As Long</t>
        </is>
      </c>
    </row>
    <row r="201">
      <c r="A201" t="inlineStr">
        <is>
          <t>VBA</t>
        </is>
      </c>
      <c r="B201" t="inlineStr">
        <is>
          <t xml:space="preserve">    lastCol = Cells(1, Columns.Count).End(xlToLeft).Column</t>
        </is>
      </c>
    </row>
    <row r="202">
      <c r="A202" t="inlineStr">
        <is>
          <t>VBA</t>
        </is>
      </c>
      <c r="B202" t="inlineStr">
        <is>
          <t xml:space="preserve">    For c = 1 To lastCol</t>
        </is>
      </c>
    </row>
    <row r="203">
      <c r="A203" t="inlineStr">
        <is>
          <t>VBA</t>
        </is>
      </c>
      <c r="B203" t="inlineStr">
        <is>
          <t xml:space="preserve">        If Cells(1, c).Value = "url_avis" Then</t>
        </is>
      </c>
    </row>
    <row r="204">
      <c r="A204" t="inlineStr">
        <is>
          <t>VBA</t>
        </is>
      </c>
      <c r="B204" t="inlineStr">
        <is>
          <t xml:space="preserve">            urlCol = c</t>
        </is>
      </c>
    </row>
    <row r="205">
      <c r="A205" t="inlineStr">
        <is>
          <t>VBA</t>
        </is>
      </c>
      <c r="B205" t="inlineStr">
        <is>
          <t xml:space="preserve">            Exit For</t>
        </is>
      </c>
    </row>
    <row r="206">
      <c r="A206" t="inlineStr">
        <is>
          <t>VBA</t>
        </is>
      </c>
      <c r="B206" t="inlineStr">
        <is>
          <t xml:space="preserve">        End If</t>
        </is>
      </c>
    </row>
    <row r="207">
      <c r="A207" t="inlineStr">
        <is>
          <t>VBA</t>
        </is>
      </c>
      <c r="B207" t="inlineStr">
        <is>
          <t xml:space="preserve">    Next c</t>
        </is>
      </c>
    </row>
    <row r="208">
      <c r="A208" t="inlineStr">
        <is>
          <t>VBA</t>
        </is>
      </c>
      <c r="B208" t="inlineStr">
        <is>
          <t xml:space="preserve">    If urlCol = 0 Then</t>
        </is>
      </c>
    </row>
    <row r="209">
      <c r="A209" t="inlineStr">
        <is>
          <t>VBA</t>
        </is>
      </c>
      <c r="B209" t="inlineStr">
        <is>
          <t xml:space="preserve">        MsgBox "Colonne url_avis introuvable.", vbExclamation</t>
        </is>
      </c>
    </row>
    <row r="210">
      <c r="A210" t="inlineStr">
        <is>
          <t>VBA</t>
        </is>
      </c>
      <c r="B210" t="inlineStr">
        <is>
          <t xml:space="preserve">        Exit Sub</t>
        </is>
      </c>
    </row>
    <row r="211">
      <c r="A211" t="inlineStr">
        <is>
          <t>VBA</t>
        </is>
      </c>
      <c r="B211" t="inlineStr">
        <is>
          <t xml:space="preserve">    End If</t>
        </is>
      </c>
    </row>
    <row r="212">
      <c r="A212" t="inlineStr">
        <is>
          <t>VBA</t>
        </is>
      </c>
      <c r="B212" t="inlineStr">
        <is>
          <t xml:space="preserve">    If ActiveCell.Row &lt; 2 Then</t>
        </is>
      </c>
    </row>
    <row r="213">
      <c r="A213" t="inlineStr">
        <is>
          <t>VBA</t>
        </is>
      </c>
      <c r="B213" t="inlineStr">
        <is>
          <t xml:space="preserve">        MsgBox "Selectionne une ligne AO.", vbInformation</t>
        </is>
      </c>
    </row>
    <row r="214">
      <c r="A214" t="inlineStr">
        <is>
          <t>VBA</t>
        </is>
      </c>
      <c r="B214" t="inlineStr">
        <is>
          <t xml:space="preserve">        Exit Sub</t>
        </is>
      </c>
    </row>
    <row r="215">
      <c r="A215" t="inlineStr">
        <is>
          <t>VBA</t>
        </is>
      </c>
      <c r="B215" t="inlineStr">
        <is>
          <t xml:space="preserve">    End If</t>
        </is>
      </c>
    </row>
    <row r="216">
      <c r="A216" t="inlineStr">
        <is>
          <t>VBA</t>
        </is>
      </c>
      <c r="B216" t="inlineStr">
        <is>
          <t xml:space="preserve">    If Cells(ActiveCell.Row, urlCol).Value &lt;&gt; "" Then</t>
        </is>
      </c>
    </row>
    <row r="217">
      <c r="A217" t="inlineStr">
        <is>
          <t>VBA</t>
        </is>
      </c>
      <c r="B217" t="inlineStr">
        <is>
          <t xml:space="preserve">        ThisWorkbook.FollowHyperlink Cells(ActiveCell.Row, urlCol).Value</t>
        </is>
      </c>
    </row>
    <row r="218">
      <c r="A218" t="inlineStr">
        <is>
          <t>VBA</t>
        </is>
      </c>
      <c r="B218" t="inlineStr">
        <is>
          <t xml:space="preserve">    Else</t>
        </is>
      </c>
    </row>
    <row r="219">
      <c r="A219" t="inlineStr">
        <is>
          <t>VBA</t>
        </is>
      </c>
      <c r="B219" t="inlineStr">
        <is>
          <t xml:space="preserve">        MsgBox "Aucun lien source sur cette ligne.", vbInformation</t>
        </is>
      </c>
    </row>
    <row r="220">
      <c r="A220" t="inlineStr">
        <is>
          <t>VBA</t>
        </is>
      </c>
      <c r="B220" t="inlineStr">
        <is>
          <t xml:space="preserve">    End If</t>
        </is>
      </c>
    </row>
    <row r="221">
      <c r="A221" t="inlineStr">
        <is>
          <t>VBA</t>
        </is>
      </c>
      <c r="B221" t="inlineStr">
        <is>
          <t>End Sub</t>
        </is>
      </c>
    </row>
  </sheetData>
  <pageMargins left="0.75" right="0.75" top="1" bottom="1" header="0.5" footer="0.5"/>
  <tableParts count="1">
    <tablePart xmlns:r="http://schemas.openxmlformats.org/officeDocument/2006/relationships" r:id="rId1"/>
  </tableParts>
</worksheet>
</file>

<file path=xl/worksheets/sheet16.xml><?xml version="1.0" encoding="utf-8"?>
<worksheet xmlns="http://schemas.openxmlformats.org/spreadsheetml/2006/main">
  <sheetPr>
    <outlinePr summaryBelow="1" summaryRight="1"/>
    <pageSetUpPr/>
  </sheetPr>
  <dimension ref="A1:G4"/>
  <sheetViews>
    <sheetView workbookViewId="0">
      <pane ySplit="1" topLeftCell="A2" activePane="bottomLeft" state="frozen"/>
      <selection pane="bottomLeft" activeCell="A1" sqref="A1"/>
    </sheetView>
  </sheetViews>
  <sheetFormatPr baseColWidth="8" defaultRowHeight="15"/>
  <cols>
    <col width="10" customWidth="1" min="1" max="1"/>
    <col width="34" customWidth="1" min="2" max="2"/>
    <col width="10" customWidth="1" min="3" max="3"/>
    <col width="10" customWidth="1" min="4" max="4"/>
    <col width="10" customWidth="1" min="5" max="5"/>
    <col width="21" customWidth="1" min="6" max="6"/>
    <col width="55" customWidth="1" min="7" max="7"/>
  </cols>
  <sheetData>
    <row r="1">
      <c r="A1" s="12" t="inlineStr">
        <is>
          <t>id</t>
        </is>
      </c>
      <c r="B1" s="12" t="inlineStr">
        <is>
          <t>run_at</t>
        </is>
      </c>
      <c r="C1" s="12" t="inlineStr">
        <is>
          <t>source</t>
        </is>
      </c>
      <c r="D1" s="12" t="inlineStr">
        <is>
          <t>fetched</t>
        </is>
      </c>
      <c r="E1" s="12" t="inlineStr">
        <is>
          <t>kept</t>
        </is>
      </c>
      <c r="F1" s="12" t="inlineStr">
        <is>
          <t>inserted_or_updated</t>
        </is>
      </c>
      <c r="G1" s="12" t="inlineStr">
        <is>
          <t>details</t>
        </is>
      </c>
    </row>
    <row r="2">
      <c r="A2" t="n">
        <v>3</v>
      </c>
      <c r="B2" t="inlineStr">
        <is>
          <t>2026-08-31T12:50:51.887605+00:00</t>
        </is>
      </c>
      <c r="C2" t="inlineStr">
        <is>
          <t>BOAMP</t>
        </is>
      </c>
      <c r="D2" t="n">
        <v>986</v>
      </c>
      <c r="E2" t="n">
        <v>23</v>
      </c>
      <c r="F2" t="n">
        <v>23</v>
      </c>
      <c r="G2" t="inlineStr">
        <is>
          <t>{"raw_path": "C:\\Users\\marce\\CHRUTH\\data\\ao_raw\\boamp_collect_20260831_145051.json", "skipped_reasons": {"avis non actif ou attribution": 278, "aucun mot-cle CHRUTH": 570, "exclusion dure": 33, "hors IDF": 82}, "kept_reasons": {"ok": 21, "ok personnel": 2}, "where": "(\"nettoyage\" OR \"proprete\" OR \"entretien des locaux\" OR \"entretien locaux\" OR \"nettoyage de vitres\" OR \"bionettoyage\" OR \"menage\" OR \"hygiene des locaux\" OR \"entretien menager\" OR \"proprete des locaux\" OR \"desinfection\" OR \"mise a disposition de personnel\" OR \"mise a disposition d'agents\" OR \"personnel de service\" OR \"agents de service\" OR \"personnel d'entretien\" OR \"agent polyvalent\" OR \"agents polyvalents\" OR \"renfort d'agents\" OR \"personnel d'accueil\" OR \"agents d'accueil\" OR \"agent de gardiennage\" OR \"gardiennage\" OR \"agents de manutention\" OR \"personnel de restauration\" OR \"agents de restauration\" OR \"interim\" OR \"travail temporaire\") AND dateparution &gt;= date'2026-08-17'", "strict_budget": false, "idf_only": true}</t>
        </is>
      </c>
    </row>
    <row r="3">
      <c r="A3" t="n">
        <v>2</v>
      </c>
      <c r="B3" t="inlineStr">
        <is>
          <t>2026-08-31T12:49:22.605370+00:00</t>
        </is>
      </c>
      <c r="C3" t="inlineStr">
        <is>
          <t>BOAMP</t>
        </is>
      </c>
      <c r="D3" t="n">
        <v>2141</v>
      </c>
      <c r="E3" t="n">
        <v>45</v>
      </c>
      <c r="F3" t="n">
        <v>45</v>
      </c>
      <c r="G3" t="inlineStr">
        <is>
          <t>{"raw_path": "C:\\Users\\marce\\CHRUTH\\data\\ao_raw\\boamp_collect_20260831_144921.json", "skipped_reasons": {"avis non actif ou attribution": 642, "aucun mot-cle CHRUTH": 1195, "exclusion dure": 79, "hors IDF": 180}, "kept_reasons": {"ok": 36, "ok personnel": 9}, "where": "(\"nettoyage\" OR \"proprete\" OR \"entretien des locaux\" OR \"entretien locaux\" OR \"nettoyage de vitres\" OR \"bionettoyage\" OR \"menage\" OR \"hygiene des locaux\" OR \"entretien menager\" OR \"proprete des locaux\" OR \"desinfection\" OR \"mise a disposition de personnel\" OR \"mise a disposition d'agents\" OR \"personnel de service\" OR \"agents de service\" OR \"personnel d'entretien\" OR \"agent polyvalent\" OR \"agents polyvalents\" OR \"renfort d'agents\" OR \"personnel d'accueil\" OR \"agents d'accueil\" OR \"agent de gardiennage\" OR \"gardiennage\" OR \"agents de manutention\" OR \"personnel de restauration\" OR \"agents de restauration\" OR \"interim\" OR \"travail temporaire\") AND dateparution &gt;= date'2026-08-01'", "strict_budget": false, "idf_only": true}</t>
        </is>
      </c>
    </row>
    <row r="4">
      <c r="A4" t="n">
        <v>1</v>
      </c>
      <c r="B4" t="inlineStr">
        <is>
          <t>2026-07-28T07:02:44.786550+00:00</t>
        </is>
      </c>
      <c r="C4" t="inlineStr">
        <is>
          <t>BOAMP</t>
        </is>
      </c>
      <c r="D4" t="n">
        <v>1476</v>
      </c>
      <c r="E4" t="n">
        <v>37</v>
      </c>
      <c r="F4" t="n">
        <v>37</v>
      </c>
      <c r="G4" t="inlineStr">
        <is>
          <t>{"raw_path": "C:\\Users\\marce\\CHRUTH\\data\\ao_raw\\boamp_collect_20260728_090244.json", "skipped_reasons": {"hors IDF": 124, "aucun mot-cle CHRUTH": 866, "avis non actif ou attribution": 407, "exclusion dure": 42}, "kept_reasons": {"ok": 25, "ok personnel": 12}, "where": "(\"nettoyage\" OR \"proprete\" OR \"entretien des locaux\" OR \"entretien locaux\" OR \"nettoyage de vitres\" OR \"bionettoyage\" OR \"menage\" OR \"hygiene des locaux\" OR \"entretien menager\" OR \"proprete des locaux\" OR \"desinfection\" OR \"mise a disposition de personnel\" OR \"mise a disposition d'agents\" OR \"personnel de service\" OR \"agents de service\" OR \"personnel d'entretien\" OR \"agent polyvalent\" OR \"agents polyvalents\" OR \"renfort d'agents\" OR \"personnel d'accueil\" OR \"agents d'accueil\" OR \"agent de gardiennage\" OR \"gardiennage\" OR \"agents de manutention\" OR \"personnel de restauration\" OR \"agents de restauration\" OR \"interim\" OR \"travail temporaire\") AND dateparution &gt;= date'2026-07-14'", "strict_budget": false, "idf_only": true}</t>
        </is>
      </c>
    </row>
  </sheetData>
  <pageMargins left="0.75" right="0.75" top="1" bottom="1" header="0.5" footer="0.5"/>
  <tableParts count="1">
    <tablePart xmlns:r="http://schemas.openxmlformats.org/officeDocument/2006/relationships" r:id="rId1"/>
  </tableParts>
</worksheet>
</file>

<file path=xl/worksheets/sheet17.xml><?xml version="1.0" encoding="utf-8"?>
<worksheet xmlns="http://schemas.openxmlformats.org/spreadsheetml/2006/main">
  <sheetPr codeName="Feuil2">
    <outlinePr summaryBelow="1" summaryRight="1"/>
    <pageSetUpPr/>
  </sheetPr>
  <dimension ref="A1:B54"/>
  <sheetViews>
    <sheetView workbookViewId="0">
      <selection activeCell="A1" sqref="A1"/>
    </sheetView>
  </sheetViews>
  <sheetFormatPr baseColWidth="10" defaultRowHeight="14.5"/>
  <cols>
    <col width="42.6328125" customWidth="1" min="1" max="1"/>
    <col width="32.6328125" customWidth="1" min="2" max="2"/>
  </cols>
  <sheetData>
    <row r="1">
      <c r="A1" t="inlineStr">
        <is>
          <t>Region a mettre a jour (AO)</t>
        </is>
      </c>
    </row>
    <row r="2">
      <c r="A2" t="inlineStr">
        <is>
          <t>Notifications email</t>
        </is>
      </c>
      <c r="B2" s="17" t="inlineStr">
        <is>
          <t>OFF</t>
        </is>
      </c>
    </row>
    <row r="3">
      <c r="A3" t="inlineStr">
        <is>
          <t>Collecte donnees</t>
        </is>
      </c>
      <c r="B3" s="18" t="inlineStr">
        <is>
          <t>ON</t>
        </is>
      </c>
    </row>
    <row r="4">
      <c r="A4" t="inlineStr">
        <is>
          <t>Destinataires des alertes (une adresse par ligne)</t>
        </is>
      </c>
    </row>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sheetData>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Marcel Digbeu</dc:creator>
  <dcterms:created xmlns:dcterms="http://purl.org/dc/terms/" xmlns:xsi="http://www.w3.org/2001/XMLSchema-instance" xsi:type="dcterms:W3CDTF">2026-06-22T19:23:09Z</dcterms:created>
  <dcterms:modified xmlns:dcterms="http://purl.org/dc/terms/" xmlns:xsi="http://www.w3.org/2001/XMLSchema-instance" xsi:type="dcterms:W3CDTF">2026-08-31T12:50:54Z</dcterms:modified>
  <cp:lastModifiedBy>Marcel Digbeu</cp:lastModifiedBy>
</cp:coreProperties>
</file>