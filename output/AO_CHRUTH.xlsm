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tables/table12.xml" ContentType="application/vnd.openxmlformats-officedocument.spreadsheetml.table+xml"/>
  <Override PartName="/xl/worksheets/sheet14.xml" ContentType="application/vnd.openxmlformats-officedocument.spreadsheetml.worksheet+xml"/>
  <Override PartName="/xl/tables/table13.xml" ContentType="application/vnd.openxmlformats-officedocument.spreadsheetml.table+xml"/>
  <Override PartName="/xl/worksheets/sheet15.xml" ContentType="application/vnd.openxmlformats-officedocument.spreadsheetml.worksheet+xml"/>
  <Override PartName="/xl/tables/table14.xml" ContentType="application/vnd.openxmlformats-officedocument.spreadsheetml.table+xml"/>
  <Override PartName="/xl/worksheets/sheet16.xml" ContentType="application/vnd.openxmlformats-officedocument.spreadsheetml.worksheet+xml"/>
  <Override PartName="/xl/tables/table15.xml" ContentType="application/vnd.openxmlformats-officedocument.spreadsheetml.table+xml"/>
  <Override PartName="/xl/worksheets/sheet1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8520" yWindow="0" windowWidth="6390" windowHeight="9000" tabRatio="600" firstSheet="2" activeTab="2" autoFilterDateGrouping="1"/>
  </bookViews>
  <sheets>
    <sheet xmlns:r="http://schemas.openxmlformats.org/officeDocument/2006/relationships" name="Pilotage" sheetId="1" state="visible" r:id="rId1"/>
    <sheet xmlns:r="http://schemas.openxmlformats.org/officeDocument/2006/relationships" name="Top20_Ouverts" sheetId="2" state="visible" r:id="rId2"/>
    <sheet xmlns:r="http://schemas.openxmlformats.org/officeDocument/2006/relationships" name="AO_Nettoyage_IDF" sheetId="3" state="visible" r:id="rId3"/>
    <sheet xmlns:r="http://schemas.openxmlformats.org/officeDocument/2006/relationships" name="AO_Tous" sheetId="4" state="visible" r:id="rId4"/>
    <sheet xmlns:r="http://schemas.openxmlformats.org/officeDocument/2006/relationships" name="AO_Ile_de_France" sheetId="5" state="visible" r:id="rId5"/>
    <sheet xmlns:r="http://schemas.openxmlformats.org/officeDocument/2006/relationships" name="AO_Region" sheetId="6" state="visible" r:id="rId6"/>
    <sheet xmlns:r="http://schemas.openxmlformats.org/officeDocument/2006/relationships" name="AO_CHAUDS" sheetId="7" state="visible" r:id="rId7"/>
    <sheet xmlns:r="http://schemas.openxmlformats.org/officeDocument/2006/relationships" name="AO_A_VERIFIER" sheetId="8" state="visible" r:id="rId8"/>
    <sheet xmlns:r="http://schemas.openxmlformats.org/officeDocument/2006/relationships" name="DCE_A_RECUPERER" sheetId="9" state="visible" r:id="rId9"/>
    <sheet xmlns:r="http://schemas.openxmlformats.org/officeDocument/2006/relationships" name="CRM_Suivi" sheetId="10" state="visible" r:id="rId10"/>
    <sheet xmlns:r="http://schemas.openxmlformats.org/officeDocument/2006/relationships" name="Agent_IA" sheetId="11" state="visible" r:id="rId11"/>
    <sheet xmlns:r="http://schemas.openxmlformats.org/officeDocument/2006/relationships" name="Scoring" sheetId="12" state="visible" r:id="rId12"/>
    <sheet xmlns:r="http://schemas.openxmlformats.org/officeDocument/2006/relationships" name="Acheteurs" sheetId="13" state="visible" r:id="rId13"/>
    <sheet xmlns:r="http://schemas.openxmlformats.org/officeDocument/2006/relationships" name="Villes_Departements" sheetId="14" state="visible" r:id="rId14"/>
    <sheet xmlns:r="http://schemas.openxmlformats.org/officeDocument/2006/relationships" name="VBA_Bouton" sheetId="15" state="visible" r:id="rId15"/>
    <sheet xmlns:r="http://schemas.openxmlformats.org/officeDocument/2006/relationships" name="Logs_Update" sheetId="16" state="visible" r:id="rId16"/>
    <sheet xmlns:r="http://schemas.openxmlformats.org/officeDocument/2006/relationships" name="Parametres" sheetId="17" state="visible" r:id="rId17"/>
  </sheets>
  <definedNames/>
  <calcPr calcId="191029" fullCalcOnLoad="1"/>
</workbook>
</file>

<file path=xl/styles.xml><?xml version="1.0" encoding="utf-8"?>
<styleSheet xmlns="http://schemas.openxmlformats.org/spreadsheetml/2006/main">
  <numFmts count="3">
    <numFmt numFmtId="164" formatCode="yyyy-mm-dd"/>
    <numFmt numFmtId="165" formatCode="dd/mm/yyyy"/>
    <numFmt numFmtId="166" formatCode="#,##0&quot; €&quot;"/>
  </numFmts>
  <fonts count="8">
    <font>
      <name val="Aptos Narrow"/>
      <family val="2"/>
      <color theme="1"/>
      <sz val="11"/>
      <scheme val="minor"/>
    </font>
    <font>
      <b val="1"/>
      <color rgb="00FFFFFF"/>
      <sz val="16"/>
    </font>
    <font>
      <b val="1"/>
      <color rgb="00FFFFFF"/>
      <sz val="9"/>
    </font>
    <font>
      <b val="1"/>
      <color rgb="001F3864"/>
      <sz val="14"/>
    </font>
    <font>
      <b val="1"/>
      <color rgb="001F3864"/>
      <sz val="12"/>
    </font>
    <font>
      <b val="1"/>
      <color rgb="00FFFFFF"/>
      <sz val="10"/>
    </font>
    <font>
      <name val="Calibri"/>
      <family val="2"/>
      <color theme="10"/>
      <sz val="12"/>
      <scheme val="minor"/>
    </font>
    <font>
      <b val="1"/>
      <color rgb="00FFFFFF"/>
    </font>
  </fonts>
  <fills count="10">
    <fill>
      <patternFill/>
    </fill>
    <fill>
      <patternFill patternType="gray125"/>
    </fill>
    <fill>
      <patternFill patternType="solid">
        <fgColor rgb="FFC6EFCE"/>
        <bgColor indexed="64"/>
      </patternFill>
    </fill>
    <fill>
      <patternFill patternType="solid">
        <fgColor rgb="FFFFCCCC"/>
        <bgColor indexed="64"/>
      </patternFill>
    </fill>
    <fill>
      <patternFill patternType="solid">
        <fgColor rgb="001F3864"/>
        <bgColor rgb="001F3864"/>
      </patternFill>
    </fill>
    <fill>
      <patternFill patternType="solid">
        <fgColor rgb="002E5496"/>
        <bgColor rgb="002E5496"/>
      </patternFill>
    </fill>
    <fill>
      <patternFill patternType="solid">
        <fgColor rgb="00D9E1F2"/>
        <bgColor rgb="00D9E1F2"/>
      </patternFill>
    </fill>
    <fill>
      <patternFill patternType="solid">
        <fgColor rgb="00C6EFCE"/>
      </patternFill>
    </fill>
    <fill>
      <patternFill patternType="solid">
        <fgColor rgb="00C6EFCE"/>
        <bgColor rgb="00C6EFCE"/>
      </patternFill>
    </fill>
    <fill>
      <patternFill patternType="solid">
        <fgColor rgb="00D9EAD3"/>
        <bgColor rgb="00D9EAD3"/>
      </patternFill>
    </fill>
  </fills>
  <borders count="2">
    <border>
      <left/>
      <right/>
      <top/>
      <bottom/>
      <diagonal/>
    </border>
    <border>
      <left style="thin">
        <color rgb="00BFBFBF"/>
      </left>
      <right style="thin">
        <color rgb="00BFBFBF"/>
      </right>
      <top style="thin">
        <color rgb="00BFBFBF"/>
      </top>
      <bottom style="thin">
        <color rgb="00BFBFBF"/>
      </bottom>
    </border>
  </borders>
  <cellStyleXfs count="2">
    <xf numFmtId="0" fontId="0" fillId="0" borderId="0"/>
    <xf numFmtId="0" fontId="6" fillId="0" borderId="0"/>
  </cellStyleXfs>
  <cellXfs count="18">
    <xf numFmtId="0" fontId="0" fillId="0" borderId="0" pivotButton="0" quotePrefix="0" xfId="0"/>
    <xf numFmtId="0" fontId="0" fillId="2" borderId="0" pivotButton="0" quotePrefix="0" xfId="0"/>
    <xf numFmtId="0" fontId="0" fillId="3" borderId="0" pivotButton="0" quotePrefix="0" xfId="0"/>
    <xf numFmtId="0" fontId="1" fillId="4" borderId="0" applyAlignment="1" pivotButton="0" quotePrefix="0" xfId="0">
      <alignment horizontal="left" vertical="center" indent="1"/>
    </xf>
    <xf numFmtId="0" fontId="2" fillId="5" borderId="0" applyAlignment="1" pivotButton="0" quotePrefix="0" xfId="0">
      <alignment horizontal="center" vertical="center"/>
    </xf>
    <xf numFmtId="0" fontId="3" fillId="6" borderId="1" applyAlignment="1" pivotButton="0" quotePrefix="0" xfId="0">
      <alignment horizontal="center" vertical="center"/>
    </xf>
    <xf numFmtId="0" fontId="4" fillId="0" borderId="0" pivotButton="0" quotePrefix="0" xfId="0"/>
    <xf numFmtId="0" fontId="5" fillId="4" borderId="0" applyAlignment="1" pivotButton="0" quotePrefix="0" xfId="0">
      <alignment horizontal="center" vertical="center" wrapText="1"/>
    </xf>
    <xf numFmtId="0" fontId="0" fillId="0" borderId="1" pivotButton="0" quotePrefix="0" xfId="0"/>
    <xf numFmtId="165" fontId="0" fillId="0" borderId="1" pivotButton="0" quotePrefix="0" xfId="0"/>
    <xf numFmtId="0" fontId="6" fillId="0" borderId="0" pivotButton="0" quotePrefix="0" xfId="1"/>
    <xf numFmtId="166" fontId="0" fillId="0" borderId="1" pivotButton="0" quotePrefix="0" xfId="0"/>
    <xf numFmtId="0" fontId="7" fillId="4" borderId="0" applyAlignment="1" pivotButton="0" quotePrefix="0" xfId="0">
      <alignment horizontal="center" vertical="center" wrapText="1"/>
    </xf>
    <xf numFmtId="0" fontId="0" fillId="8" borderId="0" pivotButton="0" quotePrefix="0" xfId="0"/>
    <xf numFmtId="165" fontId="0" fillId="0" borderId="0" pivotButton="0" quotePrefix="0" xfId="0"/>
    <xf numFmtId="166" fontId="0" fillId="0" borderId="0" pivotButton="0" quotePrefix="0" xfId="0"/>
    <xf numFmtId="0" fontId="0" fillId="9" borderId="0" pivotButton="0" quotePrefix="0" xfId="0"/>
    <xf numFmtId="0" fontId="0" fillId="7" borderId="0" pivotButton="0" quotePrefix="0" xfId="0"/>
  </cellXfs>
  <cellStyles count="2">
    <cellStyle name="Normal" xfId="0" builtinId="0"/>
    <cellStyle name="Hyperlink" xfId="1" builtinId="8" hidden="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styles" Target="styles.xml" Id="rId18"/><Relationship Type="http://schemas.openxmlformats.org/officeDocument/2006/relationships/theme" Target="theme/theme1.xml" Id="rId19"/><Relationship Type="http://schemas.microsoft.com/office/2006/relationships/vbaProject" Target="vbaProject.bin" Id="rId20"/></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tables/table1.xml><?xml version="1.0" encoding="utf-8"?>
<table xmlns="http://schemas.openxmlformats.org/spreadsheetml/2006/main" id="1" name="tbl_Top20_Ouverts" displayName="tbl_Top20_Ouverts" ref="A1:K21" headerRowCount="1">
  <autoFilter ref="A1:K21"/>
  <tableColumns count="11">
    <tableColumn id="1" name="rang"/>
    <tableColumn id="2" name="id_ao"/>
    <tableColumn id="3" name="score_chruth"/>
    <tableColumn id="4" name="priorite"/>
    <tableColumn id="5" name="objet"/>
    <tableColumn id="6" name="acheteur"/>
    <tableColumn id="7" name="ville"/>
    <tableColumn id="8" name="departement"/>
    <tableColumn id="9" name="budget_estime_eur"/>
    <tableColumn id="10" name="date_limite"/>
    <tableColumn id="11" name="url_avis"/>
  </tableColumns>
  <tableStyleInfo name="TableStyleMedium2" showRowStripes="1" showColumnStripes="0"/>
</table>
</file>

<file path=xl/tables/table2.xml><?xml version="1.0" encoding="utf-8"?>
<table xmlns="http://schemas.openxmlformats.org/spreadsheetml/2006/main" id="2" name="tbl_AO_Nettoyage_IDF" displayName="tbl_AO_Nettoyage_IDF" ref="A1:N38" headerRowCount="1">
  <autoFilter ref="A1:N38"/>
  <tableColumns count="14">
    <tableColumn id="1" name="Objet de l'AO"/>
    <tableColumn id="2" name="Acheteur"/>
    <tableColumn id="3" name="Secteur"/>
    <tableColumn id="4" name="Catégorie"/>
    <tableColumn id="5" name="Ville"/>
    <tableColumn id="6" name="Département"/>
    <tableColumn id="7" name="Date de publication"/>
    <tableColumn id="8" name="Date limite de réponse"/>
    <tableColumn id="9" name="Budget estimé (€)"/>
    <tableColumn id="10" name="Lien DCE"/>
    <tableColumn id="11" name="Lien avis BOAMP"/>
    <tableColumn id="12" name="Priorité"/>
    <tableColumn id="13" name="Score"/>
    <tableColumn id="14" name="id_ao"/>
  </tableColumns>
  <tableStyleInfo name="TableStyleMedium2" showRowStripes="1" showColumnStripes="0"/>
</table>
</file>

<file path=xl/tables/table3.xml><?xml version="1.0" encoding="utf-8"?>
<table xmlns="http://schemas.openxmlformats.org/spreadsheetml/2006/main" id="3" name="tbl_AO_Tous" displayName="tbl_AO_Tous" ref="A1:BM38" headerRowCount="1">
  <autoFilter ref="A1:BM38"/>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4.xml><?xml version="1.0" encoding="utf-8"?>
<table xmlns="http://schemas.openxmlformats.org/spreadsheetml/2006/main" id="4" name="tbl_AO_Ile_de_France" displayName="tbl_AO_Ile_de_France" ref="A1:BM38" headerRowCount="1">
  <autoFilter ref="A1:BM38"/>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5.xml><?xml version="1.0" encoding="utf-8"?>
<table xmlns="http://schemas.openxmlformats.org/spreadsheetml/2006/main" id="5" name="tbl_AO_Region" displayName="tbl_AO_Region" ref="A1:BM38" headerRowCount="1">
  <autoFilter ref="A1:BM38"/>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6.xml><?xml version="1.0" encoding="utf-8"?>
<table xmlns="http://schemas.openxmlformats.org/spreadsheetml/2006/main" id="6" name="tbl_AO_CHAUDS" displayName="tbl_AO_CHAUDS" ref="A1:BM10" headerRowCount="1">
  <autoFilter ref="A1:BM10"/>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7.xml><?xml version="1.0" encoding="utf-8"?>
<table xmlns="http://schemas.openxmlformats.org/spreadsheetml/2006/main" id="7" name="tbl_AO_A_VERIFIER" displayName="tbl_AO_A_VERIFIER" ref="A1:BM13" headerRowCount="1">
  <autoFilter ref="A1:BM13"/>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8.xml><?xml version="1.0" encoding="utf-8"?>
<table xmlns="http://schemas.openxmlformats.org/spreadsheetml/2006/main" id="8" name="tbl_DCE_A_RECUPERER" displayName="tbl_DCE_A_RECUPERER" ref="A1:G14" headerRowCount="1">
  <autoFilter ref="A1:G14"/>
  <tableColumns count="7">
    <tableColumn id="1" name="id_ao"/>
    <tableColumn id="2" name="objet"/>
    <tableColumn id="3" name="acheteur"/>
    <tableColumn id="4" name="url_dce"/>
    <tableColumn id="5" name="url_profil_acheteur"/>
    <tableColumn id="6" name="dce_statut"/>
    <tableColumn id="7" name="fichier_attendu"/>
  </tableColumns>
  <tableStyleInfo name="TableStyleMedium2" showRowStripes="1" showColumnStripes="0"/>
</table>
</file>

<file path=xl/tables/table9.xml><?xml version="1.0" encoding="utf-8"?>
<table xmlns="http://schemas.openxmlformats.org/spreadsheetml/2006/main" id="9" name="tbl_CRM_Suivi" displayName="tbl_CRM_Suivi" ref="A1:BM21" headerRowCount="1">
  <autoFilter ref="A1:BM21"/>
  <tableColumns count="65">
    <tableColumn id="1" name="source"/>
    <tableColumn id="2" name="id_ao"/>
    <tableColumn id="3" name="objet"/>
    <tableColumn id="4" name="acheteur"/>
    <tableColumn id="5" name="siret_acheteur"/>
    <tableColumn id="6" name="siren_acheteur"/>
    <tableColumn id="7" name="nom_contact"/>
    <tableColumn id="8" name="prenom_contact"/>
    <tableColumn id="9" name="email"/>
    <tableColumn id="10" name="telephone"/>
    <tableColumn id="11" name="adresse"/>
    <tableColumn id="12" name="code_postal"/>
    <tableColumn id="13" name="ville"/>
    <tableColumn id="14" name="departement"/>
    <tableColumn id="15" name="departement_prestation"/>
    <tableColumn id="16" name="region"/>
    <tableColumn id="17" name="date_publication"/>
    <tableColumn id="18" name="date_limite"/>
    <tableColumn id="19" name="budget_estime_eur"/>
    <tableColumn id="20" name="budget_statut"/>
    <tableColumn id="21" name="budget_annuel_eur"/>
    <tableColumn id="22" name="budget_annualise"/>
    <tableColumn id="23" name="categorie"/>
    <tableColumn id="24" name="secteur"/>
    <tableColumn id="25" name="type_marche"/>
    <tableColumn id="26" name="procedure"/>
    <tableColumn id="27" name="nature_avis"/>
    <tableColumn id="28" name="descripteur"/>
    <tableColumn id="29" name="criteres"/>
    <tableColumn id="30" name="url_avis"/>
    <tableColumn id="31" name="url_dce"/>
    <tableColumn id="32" name="url_profil_acheteur"/>
    <tableColumn id="33" name="mots_cles_detectes"/>
    <tableColumn id="34" name="nb_infos_disponibles"/>
    <tableColumn id="35" name="niveau_confiance"/>
    <tableColumn id="36" name="statut_extraction"/>
    <tableColumn id="37" name="score_chruth"/>
    <tableColumn id="38" name="priorite"/>
    <tableColumn id="39" name="score_excel_formule"/>
    <tableColumn id="40" name="priorite_excel_formule"/>
    <tableColumn id="41" name="qualite_infos_formule"/>
    <tableColumn id="42" name="action_excel_formule"/>
    <tableColumn id="43" name="ia_statut"/>
    <tableColumn id="44" name="ia_action_recommandee"/>
    <tableColumn id="45" name="ia_champs_a_completer"/>
    <tableColumn id="46" name="ia_prompt_verification"/>
    <tableColumn id="47" name="preuve_source"/>
    <tableColumn id="48" name="dce_statut"/>
    <tableColumn id="49" name="dce_budget"/>
    <tableColumn id="50" name="dce_email"/>
    <tableColumn id="51" name="dce_tel"/>
    <tableColumn id="52" name="dce_contact"/>
    <tableColumn id="53" name="dce_resume"/>
    <tableColumn id="54" name="raisons_scoring"/>
    <tableColumn id="55" name="resume_commercial"/>
    <tableColumn id="56" name="proposition_message"/>
    <tableColumn id="57" name="script_appel"/>
    <tableColumn id="58" name="statut_contact"/>
    <tableColumn id="59" name="responsable"/>
    <tableColumn id="60" name="date_contact"/>
    <tableColumn id="61" name="date_relance"/>
    <tableColumn id="62" name="reponse"/>
    <tableColumn id="63" name="rdv_obtenu"/>
    <tableColumn id="64" name="commentaire_humain"/>
    <tableColumn id="65" name="semaine_iso"/>
  </tableColumns>
  <tableStyleInfo name="TableStyleMedium2" showRowStripes="1" showColumnStripes="0"/>
</table>
</file>

<file path=xl/tables/table10.xml><?xml version="1.0" encoding="utf-8"?>
<table xmlns="http://schemas.openxmlformats.org/spreadsheetml/2006/main" id="10" name="tbl_Agent_IA" displayName="tbl_Agent_IA" ref="A1:D5" headerRowCount="1">
  <autoFilter ref="A1:D5"/>
  <tableColumns count="4">
    <tableColumn id="1" name="cas"/>
    <tableColumn id="2" name="quand_utiliser"/>
    <tableColumn id="3" name="action_agent"/>
    <tableColumn id="4" name="sortie_attendue"/>
  </tableColumns>
  <tableStyleInfo name="TableStyleMedium2" showRowStripes="1" showColumnStripes="0"/>
</table>
</file>

<file path=xl/tables/table11.xml><?xml version="1.0" encoding="utf-8"?>
<table xmlns="http://schemas.openxmlformats.org/spreadsheetml/2006/main" id="11" name="tbl_Scoring" displayName="tbl_Scoring" ref="A1:C17" headerRowCount="1">
  <autoFilter ref="A1:C17"/>
  <tableColumns count="3">
    <tableColumn id="1" name="critere"/>
    <tableColumn id="2" name="regle"/>
    <tableColumn id="3" name="points"/>
  </tableColumns>
  <tableStyleInfo name="TableStyleMedium2" showRowStripes="1" showColumnStripes="0"/>
</table>
</file>

<file path=xl/tables/table12.xml><?xml version="1.0" encoding="utf-8"?>
<table xmlns="http://schemas.openxmlformats.org/spreadsheetml/2006/main" id="12" name="tbl_Acheteurs" displayName="tbl_Acheteurs" ref="A1:G37" headerRowCount="1">
  <autoFilter ref="A1:G37"/>
  <tableColumns count="7">
    <tableColumn id="1" name="acheteur"/>
    <tableColumn id="2" name="siret_acheteur"/>
    <tableColumn id="3" name="nb_ao"/>
    <tableColumn id="4" name="score_max"/>
    <tableColumn id="5" name="priorites"/>
    <tableColumn id="6" name="villes"/>
    <tableColumn id="7" name="dernier_ao"/>
  </tableColumns>
  <tableStyleInfo name="TableStyleMedium2" showRowStripes="1" showColumnStripes="0"/>
</table>
</file>

<file path=xl/tables/table13.xml><?xml version="1.0" encoding="utf-8"?>
<table xmlns="http://schemas.openxmlformats.org/spreadsheetml/2006/main" id="13" name="tbl_Villes_Departements" displayName="tbl_Villes_Departements" ref="A1:G18" headerRowCount="1">
  <autoFilter ref="A1:G18"/>
  <tableColumns count="7">
    <tableColumn id="1" name="departement"/>
    <tableColumn id="2" name="ville"/>
    <tableColumn id="3" name="nb_ao"/>
    <tableColumn id="4" name="score_moyen"/>
    <tableColumn id="5" name="nb_chaud"/>
    <tableColumn id="6" name="nb_a_verifier"/>
    <tableColumn id="7" name="acheteurs"/>
  </tableColumns>
  <tableStyleInfo name="TableStyleMedium2" showRowStripes="1" showColumnStripes="0"/>
</table>
</file>

<file path=xl/tables/table14.xml><?xml version="1.0" encoding="utf-8"?>
<table xmlns="http://schemas.openxmlformats.org/spreadsheetml/2006/main" id="14" name="tbl_VBA_Bouton" displayName="tbl_VBA_Bouton" ref="A1:B221" headerRowCount="1">
  <autoFilter ref="A1:B221"/>
  <tableColumns count="2">
    <tableColumn id="1" name="section"/>
    <tableColumn id="2" name="contenu"/>
  </tableColumns>
  <tableStyleInfo name="TableStyleMedium2" showRowStripes="1" showColumnStripes="0"/>
</table>
</file>

<file path=xl/tables/table15.xml><?xml version="1.0" encoding="utf-8"?>
<table xmlns="http://schemas.openxmlformats.org/spreadsheetml/2006/main" id="15" name="tbl_Logs_Update" displayName="tbl_Logs_Update" ref="A1:G2" headerRowCount="1">
  <autoFilter ref="A1:G2"/>
  <tableColumns count="7">
    <tableColumn id="1" name="id"/>
    <tableColumn id="2" name="run_at"/>
    <tableColumn id="3" name="source"/>
    <tableColumn id="4" name="fetched"/>
    <tableColumn id="5" name="kept"/>
    <tableColumn id="6" name="inserted_or_updated"/>
    <tableColumn id="7" name="details"/>
  </tableColumns>
  <tableStyleInfo name="TableStyleMedium2"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hyperlink" Target="https://www.boamp.fr/pages/avis/?q=idweb:26-72948" TargetMode="External" Id="rId10"/><Relationship Type="http://schemas.openxmlformats.org/officeDocument/2006/relationships/hyperlink" Target="https://www.boamp.fr/pages/avis/?q=idweb:26-71986" TargetMode="External" Id="rId11"/><Relationship Type="http://schemas.openxmlformats.org/officeDocument/2006/relationships/hyperlink" Target="https://www.boamp.fr/pages/avis/?q=idweb:26-71545" TargetMode="External" Id="rId12"/><Relationship Type="http://schemas.openxmlformats.org/officeDocument/2006/relationships/hyperlink" Target="https://www.boamp.fr/pages/avis/?q=idweb:26-73898" TargetMode="External" Id="rId13"/><Relationship Type="http://schemas.openxmlformats.org/officeDocument/2006/relationships/hyperlink" Target="https://www.boamp.fr/pages/avis/?q=idweb:26-72955" TargetMode="External" Id="rId14"/><Relationship Type="http://schemas.openxmlformats.org/officeDocument/2006/relationships/hyperlink" Target="https://www.boamp.fr/pages/avis/?q=idweb:26-72105" TargetMode="External" Id="rId15"/><Relationship Type="http://schemas.openxmlformats.org/officeDocument/2006/relationships/hyperlink" Target="https://www.boamp.fr/pages/avis/?q=idweb:26-70522" TargetMode="External" Id="rId16"/><Relationship Type="http://schemas.openxmlformats.org/officeDocument/2006/relationships/hyperlink" Target="https://www.boamp.fr/pages/avis/?q=idweb:26-70503" TargetMode="External" Id="rId17"/><Relationship Type="http://schemas.openxmlformats.org/officeDocument/2006/relationships/hyperlink" Target="https://www.boamp.fr/pages/avis/?q=idweb:26-72690" TargetMode="External" Id="rId18"/><Relationship Type="http://schemas.openxmlformats.org/officeDocument/2006/relationships/hyperlink" Target="https://www.boamp.fr/pages/avis/?q=idweb:26-70805" TargetMode="External" Id="rId19"/><Relationship Type="http://schemas.openxmlformats.org/officeDocument/2006/relationships/hyperlink" Target="https://www.boamp.fr/pages/avis/?q=idweb:26-70259" TargetMode="External" Id="rId20"/><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hyperlink" Target="https://www.boamp.fr/pages/avis/?q=idweb:26-72948" TargetMode="External" Id="rId10"/><Relationship Type="http://schemas.openxmlformats.org/officeDocument/2006/relationships/hyperlink" Target="https://www.boamp.fr/pages/avis/?q=idweb:26-71986" TargetMode="External" Id="rId11"/><Relationship Type="http://schemas.openxmlformats.org/officeDocument/2006/relationships/hyperlink" Target="https://www.boamp.fr/pages/avis/?q=idweb:26-71545" TargetMode="External" Id="rId12"/><Relationship Type="http://schemas.openxmlformats.org/officeDocument/2006/relationships/hyperlink" Target="https://www.boamp.fr/pages/avis/?q=idweb:26-73898" TargetMode="External" Id="rId13"/><Relationship Type="http://schemas.openxmlformats.org/officeDocument/2006/relationships/hyperlink" Target="https://www.boamp.fr/pages/avis/?q=idweb:26-72955" TargetMode="External" Id="rId14"/><Relationship Type="http://schemas.openxmlformats.org/officeDocument/2006/relationships/hyperlink" Target="https://www.boamp.fr/pages/avis/?q=idweb:26-72105" TargetMode="External" Id="rId15"/><Relationship Type="http://schemas.openxmlformats.org/officeDocument/2006/relationships/hyperlink" Target="https://www.boamp.fr/pages/avis/?q=idweb:26-70522" TargetMode="External" Id="rId16"/><Relationship Type="http://schemas.openxmlformats.org/officeDocument/2006/relationships/hyperlink" Target="https://www.boamp.fr/pages/avis/?q=idweb:26-70503" TargetMode="External" Id="rId17"/><Relationship Type="http://schemas.openxmlformats.org/officeDocument/2006/relationships/hyperlink" Target="https://www.boamp.fr/pages/avis/?q=idweb:26-72690" TargetMode="External" Id="rId18"/><Relationship Type="http://schemas.openxmlformats.org/officeDocument/2006/relationships/hyperlink" Target="https://www.boamp.fr/pages/avis/?q=idweb:26-70805" TargetMode="External" Id="rId19"/><Relationship Type="http://schemas.openxmlformats.org/officeDocument/2006/relationships/hyperlink" Target="https://www.boamp.fr/pages/avis/?q=idweb:26-70259" TargetMode="External" Id="rId20"/><Relationship Type="http://schemas.openxmlformats.org/officeDocument/2006/relationships/table" Target="/xl/tables/table1.xml" Id="rId21"/></Relationships>
</file>

<file path=xl/worksheets/_rels/sheet3.xml.rels><Relationships xmlns="http://schemas.openxmlformats.org/package/2006/relationships"><Relationship Type="http://schemas.openxmlformats.org/officeDocument/2006/relationships/table" Target="/xl/tables/table2.xml" Id="rId1"/><Relationship Type="http://schemas.openxmlformats.org/officeDocument/2006/relationships/vmlDrawing" Target="/xl/drawings/vmlDrawing3.vml" Id="anysvml"/></Relationships>
</file>

<file path=xl/worksheets/_rels/sheet4.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hyperlink" Target="https://www.boamp.fr/pages/avis/?q=idweb:26-72948" TargetMode="External" Id="rId10"/><Relationship Type="http://schemas.openxmlformats.org/officeDocument/2006/relationships/hyperlink" Target="https://www.boamp.fr/pages/avis/?q=idweb:26-71986" TargetMode="External" Id="rId11"/><Relationship Type="http://schemas.openxmlformats.org/officeDocument/2006/relationships/hyperlink" Target="https://www.boamp.fr/pages/avis/?q=idweb:26-71545" TargetMode="External" Id="rId12"/><Relationship Type="http://schemas.openxmlformats.org/officeDocument/2006/relationships/hyperlink" Target="https://www.boamp.fr/pages/avis/?q=idweb:26-73898" TargetMode="External" Id="rId13"/><Relationship Type="http://schemas.openxmlformats.org/officeDocument/2006/relationships/hyperlink" Target="https://www.boamp.fr/pages/avis/?q=idweb:26-72955" TargetMode="External" Id="rId14"/><Relationship Type="http://schemas.openxmlformats.org/officeDocument/2006/relationships/hyperlink" Target="https://www.boamp.fr/pages/avis/?q=idweb:26-72105" TargetMode="External" Id="rId15"/><Relationship Type="http://schemas.openxmlformats.org/officeDocument/2006/relationships/hyperlink" Target="https://www.boamp.fr/pages/avis/?q=idweb:26-70522" TargetMode="External" Id="rId16"/><Relationship Type="http://schemas.openxmlformats.org/officeDocument/2006/relationships/hyperlink" Target="https://www.boamp.fr/pages/avis/?q=idweb:26-70503" TargetMode="External" Id="rId17"/><Relationship Type="http://schemas.openxmlformats.org/officeDocument/2006/relationships/hyperlink" Target="https://www.boamp.fr/pages/avis/?q=idweb:26-72690" TargetMode="External" Id="rId18"/><Relationship Type="http://schemas.openxmlformats.org/officeDocument/2006/relationships/hyperlink" Target="https://www.boamp.fr/pages/avis/?q=idweb:26-70805" TargetMode="External" Id="rId19"/><Relationship Type="http://schemas.openxmlformats.org/officeDocument/2006/relationships/hyperlink" Target="https://www.boamp.fr/pages/avis/?q=idweb:26-70259" TargetMode="External" Id="rId20"/><Relationship Type="http://schemas.openxmlformats.org/officeDocument/2006/relationships/hyperlink" Target="https://www.boamp.fr/pages/avis/?q=idweb:26-74504" TargetMode="External" Id="rId21"/><Relationship Type="http://schemas.openxmlformats.org/officeDocument/2006/relationships/hyperlink" Target="https://www.boamp.fr/pages/avis/?q=idweb:26-73442" TargetMode="External" Id="rId22"/><Relationship Type="http://schemas.openxmlformats.org/officeDocument/2006/relationships/hyperlink" Target="https://www.boamp.fr/pages/avis/?q=idweb:26-73389" TargetMode="External" Id="rId23"/><Relationship Type="http://schemas.openxmlformats.org/officeDocument/2006/relationships/hyperlink" Target="https://www.boamp.fr/pages/avis/?q=idweb:26-74661" TargetMode="External" Id="rId24"/><Relationship Type="http://schemas.openxmlformats.org/officeDocument/2006/relationships/hyperlink" Target="https://www.boamp.fr/pages/avis/?q=idweb:26-74239" TargetMode="External" Id="rId25"/><Relationship Type="http://schemas.openxmlformats.org/officeDocument/2006/relationships/hyperlink" Target="https://www.boamp.fr/pages/avis/?q=idweb:26-73266" TargetMode="External" Id="rId26"/><Relationship Type="http://schemas.openxmlformats.org/officeDocument/2006/relationships/hyperlink" Target="https://www.boamp.fr/pages/avis/?q=idweb:26-70752" TargetMode="External" Id="rId27"/><Relationship Type="http://schemas.openxmlformats.org/officeDocument/2006/relationships/hyperlink" Target="https://www.boamp.fr/pages/avis/?q=idweb:26-70841" TargetMode="External" Id="rId28"/><Relationship Type="http://schemas.openxmlformats.org/officeDocument/2006/relationships/hyperlink" Target="https://www.boamp.fr/pages/avis/?q=idweb:26-70040" TargetMode="External" Id="rId29"/><Relationship Type="http://schemas.openxmlformats.org/officeDocument/2006/relationships/hyperlink" Target="https://www.boamp.fr/pages/avis/?q=idweb:26-74389" TargetMode="External" Id="rId30"/><Relationship Type="http://schemas.openxmlformats.org/officeDocument/2006/relationships/hyperlink" Target="https://www.boamp.fr/pages/avis/?q=idweb:26-73883" TargetMode="External" Id="rId31"/><Relationship Type="http://schemas.openxmlformats.org/officeDocument/2006/relationships/hyperlink" Target="https://www.boamp.fr/pages/avis/?q=idweb:26-70598" TargetMode="External" Id="rId32"/><Relationship Type="http://schemas.openxmlformats.org/officeDocument/2006/relationships/hyperlink" Target="https://www.boamp.fr/pages/avis/?q=idweb:26-72867" TargetMode="External" Id="rId33"/><Relationship Type="http://schemas.openxmlformats.org/officeDocument/2006/relationships/hyperlink" Target="https://www.boamp.fr/pages/avis/?q=idweb:26-73122" TargetMode="External" Id="rId34"/><Relationship Type="http://schemas.openxmlformats.org/officeDocument/2006/relationships/hyperlink" Target="https://www.boamp.fr/pages/avis/?q=idweb:26-70414" TargetMode="External" Id="rId35"/><Relationship Type="http://schemas.openxmlformats.org/officeDocument/2006/relationships/hyperlink" Target="https://www.boamp.fr/pages/avis/?q=idweb:26-70509" TargetMode="External" Id="rId36"/><Relationship Type="http://schemas.openxmlformats.org/officeDocument/2006/relationships/hyperlink" Target="https://www.boamp.fr/pages/avis/?q=idweb:26-70374" TargetMode="External" Id="rId37"/><Relationship Type="http://schemas.openxmlformats.org/officeDocument/2006/relationships/table" Target="/xl/tables/table3.xml" Id="rId38"/></Relationships>
</file>

<file path=xl/worksheets/_rels/sheet5.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hyperlink" Target="https://www.boamp.fr/pages/avis/?q=idweb:26-72948" TargetMode="External" Id="rId10"/><Relationship Type="http://schemas.openxmlformats.org/officeDocument/2006/relationships/hyperlink" Target="https://www.boamp.fr/pages/avis/?q=idweb:26-71986" TargetMode="External" Id="rId11"/><Relationship Type="http://schemas.openxmlformats.org/officeDocument/2006/relationships/hyperlink" Target="https://www.boamp.fr/pages/avis/?q=idweb:26-71545" TargetMode="External" Id="rId12"/><Relationship Type="http://schemas.openxmlformats.org/officeDocument/2006/relationships/hyperlink" Target="https://www.boamp.fr/pages/avis/?q=idweb:26-73898" TargetMode="External" Id="rId13"/><Relationship Type="http://schemas.openxmlformats.org/officeDocument/2006/relationships/hyperlink" Target="https://www.boamp.fr/pages/avis/?q=idweb:26-72955" TargetMode="External" Id="rId14"/><Relationship Type="http://schemas.openxmlformats.org/officeDocument/2006/relationships/hyperlink" Target="https://www.boamp.fr/pages/avis/?q=idweb:26-72105" TargetMode="External" Id="rId15"/><Relationship Type="http://schemas.openxmlformats.org/officeDocument/2006/relationships/hyperlink" Target="https://www.boamp.fr/pages/avis/?q=idweb:26-70522" TargetMode="External" Id="rId16"/><Relationship Type="http://schemas.openxmlformats.org/officeDocument/2006/relationships/hyperlink" Target="https://www.boamp.fr/pages/avis/?q=idweb:26-70503" TargetMode="External" Id="rId17"/><Relationship Type="http://schemas.openxmlformats.org/officeDocument/2006/relationships/hyperlink" Target="https://www.boamp.fr/pages/avis/?q=idweb:26-72690" TargetMode="External" Id="rId18"/><Relationship Type="http://schemas.openxmlformats.org/officeDocument/2006/relationships/hyperlink" Target="https://www.boamp.fr/pages/avis/?q=idweb:26-70805" TargetMode="External" Id="rId19"/><Relationship Type="http://schemas.openxmlformats.org/officeDocument/2006/relationships/hyperlink" Target="https://www.boamp.fr/pages/avis/?q=idweb:26-70259" TargetMode="External" Id="rId20"/><Relationship Type="http://schemas.openxmlformats.org/officeDocument/2006/relationships/hyperlink" Target="https://www.boamp.fr/pages/avis/?q=idweb:26-74504" TargetMode="External" Id="rId21"/><Relationship Type="http://schemas.openxmlformats.org/officeDocument/2006/relationships/hyperlink" Target="https://www.boamp.fr/pages/avis/?q=idweb:26-73442" TargetMode="External" Id="rId22"/><Relationship Type="http://schemas.openxmlformats.org/officeDocument/2006/relationships/hyperlink" Target="https://www.boamp.fr/pages/avis/?q=idweb:26-73389" TargetMode="External" Id="rId23"/><Relationship Type="http://schemas.openxmlformats.org/officeDocument/2006/relationships/hyperlink" Target="https://www.boamp.fr/pages/avis/?q=idweb:26-74661" TargetMode="External" Id="rId24"/><Relationship Type="http://schemas.openxmlformats.org/officeDocument/2006/relationships/hyperlink" Target="https://www.boamp.fr/pages/avis/?q=idweb:26-74239" TargetMode="External" Id="rId25"/><Relationship Type="http://schemas.openxmlformats.org/officeDocument/2006/relationships/hyperlink" Target="https://www.boamp.fr/pages/avis/?q=idweb:26-73266" TargetMode="External" Id="rId26"/><Relationship Type="http://schemas.openxmlformats.org/officeDocument/2006/relationships/hyperlink" Target="https://www.boamp.fr/pages/avis/?q=idweb:26-70752" TargetMode="External" Id="rId27"/><Relationship Type="http://schemas.openxmlformats.org/officeDocument/2006/relationships/hyperlink" Target="https://www.boamp.fr/pages/avis/?q=idweb:26-70841" TargetMode="External" Id="rId28"/><Relationship Type="http://schemas.openxmlformats.org/officeDocument/2006/relationships/hyperlink" Target="https://www.boamp.fr/pages/avis/?q=idweb:26-70040" TargetMode="External" Id="rId29"/><Relationship Type="http://schemas.openxmlformats.org/officeDocument/2006/relationships/hyperlink" Target="https://www.boamp.fr/pages/avis/?q=idweb:26-74389" TargetMode="External" Id="rId30"/><Relationship Type="http://schemas.openxmlformats.org/officeDocument/2006/relationships/hyperlink" Target="https://www.boamp.fr/pages/avis/?q=idweb:26-73883" TargetMode="External" Id="rId31"/><Relationship Type="http://schemas.openxmlformats.org/officeDocument/2006/relationships/hyperlink" Target="https://www.boamp.fr/pages/avis/?q=idweb:26-70598" TargetMode="External" Id="rId32"/><Relationship Type="http://schemas.openxmlformats.org/officeDocument/2006/relationships/hyperlink" Target="https://www.boamp.fr/pages/avis/?q=idweb:26-72867" TargetMode="External" Id="rId33"/><Relationship Type="http://schemas.openxmlformats.org/officeDocument/2006/relationships/hyperlink" Target="https://www.boamp.fr/pages/avis/?q=idweb:26-73122" TargetMode="External" Id="rId34"/><Relationship Type="http://schemas.openxmlformats.org/officeDocument/2006/relationships/hyperlink" Target="https://www.boamp.fr/pages/avis/?q=idweb:26-70414" TargetMode="External" Id="rId35"/><Relationship Type="http://schemas.openxmlformats.org/officeDocument/2006/relationships/hyperlink" Target="https://www.boamp.fr/pages/avis/?q=idweb:26-70509" TargetMode="External" Id="rId36"/><Relationship Type="http://schemas.openxmlformats.org/officeDocument/2006/relationships/hyperlink" Target="https://www.boamp.fr/pages/avis/?q=idweb:26-70374" TargetMode="External" Id="rId37"/><Relationship Type="http://schemas.openxmlformats.org/officeDocument/2006/relationships/table" Target="/xl/tables/table4.xml" Id="rId38"/></Relationships>
</file>

<file path=xl/worksheets/_rels/sheet6.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hyperlink" Target="https://www.boamp.fr/pages/avis/?q=idweb:26-72948" TargetMode="External" Id="rId10"/><Relationship Type="http://schemas.openxmlformats.org/officeDocument/2006/relationships/hyperlink" Target="https://www.boamp.fr/pages/avis/?q=idweb:26-71986" TargetMode="External" Id="rId11"/><Relationship Type="http://schemas.openxmlformats.org/officeDocument/2006/relationships/hyperlink" Target="https://www.boamp.fr/pages/avis/?q=idweb:26-71545" TargetMode="External" Id="rId12"/><Relationship Type="http://schemas.openxmlformats.org/officeDocument/2006/relationships/hyperlink" Target="https://www.boamp.fr/pages/avis/?q=idweb:26-73898" TargetMode="External" Id="rId13"/><Relationship Type="http://schemas.openxmlformats.org/officeDocument/2006/relationships/hyperlink" Target="https://www.boamp.fr/pages/avis/?q=idweb:26-72955" TargetMode="External" Id="rId14"/><Relationship Type="http://schemas.openxmlformats.org/officeDocument/2006/relationships/hyperlink" Target="https://www.boamp.fr/pages/avis/?q=idweb:26-72105" TargetMode="External" Id="rId15"/><Relationship Type="http://schemas.openxmlformats.org/officeDocument/2006/relationships/hyperlink" Target="https://www.boamp.fr/pages/avis/?q=idweb:26-70522" TargetMode="External" Id="rId16"/><Relationship Type="http://schemas.openxmlformats.org/officeDocument/2006/relationships/hyperlink" Target="https://www.boamp.fr/pages/avis/?q=idweb:26-70503" TargetMode="External" Id="rId17"/><Relationship Type="http://schemas.openxmlformats.org/officeDocument/2006/relationships/hyperlink" Target="https://www.boamp.fr/pages/avis/?q=idweb:26-72690" TargetMode="External" Id="rId18"/><Relationship Type="http://schemas.openxmlformats.org/officeDocument/2006/relationships/hyperlink" Target="https://www.boamp.fr/pages/avis/?q=idweb:26-70805" TargetMode="External" Id="rId19"/><Relationship Type="http://schemas.openxmlformats.org/officeDocument/2006/relationships/hyperlink" Target="https://www.boamp.fr/pages/avis/?q=idweb:26-70259" TargetMode="External" Id="rId20"/><Relationship Type="http://schemas.openxmlformats.org/officeDocument/2006/relationships/hyperlink" Target="https://www.boamp.fr/pages/avis/?q=idweb:26-74504" TargetMode="External" Id="rId21"/><Relationship Type="http://schemas.openxmlformats.org/officeDocument/2006/relationships/hyperlink" Target="https://www.boamp.fr/pages/avis/?q=idweb:26-73442" TargetMode="External" Id="rId22"/><Relationship Type="http://schemas.openxmlformats.org/officeDocument/2006/relationships/hyperlink" Target="https://www.boamp.fr/pages/avis/?q=idweb:26-73389" TargetMode="External" Id="rId23"/><Relationship Type="http://schemas.openxmlformats.org/officeDocument/2006/relationships/hyperlink" Target="https://www.boamp.fr/pages/avis/?q=idweb:26-74661" TargetMode="External" Id="rId24"/><Relationship Type="http://schemas.openxmlformats.org/officeDocument/2006/relationships/hyperlink" Target="https://www.boamp.fr/pages/avis/?q=idweb:26-74239" TargetMode="External" Id="rId25"/><Relationship Type="http://schemas.openxmlformats.org/officeDocument/2006/relationships/hyperlink" Target="https://www.boamp.fr/pages/avis/?q=idweb:26-73266" TargetMode="External" Id="rId26"/><Relationship Type="http://schemas.openxmlformats.org/officeDocument/2006/relationships/hyperlink" Target="https://www.boamp.fr/pages/avis/?q=idweb:26-70752" TargetMode="External" Id="rId27"/><Relationship Type="http://schemas.openxmlformats.org/officeDocument/2006/relationships/hyperlink" Target="https://www.boamp.fr/pages/avis/?q=idweb:26-70841" TargetMode="External" Id="rId28"/><Relationship Type="http://schemas.openxmlformats.org/officeDocument/2006/relationships/hyperlink" Target="https://www.boamp.fr/pages/avis/?q=idweb:26-70040" TargetMode="External" Id="rId29"/><Relationship Type="http://schemas.openxmlformats.org/officeDocument/2006/relationships/hyperlink" Target="https://www.boamp.fr/pages/avis/?q=idweb:26-74389" TargetMode="External" Id="rId30"/><Relationship Type="http://schemas.openxmlformats.org/officeDocument/2006/relationships/hyperlink" Target="https://www.boamp.fr/pages/avis/?q=idweb:26-73883" TargetMode="External" Id="rId31"/><Relationship Type="http://schemas.openxmlformats.org/officeDocument/2006/relationships/hyperlink" Target="https://www.boamp.fr/pages/avis/?q=idweb:26-70598" TargetMode="External" Id="rId32"/><Relationship Type="http://schemas.openxmlformats.org/officeDocument/2006/relationships/hyperlink" Target="https://www.boamp.fr/pages/avis/?q=idweb:26-72867" TargetMode="External" Id="rId33"/><Relationship Type="http://schemas.openxmlformats.org/officeDocument/2006/relationships/hyperlink" Target="https://www.boamp.fr/pages/avis/?q=idweb:26-73122" TargetMode="External" Id="rId34"/><Relationship Type="http://schemas.openxmlformats.org/officeDocument/2006/relationships/hyperlink" Target="https://www.boamp.fr/pages/avis/?q=idweb:26-70414" TargetMode="External" Id="rId35"/><Relationship Type="http://schemas.openxmlformats.org/officeDocument/2006/relationships/hyperlink" Target="https://www.boamp.fr/pages/avis/?q=idweb:26-70509" TargetMode="External" Id="rId36"/><Relationship Type="http://schemas.openxmlformats.org/officeDocument/2006/relationships/hyperlink" Target="https://www.boamp.fr/pages/avis/?q=idweb:26-70374" TargetMode="External" Id="rId37"/><Relationship Type="http://schemas.openxmlformats.org/officeDocument/2006/relationships/table" Target="/xl/tables/table5.xml" Id="rId38"/></Relationships>
</file>

<file path=xl/worksheets/_rels/sheet7.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table" Target="/xl/tables/table6.xml" Id="rId10"/></Relationships>
</file>

<file path=xl/worksheets/_rels/sheet8.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1198" TargetMode="External" Id="rId2"/><Relationship Type="http://schemas.openxmlformats.org/officeDocument/2006/relationships/hyperlink" Target="https://www.boamp.fr/pages/avis/?q=idweb:26-72948" TargetMode="External" Id="rId3"/><Relationship Type="http://schemas.openxmlformats.org/officeDocument/2006/relationships/hyperlink" Target="https://www.boamp.fr/pages/avis/?q=idweb:26-71986" TargetMode="External" Id="rId4"/><Relationship Type="http://schemas.openxmlformats.org/officeDocument/2006/relationships/hyperlink" Target="https://www.boamp.fr/pages/avis/?q=idweb:26-73898" TargetMode="External" Id="rId5"/><Relationship Type="http://schemas.openxmlformats.org/officeDocument/2006/relationships/hyperlink" Target="https://www.boamp.fr/pages/avis/?q=idweb:26-72955" TargetMode="External" Id="rId6"/><Relationship Type="http://schemas.openxmlformats.org/officeDocument/2006/relationships/hyperlink" Target="https://www.boamp.fr/pages/avis/?q=idweb:26-72105" TargetMode="External" Id="rId7"/><Relationship Type="http://schemas.openxmlformats.org/officeDocument/2006/relationships/hyperlink" Target="https://www.boamp.fr/pages/avis/?q=idweb:26-70522" TargetMode="External" Id="rId8"/><Relationship Type="http://schemas.openxmlformats.org/officeDocument/2006/relationships/hyperlink" Target="https://www.boamp.fr/pages/avis/?q=idweb:26-70503" TargetMode="External" Id="rId9"/><Relationship Type="http://schemas.openxmlformats.org/officeDocument/2006/relationships/hyperlink" Target="https://www.boamp.fr/pages/avis/?q=idweb:26-70841" TargetMode="External" Id="rId10"/><Relationship Type="http://schemas.openxmlformats.org/officeDocument/2006/relationships/hyperlink" Target="https://www.boamp.fr/pages/avis/?q=idweb:26-70040" TargetMode="External" Id="rId11"/><Relationship Type="http://schemas.openxmlformats.org/officeDocument/2006/relationships/hyperlink" Target="https://www.boamp.fr/pages/avis/?q=idweb:26-72867" TargetMode="External" Id="rId12"/><Relationship Type="http://schemas.openxmlformats.org/officeDocument/2006/relationships/table" Target="/xl/tables/table7.xml" Id="rId13"/></Relationships>
</file>

<file path=xl/worksheets/_rels/sheet9.xml.rels><Relationships xmlns="http://schemas.openxmlformats.org/package/2006/relationships"><Relationship Type="http://schemas.openxmlformats.org/officeDocument/2006/relationships/table" Target="/xl/tables/table8.xml" Id="rId1"/></Relationships>
</file>

<file path=xl/worksheets/_rels/sheet10.xml.rels><Relationships xmlns="http://schemas.openxmlformats.org/package/2006/relationships"><Relationship Type="http://schemas.openxmlformats.org/officeDocument/2006/relationships/hyperlink" Target="https://www.boamp.fr/pages/avis/?q=idweb:26-73275" TargetMode="External" Id="rId1"/><Relationship Type="http://schemas.openxmlformats.org/officeDocument/2006/relationships/hyperlink" Target="https://www.boamp.fr/pages/avis/?q=idweb:26-74949" TargetMode="External" Id="rId2"/><Relationship Type="http://schemas.openxmlformats.org/officeDocument/2006/relationships/hyperlink" Target="https://www.boamp.fr/pages/avis/?q=idweb:26-74013" TargetMode="External" Id="rId3"/><Relationship Type="http://schemas.openxmlformats.org/officeDocument/2006/relationships/hyperlink" Target="https://www.boamp.fr/pages/avis/?q=idweb:26-72283" TargetMode="External" Id="rId4"/><Relationship Type="http://schemas.openxmlformats.org/officeDocument/2006/relationships/hyperlink" Target="https://www.boamp.fr/pages/avis/?q=idweb:26-70858" TargetMode="External" Id="rId5"/><Relationship Type="http://schemas.openxmlformats.org/officeDocument/2006/relationships/hyperlink" Target="https://www.boamp.fr/pages/avis/?q=idweb:26-70565" TargetMode="External" Id="rId6"/><Relationship Type="http://schemas.openxmlformats.org/officeDocument/2006/relationships/hyperlink" Target="https://www.boamp.fr/pages/avis/?q=idweb:26-72708" TargetMode="External" Id="rId7"/><Relationship Type="http://schemas.openxmlformats.org/officeDocument/2006/relationships/hyperlink" Target="https://www.boamp.fr/pages/avis/?q=idweb:26-71675" TargetMode="External" Id="rId8"/><Relationship Type="http://schemas.openxmlformats.org/officeDocument/2006/relationships/hyperlink" Target="https://www.boamp.fr/pages/avis/?q=idweb:26-71198" TargetMode="External" Id="rId9"/><Relationship Type="http://schemas.openxmlformats.org/officeDocument/2006/relationships/hyperlink" Target="https://www.boamp.fr/pages/avis/?q=idweb:26-72948" TargetMode="External" Id="rId10"/><Relationship Type="http://schemas.openxmlformats.org/officeDocument/2006/relationships/hyperlink" Target="https://www.boamp.fr/pages/avis/?q=idweb:26-71986" TargetMode="External" Id="rId11"/><Relationship Type="http://schemas.openxmlformats.org/officeDocument/2006/relationships/hyperlink" Target="https://www.boamp.fr/pages/avis/?q=idweb:26-71545" TargetMode="External" Id="rId12"/><Relationship Type="http://schemas.openxmlformats.org/officeDocument/2006/relationships/hyperlink" Target="https://www.boamp.fr/pages/avis/?q=idweb:26-73898" TargetMode="External" Id="rId13"/><Relationship Type="http://schemas.openxmlformats.org/officeDocument/2006/relationships/hyperlink" Target="https://www.boamp.fr/pages/avis/?q=idweb:26-72955" TargetMode="External" Id="rId14"/><Relationship Type="http://schemas.openxmlformats.org/officeDocument/2006/relationships/hyperlink" Target="https://www.boamp.fr/pages/avis/?q=idweb:26-72105" TargetMode="External" Id="rId15"/><Relationship Type="http://schemas.openxmlformats.org/officeDocument/2006/relationships/hyperlink" Target="https://www.boamp.fr/pages/avis/?q=idweb:26-70522" TargetMode="External" Id="rId16"/><Relationship Type="http://schemas.openxmlformats.org/officeDocument/2006/relationships/hyperlink" Target="https://www.boamp.fr/pages/avis/?q=idweb:26-70503" TargetMode="External" Id="rId17"/><Relationship Type="http://schemas.openxmlformats.org/officeDocument/2006/relationships/hyperlink" Target="https://www.boamp.fr/pages/avis/?q=idweb:26-72690" TargetMode="External" Id="rId18"/><Relationship Type="http://schemas.openxmlformats.org/officeDocument/2006/relationships/hyperlink" Target="https://www.boamp.fr/pages/avis/?q=idweb:26-70805" TargetMode="External" Id="rId19"/><Relationship Type="http://schemas.openxmlformats.org/officeDocument/2006/relationships/hyperlink" Target="https://www.boamp.fr/pages/avis/?q=idweb:26-70259" TargetMode="External" Id="rId20"/><Relationship Type="http://schemas.openxmlformats.org/officeDocument/2006/relationships/table" Target="/xl/tables/table9.xml" Id="rId21"/></Relationships>
</file>

<file path=xl/worksheets/_rels/sheet11.xml.rels><Relationships xmlns="http://schemas.openxmlformats.org/package/2006/relationships"><Relationship Type="http://schemas.openxmlformats.org/officeDocument/2006/relationships/table" Target="/xl/tables/table10.xml" Id="rId1"/></Relationships>
</file>

<file path=xl/worksheets/_rels/sheet12.xml.rels><Relationships xmlns="http://schemas.openxmlformats.org/package/2006/relationships"><Relationship Type="http://schemas.openxmlformats.org/officeDocument/2006/relationships/table" Target="/xl/tables/table11.xml" Id="rId1"/></Relationships>
</file>

<file path=xl/worksheets/_rels/sheet13.xml.rels><Relationships xmlns="http://schemas.openxmlformats.org/package/2006/relationships"><Relationship Type="http://schemas.openxmlformats.org/officeDocument/2006/relationships/table" Target="/xl/tables/table12.xml" Id="rId1"/></Relationships>
</file>

<file path=xl/worksheets/_rels/sheet14.xml.rels><Relationships xmlns="http://schemas.openxmlformats.org/package/2006/relationships"><Relationship Type="http://schemas.openxmlformats.org/officeDocument/2006/relationships/table" Target="/xl/tables/table13.xml" Id="rId1"/></Relationships>
</file>

<file path=xl/worksheets/_rels/sheet15.xml.rels><Relationships xmlns="http://schemas.openxmlformats.org/package/2006/relationships"><Relationship Type="http://schemas.openxmlformats.org/officeDocument/2006/relationships/table" Target="/xl/tables/table14.xml" Id="rId1"/></Relationships>
</file>

<file path=xl/worksheets/_rels/sheet16.xml.rels><Relationships xmlns="http://schemas.openxmlformats.org/package/2006/relationships"><Relationship Type="http://schemas.openxmlformats.org/officeDocument/2006/relationships/table" Target="/xl/tables/table15.xml" Id="rId1"/></Relationships>
</file>

<file path=xl/worksheets/_rels/sheet17.xml.rels><Relationships xmlns="http://schemas.openxmlformats.org/package/2006/relationships"><Relationship Type="http://schemas.openxmlformats.org/officeDocument/2006/relationships/vmlDrawing" Target="/xl/drawings/vmlDrawing2.vml" Id="anysvml"/></Relationships>
</file>

<file path=xl/worksheets/sheet1.xml><?xml version="1.0" encoding="utf-8"?>
<worksheet xmlns="http://schemas.openxmlformats.org/spreadsheetml/2006/main">
  <sheetPr codeName="Feuil1">
    <outlinePr summaryBelow="1" summaryRight="1"/>
    <pageSetUpPr/>
  </sheetPr>
  <dimension ref="A1:L28"/>
  <sheetViews>
    <sheetView workbookViewId="0">
      <pane ySplit="8" topLeftCell="A9" activePane="bottomLeft" state="frozen"/>
      <selection pane="bottomLeft" activeCell="A1" sqref="A1"/>
    </sheetView>
  </sheetViews>
  <sheetFormatPr baseColWidth="10" defaultRowHeight="14.5"/>
  <cols>
    <col width="6" customWidth="1" min="1" max="1"/>
    <col width="14" customWidth="1" min="2" max="2"/>
    <col width="8" customWidth="1" min="3" max="3"/>
    <col width="12" customWidth="1" min="4" max="4"/>
    <col width="45" customWidth="1" min="5" max="5"/>
    <col width="28" customWidth="1" min="6" max="6"/>
    <col width="16" customWidth="1" min="7" max="7"/>
    <col width="8" customWidth="1" min="8" max="8"/>
    <col width="14" customWidth="1" min="9" max="9"/>
    <col width="14" customWidth="1" min="10" max="10"/>
    <col width="30" customWidth="1" min="11" max="11"/>
  </cols>
  <sheetData>
    <row r="1" ht="22" customHeight="1">
      <c r="A1" s="3" t="inlineStr">
        <is>
          <t>PILOTAGE — Prospection Appels d'Offres CHRUTH</t>
        </is>
      </c>
    </row>
    <row r="2" ht="22" customHeight="1"/>
    <row r="4">
      <c r="A4" s="4" t="inlineStr">
        <is>
          <t>Date MAJ</t>
        </is>
      </c>
      <c r="C4" s="4" t="inlineStr">
        <is>
          <t>Check qualite</t>
        </is>
      </c>
      <c r="E4" s="4" t="inlineStr">
        <is>
          <t>AO trouves</t>
        </is>
      </c>
      <c r="G4" s="4" t="inlineStr">
        <is>
          <t>AO chauds</t>
        </is>
      </c>
      <c r="I4" s="4" t="inlineStr">
        <is>
          <t>AO IDF</t>
        </is>
      </c>
      <c r="K4" s="4" t="inlineStr">
        <is>
          <t>Budget a verifier</t>
        </is>
      </c>
    </row>
    <row r="5">
      <c r="A5" s="5" t="inlineStr">
        <is>
          <t>28/07/2026</t>
        </is>
      </c>
      <c r="C5" s="5" t="inlineStr">
        <is>
          <t>12 alertes</t>
        </is>
      </c>
      <c r="E5" s="5" t="n">
        <v>37</v>
      </c>
      <c r="G5" s="5" t="n">
        <v>9</v>
      </c>
      <c r="I5" s="5" t="n">
        <v>37</v>
      </c>
      <c r="K5" s="5" t="n">
        <v>12</v>
      </c>
    </row>
    <row r="7">
      <c r="A7" s="6" t="inlineStr">
        <is>
          <t>Top 20 AO ouverts (date limite a venir, par score)</t>
        </is>
      </c>
    </row>
    <row r="8">
      <c r="A8" s="7" t="inlineStr">
        <is>
          <t>rang</t>
        </is>
      </c>
      <c r="B8" s="7" t="inlineStr">
        <is>
          <t>id_ao</t>
        </is>
      </c>
      <c r="C8" s="7" t="inlineStr">
        <is>
          <t>score_chruth</t>
        </is>
      </c>
      <c r="D8" s="7" t="inlineStr">
        <is>
          <t>priorite</t>
        </is>
      </c>
      <c r="E8" s="7" t="inlineStr">
        <is>
          <t>objet</t>
        </is>
      </c>
      <c r="F8" s="7" t="inlineStr">
        <is>
          <t>acheteur</t>
        </is>
      </c>
      <c r="G8" s="7" t="inlineStr">
        <is>
          <t>ville</t>
        </is>
      </c>
      <c r="H8" s="7" t="inlineStr">
        <is>
          <t>departement</t>
        </is>
      </c>
      <c r="I8" s="7" t="inlineStr">
        <is>
          <t>budget_estime_eur</t>
        </is>
      </c>
      <c r="J8" s="7" t="inlineStr">
        <is>
          <t>date_limite</t>
        </is>
      </c>
      <c r="K8" s="7" t="inlineStr">
        <is>
          <t>url_avis</t>
        </is>
      </c>
    </row>
    <row r="9">
      <c r="A9" s="8" t="n">
        <v>1</v>
      </c>
      <c r="B9" s="8" t="inlineStr">
        <is>
          <t>26-73275</t>
        </is>
      </c>
      <c r="C9" s="8" t="inlineStr">
        <is>
          <t>80</t>
        </is>
      </c>
      <c r="D9" s="8" t="inlineStr">
        <is>
          <t>CHAUD</t>
        </is>
      </c>
      <c r="E9" s="8" t="inlineStr">
        <is>
          <t>ENTRETIEN, REMISE EN ETAT ET AMENAGEMENT D'ESPACES VERTS POUR LA VILLE DE GENNEVILLIERS
LOT N°1 : Entretien des secteurs d'habitation Nord et du cimetière, remise en état et aménagement d'e</t>
        </is>
      </c>
      <c r="F9" s="8" t="inlineStr">
        <is>
          <t>Ville de Gennevilliers</t>
        </is>
      </c>
      <c r="G9" s="8" t="inlineStr"/>
      <c r="H9" s="8" t="inlineStr">
        <is>
          <t>92</t>
        </is>
      </c>
      <c r="I9" s="8" t="inlineStr"/>
      <c r="J9" s="9" t="n">
        <v>46261</v>
      </c>
      <c r="K9" s="10" t="inlineStr">
        <is>
          <t>https://www.boamp.fr/pages/avis/?q=idweb:26-73275</t>
        </is>
      </c>
    </row>
    <row r="10">
      <c r="A10" s="8" t="n">
        <v>2</v>
      </c>
      <c r="B10" s="8" t="inlineStr">
        <is>
          <t>26-74949</t>
        </is>
      </c>
      <c r="C10" s="8" t="inlineStr">
        <is>
          <t>75</t>
        </is>
      </c>
      <c r="D10" s="8" t="inlineStr">
        <is>
          <t>CHAUD</t>
        </is>
      </c>
      <c r="E10" s="8" t="inlineStr">
        <is>
          <t>Prestations D'Entretien Ménager Des Gymnases De La Ville De Roissy-En-Brie</t>
        </is>
      </c>
      <c r="F10" s="8" t="inlineStr">
        <is>
          <t>Mairie de Roissy-en-Brie</t>
        </is>
      </c>
      <c r="G10" s="8" t="inlineStr">
        <is>
          <t>ROISSY EN BRIE</t>
        </is>
      </c>
      <c r="H10" s="8" t="inlineStr">
        <is>
          <t>77</t>
        </is>
      </c>
      <c r="I10" s="11" t="n">
        <v>77680</v>
      </c>
      <c r="J10" s="9" t="n">
        <v>46262</v>
      </c>
      <c r="K10" s="10" t="inlineStr">
        <is>
          <t>https://www.boamp.fr/pages/avis/?q=idweb:26-74949</t>
        </is>
      </c>
    </row>
    <row r="11">
      <c r="A11" s="8" t="n">
        <v>3</v>
      </c>
      <c r="B11" s="8" t="inlineStr">
        <is>
          <t>26-74013</t>
        </is>
      </c>
      <c r="C11" s="8" t="inlineStr">
        <is>
          <t>75</t>
        </is>
      </c>
      <c r="D11" s="8" t="inlineStr">
        <is>
          <t>CHAUD</t>
        </is>
      </c>
      <c r="E11" s="8" t="inlineStr">
        <is>
          <t>Prestations de nettoyage des locaux de l'École nationale supérieure d’architecture de Paris-La Villette</t>
        </is>
      </c>
      <c r="F11" s="8" t="inlineStr">
        <is>
          <t>ENSA Paris-La Villette</t>
        </is>
      </c>
      <c r="G11" s="8" t="inlineStr">
        <is>
          <t>Paris</t>
        </is>
      </c>
      <c r="H11" s="8" t="inlineStr">
        <is>
          <t>75,92,93,91,95,77,94</t>
        </is>
      </c>
      <c r="I11" s="11" t="n">
        <v>75019</v>
      </c>
      <c r="J11" s="9" t="n">
        <v>46293</v>
      </c>
      <c r="K11" s="10" t="inlineStr">
        <is>
          <t>https://www.boamp.fr/pages/avis/?q=idweb:26-74013</t>
        </is>
      </c>
    </row>
    <row r="12">
      <c r="A12" s="8" t="n">
        <v>4</v>
      </c>
      <c r="B12" s="8" t="inlineStr">
        <is>
          <t>26-72283</t>
        </is>
      </c>
      <c r="C12" s="8" t="inlineStr">
        <is>
          <t>75</t>
        </is>
      </c>
      <c r="D12" s="8" t="inlineStr">
        <is>
          <t>CHAUD</t>
        </is>
      </c>
      <c r="E12" s="8" t="inlineStr">
        <is>
          <t>Prestation d'écrivains publics interprètes à Montreuil</t>
        </is>
      </c>
      <c r="F12" s="8" t="inlineStr">
        <is>
          <t>Mairie de Montreuil</t>
        </is>
      </c>
      <c r="G12" s="8" t="inlineStr">
        <is>
          <t>Montreuil</t>
        </is>
      </c>
      <c r="H12" s="8" t="inlineStr">
        <is>
          <t>93</t>
        </is>
      </c>
      <c r="I12" s="11" t="n">
        <v>93100</v>
      </c>
      <c r="J12" s="9" t="n">
        <v>46276</v>
      </c>
      <c r="K12" s="10" t="inlineStr">
        <is>
          <t>https://www.boamp.fr/pages/avis/?q=idweb:26-72283</t>
        </is>
      </c>
    </row>
    <row r="13">
      <c r="A13" s="8" t="n">
        <v>5</v>
      </c>
      <c r="B13" s="8" t="inlineStr">
        <is>
          <t>26-70858</t>
        </is>
      </c>
      <c r="C13" s="8" t="inlineStr">
        <is>
          <t>70</t>
        </is>
      </c>
      <c r="D13" s="8" t="inlineStr">
        <is>
          <t>CHAUD</t>
        </is>
      </c>
      <c r="E13" s="8" t="inlineStr">
        <is>
          <t>Nettoyage des locaux de l'EPAMSA</t>
        </is>
      </c>
      <c r="F13" s="8" t="inlineStr">
        <is>
          <t>EPAMSA</t>
        </is>
      </c>
      <c r="G13" s="8" t="inlineStr">
        <is>
          <t>MANTES-LA-JOLIE</t>
        </is>
      </c>
      <c r="H13" s="8" t="inlineStr">
        <is>
          <t>78</t>
        </is>
      </c>
      <c r="I13" s="11" t="n">
        <v>78200</v>
      </c>
      <c r="J13" s="9" t="n">
        <v>46269</v>
      </c>
      <c r="K13" s="10" t="inlineStr">
        <is>
          <t>https://www.boamp.fr/pages/avis/?q=idweb:26-70858</t>
        </is>
      </c>
    </row>
    <row r="14">
      <c r="A14" s="8" t="n">
        <v>6</v>
      </c>
      <c r="B14" s="8" t="inlineStr">
        <is>
          <t>26-70565</t>
        </is>
      </c>
      <c r="C14" s="8" t="inlineStr">
        <is>
          <t>70</t>
        </is>
      </c>
      <c r="D14" s="8" t="inlineStr">
        <is>
          <t>CHAUD</t>
        </is>
      </c>
      <c r="E14" s="8" t="inlineStr">
        <is>
          <t>TRAVAUX D'AMÉNAGEMENT INTÉRIEUR DU R+1 ET COMBLE DE LA FERME DURPÉ</t>
        </is>
      </c>
      <c r="F14" s="8" t="inlineStr">
        <is>
          <t>COMMUNE DE MAGNY LE HONGRE</t>
        </is>
      </c>
      <c r="G14" s="8" t="inlineStr">
        <is>
          <t>MAGNY LE HONGRE</t>
        </is>
      </c>
      <c r="H14" s="8" t="inlineStr">
        <is>
          <t>77,75,78,91</t>
        </is>
      </c>
      <c r="I14" s="11" t="n">
        <v>77700</v>
      </c>
      <c r="J14" s="9" t="n">
        <v>46275</v>
      </c>
      <c r="K14" s="10" t="inlineStr">
        <is>
          <t>https://www.boamp.fr/pages/avis/?q=idweb:26-70565</t>
        </is>
      </c>
    </row>
    <row r="15">
      <c r="A15" s="8" t="n">
        <v>7</v>
      </c>
      <c r="B15" s="8" t="inlineStr">
        <is>
          <t>26-72708</t>
        </is>
      </c>
      <c r="C15" s="8" t="inlineStr">
        <is>
          <t>65</t>
        </is>
      </c>
      <c r="D15" s="8" t="inlineStr">
        <is>
          <t>CHAUD</t>
        </is>
      </c>
      <c r="E15" s="8" t="inlineStr">
        <is>
          <t>Entretien ménager des locaux des sites mégalithiques de Carnac et Locmariaquer</t>
        </is>
      </c>
      <c r="F15" s="8" t="inlineStr">
        <is>
          <t>Centre Monuments Nationaux</t>
        </is>
      </c>
      <c r="G15" s="8" t="inlineStr"/>
      <c r="H15" s="8" t="inlineStr">
        <is>
          <t>75,56</t>
        </is>
      </c>
      <c r="I15" s="11" t="n">
        <v>60000</v>
      </c>
      <c r="J15" s="9" t="n">
        <v>46276</v>
      </c>
      <c r="K15" s="10" t="inlineStr">
        <is>
          <t>https://www.boamp.fr/pages/avis/?q=idweb:26-72708</t>
        </is>
      </c>
    </row>
    <row r="16">
      <c r="A16" s="8" t="n">
        <v>8</v>
      </c>
      <c r="B16" s="8" t="inlineStr">
        <is>
          <t>26-71675</t>
        </is>
      </c>
      <c r="C16" s="8" t="inlineStr">
        <is>
          <t>65</t>
        </is>
      </c>
      <c r="D16" s="8" t="inlineStr">
        <is>
          <t>CHAUD</t>
        </is>
      </c>
      <c r="E16" s="8" t="inlineStr">
        <is>
          <t>Décontamination, dépoussiérage et reconditionnement des réserves documentaires n°2 et 3 du Château de Sceaux</t>
        </is>
      </c>
      <c r="F16" s="8" t="inlineStr">
        <is>
          <t>Département des Hauts-de-Seine</t>
        </is>
      </c>
      <c r="G16" s="8" t="inlineStr">
        <is>
          <t>NANTERRE</t>
        </is>
      </c>
      <c r="H16" s="8" t="inlineStr">
        <is>
          <t>92</t>
        </is>
      </c>
      <c r="I16" s="11" t="n">
        <v>92000</v>
      </c>
      <c r="J16" s="9" t="n">
        <v>46276</v>
      </c>
      <c r="K16" s="10" t="inlineStr">
        <is>
          <t>https://www.boamp.fr/pages/avis/?q=idweb:26-71675</t>
        </is>
      </c>
    </row>
    <row r="17">
      <c r="A17" s="8" t="n">
        <v>9</v>
      </c>
      <c r="B17" s="8" t="inlineStr">
        <is>
          <t>26-71198</t>
        </is>
      </c>
      <c r="C17" s="8" t="inlineStr">
        <is>
          <t>65</t>
        </is>
      </c>
      <c r="D17" s="8" t="inlineStr">
        <is>
          <t>CHAUD</t>
        </is>
      </c>
      <c r="E17" s="8" t="inlineStr">
        <is>
          <t>CONCESSION DE SERVICE PUBLIC 
PORTANT SUR LA GESTION ET L'EXPLOITATION DES MARCHES FORAINS DE LA VILLE DE MONTROUGE</t>
        </is>
      </c>
      <c r="F17" s="8" t="inlineStr">
        <is>
          <t>Ville de Montrouge</t>
        </is>
      </c>
      <c r="G17" s="8" t="inlineStr">
        <is>
          <t>Montrouge cedex</t>
        </is>
      </c>
      <c r="H17" s="8" t="inlineStr">
        <is>
          <t>92,75</t>
        </is>
      </c>
      <c r="I17" s="8" t="inlineStr"/>
      <c r="J17" s="9" t="n">
        <v>46295</v>
      </c>
      <c r="K17" s="10" t="inlineStr">
        <is>
          <t>https://www.boamp.fr/pages/avis/?q=idweb:26-71198</t>
        </is>
      </c>
    </row>
    <row r="18">
      <c r="A18" s="8" t="n">
        <v>10</v>
      </c>
      <c r="B18" s="8" t="inlineStr">
        <is>
          <t>26-72948</t>
        </is>
      </c>
      <c r="C18" s="8" t="inlineStr">
        <is>
          <t>60</t>
        </is>
      </c>
      <c r="D18" s="8" t="inlineStr">
        <is>
          <t>TIEDE</t>
        </is>
      </c>
      <c r="E18" s="8" t="inlineStr">
        <is>
          <t>26MF026 - Fourniture d'appareils ménagers et d'équipements professionnels</t>
        </is>
      </c>
      <c r="F18" s="8" t="inlineStr">
        <is>
          <t>Ville de Plaisir</t>
        </is>
      </c>
      <c r="G18" s="8" t="inlineStr"/>
      <c r="H18" s="8" t="inlineStr">
        <is>
          <t>78</t>
        </is>
      </c>
      <c r="I18" s="8" t="inlineStr"/>
      <c r="J18" s="9" t="n">
        <v>46261</v>
      </c>
      <c r="K18" s="10" t="inlineStr">
        <is>
          <t>https://www.boamp.fr/pages/avis/?q=idweb:26-72948</t>
        </is>
      </c>
    </row>
    <row r="19">
      <c r="A19" s="8" t="n">
        <v>11</v>
      </c>
      <c r="B19" s="8" t="inlineStr">
        <is>
          <t>26-71986</t>
        </is>
      </c>
      <c r="C19" s="8" t="inlineStr">
        <is>
          <t>60</t>
        </is>
      </c>
      <c r="D19" s="8" t="inlineStr">
        <is>
          <t>TIEDE</t>
        </is>
      </c>
      <c r="E19" s="8" t="inlineStr">
        <is>
          <t>Nettoyage des locaux communaux et des vitreries des bâtiments communaux</t>
        </is>
      </c>
      <c r="F19" s="8" t="inlineStr">
        <is>
          <t>Ville de Fontenay-aux-Roses</t>
        </is>
      </c>
      <c r="G19" s="8" t="inlineStr"/>
      <c r="H19" s="8" t="inlineStr">
        <is>
          <t>92</t>
        </is>
      </c>
      <c r="I19" s="8" t="inlineStr"/>
      <c r="J19" s="9" t="n">
        <v>46240</v>
      </c>
      <c r="K19" s="10" t="inlineStr">
        <is>
          <t>https://www.boamp.fr/pages/avis/?q=idweb:26-71986</t>
        </is>
      </c>
    </row>
    <row r="20">
      <c r="A20" s="8" t="n">
        <v>12</v>
      </c>
      <c r="B20" s="8" t="inlineStr">
        <is>
          <t>26-71545</t>
        </is>
      </c>
      <c r="C20" s="8" t="inlineStr">
        <is>
          <t>60</t>
        </is>
      </c>
      <c r="D20" s="8" t="inlineStr">
        <is>
          <t>TIEDE</t>
        </is>
      </c>
      <c r="E20" s="8" t="inlineStr">
        <is>
          <t>Exploitation, maintenance des dispositifs de collecte pneumatique fixes et mobiles des déchets ménagers et transport de ces déchets</t>
        </is>
      </c>
      <c r="F20" s="8" t="inlineStr">
        <is>
          <t>Grand Paris Seine Ouest</t>
        </is>
      </c>
      <c r="G20" s="8" t="inlineStr"/>
      <c r="H20" s="8" t="inlineStr">
        <is>
          <t>92</t>
        </is>
      </c>
      <c r="I20" s="11" t="n">
        <v>300000</v>
      </c>
      <c r="J20" s="9" t="n">
        <v>46275</v>
      </c>
      <c r="K20" s="10" t="inlineStr">
        <is>
          <t>https://www.boamp.fr/pages/avis/?q=idweb:26-71545</t>
        </is>
      </c>
    </row>
    <row r="21">
      <c r="A21" s="8" t="n">
        <v>13</v>
      </c>
      <c r="B21" s="8" t="inlineStr">
        <is>
          <t>26-73898</t>
        </is>
      </c>
      <c r="C21" s="8" t="inlineStr">
        <is>
          <t>55</t>
        </is>
      </c>
      <c r="D21" s="8" t="inlineStr">
        <is>
          <t>TIEDE</t>
        </is>
      </c>
      <c r="E21" s="8" t="inlineStr">
        <is>
          <t>Fourniture de petits matériels et de consommables d'entretien et d'hygiène</t>
        </is>
      </c>
      <c r="F21" s="8" t="inlineStr">
        <is>
          <t>Département des Hauts-de-Seine</t>
        </is>
      </c>
      <c r="G21" s="8" t="inlineStr"/>
      <c r="H21" s="8" t="inlineStr">
        <is>
          <t>92</t>
        </is>
      </c>
      <c r="I21" s="8" t="inlineStr"/>
      <c r="J21" s="9" t="n">
        <v>46280</v>
      </c>
      <c r="K21" s="10" t="inlineStr">
        <is>
          <t>https://www.boamp.fr/pages/avis/?q=idweb:26-73898</t>
        </is>
      </c>
    </row>
    <row r="22">
      <c r="A22" s="8" t="n">
        <v>14</v>
      </c>
      <c r="B22" s="8" t="inlineStr">
        <is>
          <t>26-72955</t>
        </is>
      </c>
      <c r="C22" s="8" t="inlineStr">
        <is>
          <t>55</t>
        </is>
      </c>
      <c r="D22" s="8" t="inlineStr">
        <is>
          <t>TIEDE</t>
        </is>
      </c>
      <c r="E22" s="8" t="inlineStr">
        <is>
          <t>Prestations de nettoyage courant des locaux du CNRS et de vitreries incluant la fourniture des produits d’entretien et d’hygiène</t>
        </is>
      </c>
      <c r="F22" s="8" t="inlineStr">
        <is>
          <t>CNRS Délégation paris-Centre</t>
        </is>
      </c>
      <c r="G22" s="8" t="inlineStr"/>
      <c r="H22" s="8" t="inlineStr">
        <is>
          <t>75,77,78,91,92,93,94,95</t>
        </is>
      </c>
      <c r="I22" s="8" t="inlineStr"/>
      <c r="J22" s="9" t="n">
        <v>46269</v>
      </c>
      <c r="K22" s="10" t="inlineStr">
        <is>
          <t>https://www.boamp.fr/pages/avis/?q=idweb:26-72955</t>
        </is>
      </c>
    </row>
    <row r="23">
      <c r="A23" s="8" t="n">
        <v>15</v>
      </c>
      <c r="B23" s="8" t="inlineStr">
        <is>
          <t>26-72105</t>
        </is>
      </c>
      <c r="C23" s="8" t="inlineStr">
        <is>
          <t>55</t>
        </is>
      </c>
      <c r="D23" s="8" t="inlineStr">
        <is>
          <t>TIEDE</t>
        </is>
      </c>
      <c r="E23" s="8" t="inlineStr">
        <is>
          <t>PRESTATIONS DE SERVICES DE NETTOYAGE ET BIONETTOYAGE DES LOCAUX, DE LA VITRERIE ET SERVICES ASSOCIES POUR LE CHIMM</t>
        </is>
      </c>
      <c r="F23" s="8" t="inlineStr">
        <is>
          <t>Centre Hospitalier Poissy/Saint-Germain-En-Laye</t>
        </is>
      </c>
      <c r="G23" s="8" t="inlineStr"/>
      <c r="H23" s="8" t="inlineStr">
        <is>
          <t>78</t>
        </is>
      </c>
      <c r="I23" s="8" t="inlineStr"/>
      <c r="J23" s="9" t="n">
        <v>46293</v>
      </c>
      <c r="K23" s="10" t="inlineStr">
        <is>
          <t>https://www.boamp.fr/pages/avis/?q=idweb:26-72105</t>
        </is>
      </c>
    </row>
    <row r="24">
      <c r="A24" s="8" t="n">
        <v>16</v>
      </c>
      <c r="B24" s="8" t="inlineStr">
        <is>
          <t>26-70522</t>
        </is>
      </c>
      <c r="C24" s="8" t="inlineStr">
        <is>
          <t>55</t>
        </is>
      </c>
      <c r="D24" s="8" t="inlineStr">
        <is>
          <t>TIEDE</t>
        </is>
      </c>
      <c r="E24" s="8" t="inlineStr">
        <is>
          <t>PRESTATIONS DE COACHING ET D’ACCOMPAGNEMENT DES MEMBRES D’UN CODIR AU PROFIT DE L’EPIDE</t>
        </is>
      </c>
      <c r="F24" s="8" t="inlineStr">
        <is>
          <t>EPIDE</t>
        </is>
      </c>
      <c r="G24" s="8" t="inlineStr"/>
      <c r="H24" s="8" t="inlineStr">
        <is>
          <t>92,67,68,24,33,40,47,64,3</t>
        </is>
      </c>
      <c r="I24" s="8" t="inlineStr"/>
      <c r="J24" s="9" t="n">
        <v>46259</v>
      </c>
      <c r="K24" s="10" t="inlineStr">
        <is>
          <t>https://www.boamp.fr/pages/avis/?q=idweb:26-70522</t>
        </is>
      </c>
    </row>
    <row r="25">
      <c r="A25" s="8" t="n">
        <v>17</v>
      </c>
      <c r="B25" s="8" t="inlineStr">
        <is>
          <t>26-70503</t>
        </is>
      </c>
      <c r="C25" s="8" t="inlineStr">
        <is>
          <t>55</t>
        </is>
      </c>
      <c r="D25" s="8" t="inlineStr">
        <is>
          <t>TIEDE</t>
        </is>
      </c>
      <c r="E25" s="8" t="inlineStr">
        <is>
          <t>Prestations de nettoyage des locaux et de la vitrerie et prestations associées pour les sites du GHT Grand Paris Nord-Est</t>
        </is>
      </c>
      <c r="F25" s="8" t="inlineStr">
        <is>
          <t>GHT GPNE</t>
        </is>
      </c>
      <c r="G25" s="8" t="inlineStr"/>
      <c r="H25" s="8" t="inlineStr">
        <is>
          <t>93</t>
        </is>
      </c>
      <c r="I25" s="8" t="inlineStr"/>
      <c r="J25" s="9" t="n">
        <v>46269</v>
      </c>
      <c r="K25" s="10" t="inlineStr">
        <is>
          <t>https://www.boamp.fr/pages/avis/?q=idweb:26-70503</t>
        </is>
      </c>
    </row>
    <row r="26">
      <c r="A26" s="8" t="n">
        <v>18</v>
      </c>
      <c r="B26" s="8" t="inlineStr">
        <is>
          <t>26-72690</t>
        </is>
      </c>
      <c r="C26" s="8" t="inlineStr">
        <is>
          <t>45</t>
        </is>
      </c>
      <c r="D26" s="8" t="inlineStr">
        <is>
          <t>TIEDE</t>
        </is>
      </c>
      <c r="E26" s="8" t="inlineStr">
        <is>
          <t>Service de mise à disposition de personnel</t>
        </is>
      </c>
      <c r="F26" s="8" t="inlineStr">
        <is>
          <t>Mairie d&amp;#039;ANTONY</t>
        </is>
      </c>
      <c r="G26" s="8" t="inlineStr"/>
      <c r="H26" s="8" t="inlineStr">
        <is>
          <t>92</t>
        </is>
      </c>
      <c r="I26" s="11" t="n">
        <v>150000</v>
      </c>
      <c r="J26" s="9" t="n">
        <v>46274</v>
      </c>
      <c r="K26" s="10" t="inlineStr">
        <is>
          <t>https://www.boamp.fr/pages/avis/?q=idweb:26-72690</t>
        </is>
      </c>
    </row>
    <row r="27">
      <c r="A27" s="8" t="n">
        <v>19</v>
      </c>
      <c r="B27" s="8" t="inlineStr">
        <is>
          <t>26-70805</t>
        </is>
      </c>
      <c r="C27" s="8" t="inlineStr">
        <is>
          <t>45</t>
        </is>
      </c>
      <c r="D27" s="8" t="inlineStr">
        <is>
          <t>TIEDE</t>
        </is>
      </c>
      <c r="E27" s="8" t="inlineStr">
        <is>
          <t>Prestation de paie externalisée</t>
        </is>
      </c>
      <c r="F27" s="8" t="inlineStr">
        <is>
          <t>Les Eaux de la Confluence</t>
        </is>
      </c>
      <c r="G27" s="8" t="inlineStr">
        <is>
          <t>Cergy-Pontoise</t>
        </is>
      </c>
      <c r="H27" s="8" t="inlineStr">
        <is>
          <t>95</t>
        </is>
      </c>
      <c r="I27" s="11" t="n">
        <v>95027</v>
      </c>
      <c r="J27" s="9" t="n">
        <v>46240</v>
      </c>
      <c r="K27" s="10" t="inlineStr">
        <is>
          <t>https://www.boamp.fr/pages/avis/?q=idweb:26-70805</t>
        </is>
      </c>
    </row>
    <row r="28">
      <c r="A28" s="8" t="n">
        <v>20</v>
      </c>
      <c r="B28" s="8" t="inlineStr">
        <is>
          <t>26-70259</t>
        </is>
      </c>
      <c r="C28" s="8" t="inlineStr">
        <is>
          <t>40</t>
        </is>
      </c>
      <c r="D28" s="8" t="inlineStr">
        <is>
          <t>TIEDE</t>
        </is>
      </c>
      <c r="E28" s="8" t="inlineStr">
        <is>
          <t>Marché de prestations de gardiennage lors de manifestations sur sites
Le titulaire du présent marché sera capable d'assurer sa mission de gardiennage dans le cadre d'interventions planifiée</t>
        </is>
      </c>
      <c r="F28" s="8" t="inlineStr">
        <is>
          <t>Mairie de Sannois</t>
        </is>
      </c>
      <c r="G28" s="8" t="inlineStr"/>
      <c r="H28" s="8" t="inlineStr">
        <is>
          <t>95</t>
        </is>
      </c>
      <c r="I28" s="11" t="n">
        <v>55000</v>
      </c>
      <c r="J28" s="9" t="n">
        <v>46251</v>
      </c>
      <c r="K28" s="10" t="inlineStr">
        <is>
          <t>https://www.boamp.fr/pages/avis/?q=idweb:26-70259</t>
        </is>
      </c>
    </row>
  </sheetData>
  <mergeCells count="13">
    <mergeCell ref="A4:B4"/>
    <mergeCell ref="G4:H4"/>
    <mergeCell ref="E4:F4"/>
    <mergeCell ref="A1:J2"/>
    <mergeCell ref="I4:J4"/>
    <mergeCell ref="C5:D5"/>
    <mergeCell ref="A5:B5"/>
    <mergeCell ref="G5:H5"/>
    <mergeCell ref="E5:F5"/>
    <mergeCell ref="K5:L5"/>
    <mergeCell ref="I5:J5"/>
    <mergeCell ref="K4:L4"/>
    <mergeCell ref="C4:D4"/>
  </mergeCells>
  <hyperlinks>
    <hyperlink xmlns:r="http://schemas.openxmlformats.org/officeDocument/2006/relationships" ref="K9" r:id="rId1"/>
    <hyperlink xmlns:r="http://schemas.openxmlformats.org/officeDocument/2006/relationships" ref="K10" r:id="rId2"/>
    <hyperlink xmlns:r="http://schemas.openxmlformats.org/officeDocument/2006/relationships" ref="K11" r:id="rId3"/>
    <hyperlink xmlns:r="http://schemas.openxmlformats.org/officeDocument/2006/relationships" ref="K12" r:id="rId4"/>
    <hyperlink xmlns:r="http://schemas.openxmlformats.org/officeDocument/2006/relationships" ref="K13" r:id="rId5"/>
    <hyperlink xmlns:r="http://schemas.openxmlformats.org/officeDocument/2006/relationships" ref="K14" r:id="rId6"/>
    <hyperlink xmlns:r="http://schemas.openxmlformats.org/officeDocument/2006/relationships" ref="K15" r:id="rId7"/>
    <hyperlink xmlns:r="http://schemas.openxmlformats.org/officeDocument/2006/relationships" ref="K16" r:id="rId8"/>
    <hyperlink xmlns:r="http://schemas.openxmlformats.org/officeDocument/2006/relationships" ref="K17" r:id="rId9"/>
    <hyperlink xmlns:r="http://schemas.openxmlformats.org/officeDocument/2006/relationships" ref="K18" r:id="rId10"/>
    <hyperlink xmlns:r="http://schemas.openxmlformats.org/officeDocument/2006/relationships" ref="K19" r:id="rId11"/>
    <hyperlink xmlns:r="http://schemas.openxmlformats.org/officeDocument/2006/relationships" ref="K20" r:id="rId12"/>
    <hyperlink xmlns:r="http://schemas.openxmlformats.org/officeDocument/2006/relationships" ref="K21" r:id="rId13"/>
    <hyperlink xmlns:r="http://schemas.openxmlformats.org/officeDocument/2006/relationships" ref="K22" r:id="rId14"/>
    <hyperlink xmlns:r="http://schemas.openxmlformats.org/officeDocument/2006/relationships" ref="K23" r:id="rId15"/>
    <hyperlink xmlns:r="http://schemas.openxmlformats.org/officeDocument/2006/relationships" ref="K24" r:id="rId16"/>
    <hyperlink xmlns:r="http://schemas.openxmlformats.org/officeDocument/2006/relationships" ref="K25" r:id="rId17"/>
    <hyperlink xmlns:r="http://schemas.openxmlformats.org/officeDocument/2006/relationships" ref="K26" r:id="rId18"/>
    <hyperlink xmlns:r="http://schemas.openxmlformats.org/officeDocument/2006/relationships" ref="K27" r:id="rId19"/>
    <hyperlink xmlns:r="http://schemas.openxmlformats.org/officeDocument/2006/relationships" ref="K28" r:id="rId20"/>
  </hyperlink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K21"/>
  <sheetViews>
    <sheetView workbookViewId="0">
      <pane xSplit="5" ySplit="1" topLeftCell="F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14" customWidth="1" min="3" max="3"/>
    <col width="10" customWidth="1" min="4" max="4"/>
    <col width="55" customWidth="1" min="5" max="5"/>
    <col width="49" customWidth="1" min="6" max="6"/>
    <col width="17" customWidth="1" min="7" max="7"/>
    <col width="27" customWidth="1" min="8" max="8"/>
    <col width="19" customWidth="1" min="9" max="9"/>
    <col width="13" customWidth="1" min="10" max="10"/>
    <col width="51" customWidth="1" min="11" max="11"/>
  </cols>
  <sheetData>
    <row r="1">
      <c r="A1" s="12" t="inlineStr">
        <is>
          <t>rang</t>
        </is>
      </c>
      <c r="B1" s="12" t="inlineStr">
        <is>
          <t>id_ao</t>
        </is>
      </c>
      <c r="C1" s="12" t="inlineStr">
        <is>
          <t>score_chruth</t>
        </is>
      </c>
      <c r="D1" s="12" t="inlineStr">
        <is>
          <t>priorite</t>
        </is>
      </c>
      <c r="E1" s="12" t="inlineStr">
        <is>
          <t>objet</t>
        </is>
      </c>
      <c r="F1" s="12" t="inlineStr">
        <is>
          <t>acheteur</t>
        </is>
      </c>
      <c r="G1" s="12" t="inlineStr">
        <is>
          <t>ville</t>
        </is>
      </c>
      <c r="H1" s="12" t="inlineStr">
        <is>
          <t>departement</t>
        </is>
      </c>
      <c r="I1" s="12" t="inlineStr">
        <is>
          <t>budget_estime_eur</t>
        </is>
      </c>
      <c r="J1" s="12" t="inlineStr">
        <is>
          <t>date_limite</t>
        </is>
      </c>
      <c r="K1" s="12" t="inlineStr">
        <is>
          <t>url_avis</t>
        </is>
      </c>
    </row>
    <row r="2">
      <c r="A2" t="n">
        <v>1</v>
      </c>
      <c r="B2" t="inlineStr">
        <is>
          <t>26-73275</t>
        </is>
      </c>
      <c r="C2" t="inlineStr">
        <is>
          <t>80</t>
        </is>
      </c>
      <c r="D2" s="13" t="inlineStr">
        <is>
          <t>CHAUD</t>
        </is>
      </c>
      <c r="E2" t="inlineStr">
        <is>
          <t>ENTRETIEN, REMISE EN ETAT ET AMENAGEMENT D'ESPACES VERTS POUR LA VILLE DE GENNEVILLIERS
LOT N°1 : Entretien des secteurs d'habitation Nord et du cimetière, remise en état et aménagement d'e</t>
        </is>
      </c>
      <c r="F2" t="inlineStr">
        <is>
          <t>Ville de Gennevilliers</t>
        </is>
      </c>
      <c r="G2" t="inlineStr"/>
      <c r="H2" t="inlineStr">
        <is>
          <t>92</t>
        </is>
      </c>
      <c r="I2" t="inlineStr"/>
      <c r="J2" s="14" t="n">
        <v>46261</v>
      </c>
      <c r="K2" s="10" t="inlineStr">
        <is>
          <t>https://www.boamp.fr/pages/avis/?q=idweb:26-73275</t>
        </is>
      </c>
    </row>
    <row r="3">
      <c r="A3" t="n">
        <v>2</v>
      </c>
      <c r="B3" t="inlineStr">
        <is>
          <t>26-74949</t>
        </is>
      </c>
      <c r="C3" t="inlineStr">
        <is>
          <t>75</t>
        </is>
      </c>
      <c r="D3" s="13" t="inlineStr">
        <is>
          <t>CHAUD</t>
        </is>
      </c>
      <c r="E3" t="inlineStr">
        <is>
          <t>Prestations D'Entretien Ménager Des Gymnases De La Ville De Roissy-En-Brie</t>
        </is>
      </c>
      <c r="F3" t="inlineStr">
        <is>
          <t>Mairie de Roissy-en-Brie</t>
        </is>
      </c>
      <c r="G3" t="inlineStr">
        <is>
          <t>ROISSY EN BRIE</t>
        </is>
      </c>
      <c r="H3" t="inlineStr">
        <is>
          <t>77</t>
        </is>
      </c>
      <c r="I3" s="15" t="n">
        <v>77680</v>
      </c>
      <c r="J3" s="14" t="n">
        <v>46262</v>
      </c>
      <c r="K3" s="10" t="inlineStr">
        <is>
          <t>https://www.boamp.fr/pages/avis/?q=idweb:26-74949</t>
        </is>
      </c>
    </row>
    <row r="4">
      <c r="A4" t="n">
        <v>3</v>
      </c>
      <c r="B4" t="inlineStr">
        <is>
          <t>26-74013</t>
        </is>
      </c>
      <c r="C4" t="inlineStr">
        <is>
          <t>75</t>
        </is>
      </c>
      <c r="D4" s="13" t="inlineStr">
        <is>
          <t>CHAUD</t>
        </is>
      </c>
      <c r="E4" t="inlineStr">
        <is>
          <t>Prestations de nettoyage des locaux de l'École nationale supérieure d’architecture de Paris-La Villette</t>
        </is>
      </c>
      <c r="F4" t="inlineStr">
        <is>
          <t>ENSA Paris-La Villette</t>
        </is>
      </c>
      <c r="G4" t="inlineStr">
        <is>
          <t>Paris</t>
        </is>
      </c>
      <c r="H4" t="inlineStr">
        <is>
          <t>75,92,93,91,95,77,94</t>
        </is>
      </c>
      <c r="I4" s="15" t="n">
        <v>75019</v>
      </c>
      <c r="J4" s="14" t="n">
        <v>46293</v>
      </c>
      <c r="K4" s="10" t="inlineStr">
        <is>
          <t>https://www.boamp.fr/pages/avis/?q=idweb:26-74013</t>
        </is>
      </c>
    </row>
    <row r="5">
      <c r="A5" t="n">
        <v>4</v>
      </c>
      <c r="B5" t="inlineStr">
        <is>
          <t>26-72283</t>
        </is>
      </c>
      <c r="C5" t="inlineStr">
        <is>
          <t>75</t>
        </is>
      </c>
      <c r="D5" s="13" t="inlineStr">
        <is>
          <t>CHAUD</t>
        </is>
      </c>
      <c r="E5" t="inlineStr">
        <is>
          <t>Prestation d'écrivains publics interprètes à Montreuil</t>
        </is>
      </c>
      <c r="F5" t="inlineStr">
        <is>
          <t>Mairie de Montreuil</t>
        </is>
      </c>
      <c r="G5" t="inlineStr">
        <is>
          <t>Montreuil</t>
        </is>
      </c>
      <c r="H5" t="inlineStr">
        <is>
          <t>93</t>
        </is>
      </c>
      <c r="I5" s="15" t="n">
        <v>93100</v>
      </c>
      <c r="J5" s="14" t="n">
        <v>46276</v>
      </c>
      <c r="K5" s="10" t="inlineStr">
        <is>
          <t>https://www.boamp.fr/pages/avis/?q=idweb:26-72283</t>
        </is>
      </c>
    </row>
    <row r="6">
      <c r="A6" t="n">
        <v>5</v>
      </c>
      <c r="B6" t="inlineStr">
        <is>
          <t>26-70858</t>
        </is>
      </c>
      <c r="C6" t="inlineStr">
        <is>
          <t>70</t>
        </is>
      </c>
      <c r="D6" s="13" t="inlineStr">
        <is>
          <t>CHAUD</t>
        </is>
      </c>
      <c r="E6" t="inlineStr">
        <is>
          <t>Nettoyage des locaux de l'EPAMSA</t>
        </is>
      </c>
      <c r="F6" t="inlineStr">
        <is>
          <t>EPAMSA</t>
        </is>
      </c>
      <c r="G6" t="inlineStr">
        <is>
          <t>MANTES-LA-JOLIE</t>
        </is>
      </c>
      <c r="H6" t="inlineStr">
        <is>
          <t>78</t>
        </is>
      </c>
      <c r="I6" s="15" t="n">
        <v>78200</v>
      </c>
      <c r="J6" s="14" t="n">
        <v>46269</v>
      </c>
      <c r="K6" s="10" t="inlineStr">
        <is>
          <t>https://www.boamp.fr/pages/avis/?q=idweb:26-70858</t>
        </is>
      </c>
    </row>
    <row r="7">
      <c r="A7" t="n">
        <v>6</v>
      </c>
      <c r="B7" t="inlineStr">
        <is>
          <t>26-70565</t>
        </is>
      </c>
      <c r="C7" t="inlineStr">
        <is>
          <t>70</t>
        </is>
      </c>
      <c r="D7" s="13" t="inlineStr">
        <is>
          <t>CHAUD</t>
        </is>
      </c>
      <c r="E7" t="inlineStr">
        <is>
          <t>TRAVAUX D'AMÉNAGEMENT INTÉRIEUR DU R+1 ET COMBLE DE LA FERME DURPÉ</t>
        </is>
      </c>
      <c r="F7" t="inlineStr">
        <is>
          <t>COMMUNE DE MAGNY LE HONGRE</t>
        </is>
      </c>
      <c r="G7" t="inlineStr">
        <is>
          <t>MAGNY LE HONGRE</t>
        </is>
      </c>
      <c r="H7" t="inlineStr">
        <is>
          <t>77,75,78,91</t>
        </is>
      </c>
      <c r="I7" s="15" t="n">
        <v>77700</v>
      </c>
      <c r="J7" s="14" t="n">
        <v>46275</v>
      </c>
      <c r="K7" s="10" t="inlineStr">
        <is>
          <t>https://www.boamp.fr/pages/avis/?q=idweb:26-70565</t>
        </is>
      </c>
    </row>
    <row r="8">
      <c r="A8" t="n">
        <v>7</v>
      </c>
      <c r="B8" t="inlineStr">
        <is>
          <t>26-72708</t>
        </is>
      </c>
      <c r="C8" t="inlineStr">
        <is>
          <t>65</t>
        </is>
      </c>
      <c r="D8" s="13" t="inlineStr">
        <is>
          <t>CHAUD</t>
        </is>
      </c>
      <c r="E8" t="inlineStr">
        <is>
          <t>Entretien ménager des locaux des sites mégalithiques de Carnac et Locmariaquer</t>
        </is>
      </c>
      <c r="F8" t="inlineStr">
        <is>
          <t>Centre Monuments Nationaux</t>
        </is>
      </c>
      <c r="G8" t="inlineStr"/>
      <c r="H8" t="inlineStr">
        <is>
          <t>75,56</t>
        </is>
      </c>
      <c r="I8" s="15" t="n">
        <v>60000</v>
      </c>
      <c r="J8" s="14" t="n">
        <v>46276</v>
      </c>
      <c r="K8" s="10" t="inlineStr">
        <is>
          <t>https://www.boamp.fr/pages/avis/?q=idweb:26-72708</t>
        </is>
      </c>
    </row>
    <row r="9">
      <c r="A9" t="n">
        <v>8</v>
      </c>
      <c r="B9" t="inlineStr">
        <is>
          <t>26-71675</t>
        </is>
      </c>
      <c r="C9" t="inlineStr">
        <is>
          <t>65</t>
        </is>
      </c>
      <c r="D9" s="13" t="inlineStr">
        <is>
          <t>CHAUD</t>
        </is>
      </c>
      <c r="E9" t="inlineStr">
        <is>
          <t>Décontamination, dépoussiérage et reconditionnement des réserves documentaires n°2 et 3 du Château de Sceaux</t>
        </is>
      </c>
      <c r="F9" t="inlineStr">
        <is>
          <t>Département des Hauts-de-Seine</t>
        </is>
      </c>
      <c r="G9" t="inlineStr">
        <is>
          <t>NANTERRE</t>
        </is>
      </c>
      <c r="H9" t="inlineStr">
        <is>
          <t>92</t>
        </is>
      </c>
      <c r="I9" s="15" t="n">
        <v>92000</v>
      </c>
      <c r="J9" s="14" t="n">
        <v>46276</v>
      </c>
      <c r="K9" s="10" t="inlineStr">
        <is>
          <t>https://www.boamp.fr/pages/avis/?q=idweb:26-71675</t>
        </is>
      </c>
    </row>
    <row r="10">
      <c r="A10" t="n">
        <v>9</v>
      </c>
      <c r="B10" t="inlineStr">
        <is>
          <t>26-71198</t>
        </is>
      </c>
      <c r="C10" t="inlineStr">
        <is>
          <t>65</t>
        </is>
      </c>
      <c r="D10" s="13" t="inlineStr">
        <is>
          <t>CHAUD</t>
        </is>
      </c>
      <c r="E10" t="inlineStr">
        <is>
          <t>CONCESSION DE SERVICE PUBLIC 
PORTANT SUR LA GESTION ET L'EXPLOITATION DES MARCHES FORAINS DE LA VILLE DE MONTROUGE</t>
        </is>
      </c>
      <c r="F10" t="inlineStr">
        <is>
          <t>Ville de Montrouge</t>
        </is>
      </c>
      <c r="G10" t="inlineStr">
        <is>
          <t>Montrouge cedex</t>
        </is>
      </c>
      <c r="H10" t="inlineStr">
        <is>
          <t>92,75</t>
        </is>
      </c>
      <c r="I10" t="inlineStr"/>
      <c r="J10" s="14" t="n">
        <v>46295</v>
      </c>
      <c r="K10" s="10" t="inlineStr">
        <is>
          <t>https://www.boamp.fr/pages/avis/?q=idweb:26-71198</t>
        </is>
      </c>
    </row>
    <row r="11">
      <c r="A11" t="n">
        <v>10</v>
      </c>
      <c r="B11" t="inlineStr">
        <is>
          <t>26-72948</t>
        </is>
      </c>
      <c r="C11" t="inlineStr">
        <is>
          <t>60</t>
        </is>
      </c>
      <c r="D11" t="inlineStr">
        <is>
          <t>TIEDE</t>
        </is>
      </c>
      <c r="E11" t="inlineStr">
        <is>
          <t>26MF026 - Fourniture d'appareils ménagers et d'équipements professionnels</t>
        </is>
      </c>
      <c r="F11" t="inlineStr">
        <is>
          <t>Ville de Plaisir</t>
        </is>
      </c>
      <c r="G11" t="inlineStr"/>
      <c r="H11" t="inlineStr">
        <is>
          <t>78</t>
        </is>
      </c>
      <c r="I11" t="inlineStr"/>
      <c r="J11" s="14" t="n">
        <v>46261</v>
      </c>
      <c r="K11" s="10" t="inlineStr">
        <is>
          <t>https://www.boamp.fr/pages/avis/?q=idweb:26-72948</t>
        </is>
      </c>
    </row>
    <row r="12">
      <c r="A12" t="n">
        <v>11</v>
      </c>
      <c r="B12" t="inlineStr">
        <is>
          <t>26-71986</t>
        </is>
      </c>
      <c r="C12" t="inlineStr">
        <is>
          <t>60</t>
        </is>
      </c>
      <c r="D12" t="inlineStr">
        <is>
          <t>TIEDE</t>
        </is>
      </c>
      <c r="E12" t="inlineStr">
        <is>
          <t>Nettoyage des locaux communaux et des vitreries des bâtiments communaux</t>
        </is>
      </c>
      <c r="F12" t="inlineStr">
        <is>
          <t>Ville de Fontenay-aux-Roses</t>
        </is>
      </c>
      <c r="G12" t="inlineStr"/>
      <c r="H12" t="inlineStr">
        <is>
          <t>92</t>
        </is>
      </c>
      <c r="I12" t="inlineStr"/>
      <c r="J12" s="14" t="n">
        <v>46240</v>
      </c>
      <c r="K12" s="10" t="inlineStr">
        <is>
          <t>https://www.boamp.fr/pages/avis/?q=idweb:26-71986</t>
        </is>
      </c>
    </row>
    <row r="13">
      <c r="A13" t="n">
        <v>12</v>
      </c>
      <c r="B13" t="inlineStr">
        <is>
          <t>26-71545</t>
        </is>
      </c>
      <c r="C13" t="inlineStr">
        <is>
          <t>60</t>
        </is>
      </c>
      <c r="D13" t="inlineStr">
        <is>
          <t>TIEDE</t>
        </is>
      </c>
      <c r="E13" t="inlineStr">
        <is>
          <t>Exploitation, maintenance des dispositifs de collecte pneumatique fixes et mobiles des déchets ménagers et transport de ces déchets</t>
        </is>
      </c>
      <c r="F13" t="inlineStr">
        <is>
          <t>Grand Paris Seine Ouest</t>
        </is>
      </c>
      <c r="G13" t="inlineStr"/>
      <c r="H13" t="inlineStr">
        <is>
          <t>92</t>
        </is>
      </c>
      <c r="I13" s="15" t="n">
        <v>300000</v>
      </c>
      <c r="J13" s="14" t="n">
        <v>46275</v>
      </c>
      <c r="K13" s="10" t="inlineStr">
        <is>
          <t>https://www.boamp.fr/pages/avis/?q=idweb:26-71545</t>
        </is>
      </c>
    </row>
    <row r="14">
      <c r="A14" t="n">
        <v>13</v>
      </c>
      <c r="B14" t="inlineStr">
        <is>
          <t>26-73898</t>
        </is>
      </c>
      <c r="C14" t="inlineStr">
        <is>
          <t>55</t>
        </is>
      </c>
      <c r="D14" t="inlineStr">
        <is>
          <t>TIEDE</t>
        </is>
      </c>
      <c r="E14" t="inlineStr">
        <is>
          <t>Fourniture de petits matériels et de consommables d'entretien et d'hygiène</t>
        </is>
      </c>
      <c r="F14" t="inlineStr">
        <is>
          <t>Département des Hauts-de-Seine</t>
        </is>
      </c>
      <c r="G14" t="inlineStr"/>
      <c r="H14" t="inlineStr">
        <is>
          <t>92</t>
        </is>
      </c>
      <c r="I14" t="inlineStr"/>
      <c r="J14" s="14" t="n">
        <v>46280</v>
      </c>
      <c r="K14" s="10" t="inlineStr">
        <is>
          <t>https://www.boamp.fr/pages/avis/?q=idweb:26-73898</t>
        </is>
      </c>
    </row>
    <row r="15">
      <c r="A15" t="n">
        <v>14</v>
      </c>
      <c r="B15" t="inlineStr">
        <is>
          <t>26-72955</t>
        </is>
      </c>
      <c r="C15" t="inlineStr">
        <is>
          <t>55</t>
        </is>
      </c>
      <c r="D15" t="inlineStr">
        <is>
          <t>TIEDE</t>
        </is>
      </c>
      <c r="E15" t="inlineStr">
        <is>
          <t>Prestations de nettoyage courant des locaux du CNRS et de vitreries incluant la fourniture des produits d’entretien et d’hygiène</t>
        </is>
      </c>
      <c r="F15" t="inlineStr">
        <is>
          <t>CNRS Délégation paris-Centre</t>
        </is>
      </c>
      <c r="G15" t="inlineStr"/>
      <c r="H15" t="inlineStr">
        <is>
          <t>75,77,78,91,92,93,94,95</t>
        </is>
      </c>
      <c r="I15" t="inlineStr"/>
      <c r="J15" s="14" t="n">
        <v>46269</v>
      </c>
      <c r="K15" s="10" t="inlineStr">
        <is>
          <t>https://www.boamp.fr/pages/avis/?q=idweb:26-72955</t>
        </is>
      </c>
    </row>
    <row r="16">
      <c r="A16" t="n">
        <v>15</v>
      </c>
      <c r="B16" t="inlineStr">
        <is>
          <t>26-72105</t>
        </is>
      </c>
      <c r="C16" t="inlineStr">
        <is>
          <t>55</t>
        </is>
      </c>
      <c r="D16" t="inlineStr">
        <is>
          <t>TIEDE</t>
        </is>
      </c>
      <c r="E16" t="inlineStr">
        <is>
          <t>PRESTATIONS DE SERVICES DE NETTOYAGE ET BIONETTOYAGE DES LOCAUX, DE LA VITRERIE ET SERVICES ASSOCIES POUR LE CHIMM</t>
        </is>
      </c>
      <c r="F16" t="inlineStr">
        <is>
          <t>Centre Hospitalier Poissy/Saint-Germain-En-Laye</t>
        </is>
      </c>
      <c r="G16" t="inlineStr"/>
      <c r="H16" t="inlineStr">
        <is>
          <t>78</t>
        </is>
      </c>
      <c r="I16" t="inlineStr"/>
      <c r="J16" s="14" t="n">
        <v>46293</v>
      </c>
      <c r="K16" s="10" t="inlineStr">
        <is>
          <t>https://www.boamp.fr/pages/avis/?q=idweb:26-72105</t>
        </is>
      </c>
    </row>
    <row r="17">
      <c r="A17" t="n">
        <v>16</v>
      </c>
      <c r="B17" t="inlineStr">
        <is>
          <t>26-70522</t>
        </is>
      </c>
      <c r="C17" t="inlineStr">
        <is>
          <t>55</t>
        </is>
      </c>
      <c r="D17" t="inlineStr">
        <is>
          <t>TIEDE</t>
        </is>
      </c>
      <c r="E17" t="inlineStr">
        <is>
          <t>PRESTATIONS DE COACHING ET D’ACCOMPAGNEMENT DES MEMBRES D’UN CODIR AU PROFIT DE L’EPIDE</t>
        </is>
      </c>
      <c r="F17" t="inlineStr">
        <is>
          <t>EPIDE</t>
        </is>
      </c>
      <c r="G17" t="inlineStr"/>
      <c r="H17" t="inlineStr">
        <is>
          <t>92,67,68,24,33,40,47,64,3</t>
        </is>
      </c>
      <c r="I17" t="inlineStr"/>
      <c r="J17" s="14" t="n">
        <v>46259</v>
      </c>
      <c r="K17" s="10" t="inlineStr">
        <is>
          <t>https://www.boamp.fr/pages/avis/?q=idweb:26-70522</t>
        </is>
      </c>
    </row>
    <row r="18">
      <c r="A18" t="n">
        <v>17</v>
      </c>
      <c r="B18" t="inlineStr">
        <is>
          <t>26-70503</t>
        </is>
      </c>
      <c r="C18" t="inlineStr">
        <is>
          <t>55</t>
        </is>
      </c>
      <c r="D18" t="inlineStr">
        <is>
          <t>TIEDE</t>
        </is>
      </c>
      <c r="E18" t="inlineStr">
        <is>
          <t>Prestations de nettoyage des locaux et de la vitrerie et prestations associées pour les sites du GHT Grand Paris Nord-Est</t>
        </is>
      </c>
      <c r="F18" t="inlineStr">
        <is>
          <t>GHT GPNE</t>
        </is>
      </c>
      <c r="G18" t="inlineStr"/>
      <c r="H18" t="inlineStr">
        <is>
          <t>93</t>
        </is>
      </c>
      <c r="I18" t="inlineStr"/>
      <c r="J18" s="14" t="n">
        <v>46269</v>
      </c>
      <c r="K18" s="10" t="inlineStr">
        <is>
          <t>https://www.boamp.fr/pages/avis/?q=idweb:26-70503</t>
        </is>
      </c>
    </row>
    <row r="19">
      <c r="A19" t="n">
        <v>18</v>
      </c>
      <c r="B19" t="inlineStr">
        <is>
          <t>26-72690</t>
        </is>
      </c>
      <c r="C19" t="inlineStr">
        <is>
          <t>45</t>
        </is>
      </c>
      <c r="D19" t="inlineStr">
        <is>
          <t>TIEDE</t>
        </is>
      </c>
      <c r="E19" t="inlineStr">
        <is>
          <t>Service de mise à disposition de personnel</t>
        </is>
      </c>
      <c r="F19" t="inlineStr">
        <is>
          <t>Mairie d&amp;#039;ANTONY</t>
        </is>
      </c>
      <c r="G19" t="inlineStr"/>
      <c r="H19" t="inlineStr">
        <is>
          <t>92</t>
        </is>
      </c>
      <c r="I19" s="15" t="n">
        <v>150000</v>
      </c>
      <c r="J19" s="14" t="n">
        <v>46274</v>
      </c>
      <c r="K19" s="10" t="inlineStr">
        <is>
          <t>https://www.boamp.fr/pages/avis/?q=idweb:26-72690</t>
        </is>
      </c>
    </row>
    <row r="20">
      <c r="A20" t="n">
        <v>19</v>
      </c>
      <c r="B20" t="inlineStr">
        <is>
          <t>26-70805</t>
        </is>
      </c>
      <c r="C20" t="inlineStr">
        <is>
          <t>45</t>
        </is>
      </c>
      <c r="D20" t="inlineStr">
        <is>
          <t>TIEDE</t>
        </is>
      </c>
      <c r="E20" t="inlineStr">
        <is>
          <t>Prestation de paie externalisée</t>
        </is>
      </c>
      <c r="F20" t="inlineStr">
        <is>
          <t>Les Eaux de la Confluence</t>
        </is>
      </c>
      <c r="G20" t="inlineStr">
        <is>
          <t>Cergy-Pontoise</t>
        </is>
      </c>
      <c r="H20" t="inlineStr">
        <is>
          <t>95</t>
        </is>
      </c>
      <c r="I20" s="15" t="n">
        <v>95027</v>
      </c>
      <c r="J20" s="14" t="n">
        <v>46240</v>
      </c>
      <c r="K20" s="10" t="inlineStr">
        <is>
          <t>https://www.boamp.fr/pages/avis/?q=idweb:26-70805</t>
        </is>
      </c>
    </row>
    <row r="21">
      <c r="A21" t="n">
        <v>20</v>
      </c>
      <c r="B21" t="inlineStr">
        <is>
          <t>26-70259</t>
        </is>
      </c>
      <c r="C21" t="inlineStr">
        <is>
          <t>40</t>
        </is>
      </c>
      <c r="D21" t="inlineStr">
        <is>
          <t>TIEDE</t>
        </is>
      </c>
      <c r="E21" t="inlineStr">
        <is>
          <t>Marché de prestations de gardiennage lors de manifestations sur sites
Le titulaire du présent marché sera capable d'assurer sa mission de gardiennage dans le cadre d'interventions planifiée</t>
        </is>
      </c>
      <c r="F21" t="inlineStr">
        <is>
          <t>Mairie de Sannois</t>
        </is>
      </c>
      <c r="G21" t="inlineStr"/>
      <c r="H21" t="inlineStr">
        <is>
          <t>95</t>
        </is>
      </c>
      <c r="I21" s="15" t="n">
        <v>55000</v>
      </c>
      <c r="J21" s="14" t="n">
        <v>46251</v>
      </c>
      <c r="K21" s="10" t="inlineStr">
        <is>
          <t>https://www.boamp.fr/pages/avis/?q=idweb:26-70259</t>
        </is>
      </c>
    </row>
  </sheetData>
  <hyperlinks>
    <hyperlink xmlns:r="http://schemas.openxmlformats.org/officeDocument/2006/relationships" ref="K2" r:id="rId1"/>
    <hyperlink xmlns:r="http://schemas.openxmlformats.org/officeDocument/2006/relationships" ref="K3" r:id="rId2"/>
    <hyperlink xmlns:r="http://schemas.openxmlformats.org/officeDocument/2006/relationships" ref="K4" r:id="rId3"/>
    <hyperlink xmlns:r="http://schemas.openxmlformats.org/officeDocument/2006/relationships" ref="K5" r:id="rId4"/>
    <hyperlink xmlns:r="http://schemas.openxmlformats.org/officeDocument/2006/relationships" ref="K6" r:id="rId5"/>
    <hyperlink xmlns:r="http://schemas.openxmlformats.org/officeDocument/2006/relationships" ref="K7" r:id="rId6"/>
    <hyperlink xmlns:r="http://schemas.openxmlformats.org/officeDocument/2006/relationships" ref="K8" r:id="rId7"/>
    <hyperlink xmlns:r="http://schemas.openxmlformats.org/officeDocument/2006/relationships" ref="K9" r:id="rId8"/>
    <hyperlink xmlns:r="http://schemas.openxmlformats.org/officeDocument/2006/relationships" ref="K10" r:id="rId9"/>
    <hyperlink xmlns:r="http://schemas.openxmlformats.org/officeDocument/2006/relationships" ref="K11" r:id="rId10"/>
    <hyperlink xmlns:r="http://schemas.openxmlformats.org/officeDocument/2006/relationships" ref="K12" r:id="rId11"/>
    <hyperlink xmlns:r="http://schemas.openxmlformats.org/officeDocument/2006/relationships" ref="K13" r:id="rId12"/>
    <hyperlink xmlns:r="http://schemas.openxmlformats.org/officeDocument/2006/relationships" ref="K14" r:id="rId13"/>
    <hyperlink xmlns:r="http://schemas.openxmlformats.org/officeDocument/2006/relationships" ref="K15" r:id="rId14"/>
    <hyperlink xmlns:r="http://schemas.openxmlformats.org/officeDocument/2006/relationships" ref="K16" r:id="rId15"/>
    <hyperlink xmlns:r="http://schemas.openxmlformats.org/officeDocument/2006/relationships" ref="K17" r:id="rId16"/>
    <hyperlink xmlns:r="http://schemas.openxmlformats.org/officeDocument/2006/relationships" ref="K18" r:id="rId17"/>
    <hyperlink xmlns:r="http://schemas.openxmlformats.org/officeDocument/2006/relationships" ref="K19" r:id="rId18"/>
    <hyperlink xmlns:r="http://schemas.openxmlformats.org/officeDocument/2006/relationships" ref="K20" r:id="rId19"/>
    <hyperlink xmlns:r="http://schemas.openxmlformats.org/officeDocument/2006/relationships" ref="K21" r:id="rId20"/>
  </hyperlinks>
  <pageMargins left="0.75" right="0.75" top="1" bottom="1" header="0.5" footer="0.5"/>
  <tableParts count="1">
    <tablePart xmlns:r="http://schemas.openxmlformats.org/officeDocument/2006/relationships" r:id="rId21"/>
  </tableParts>
</worksheet>
</file>

<file path=xl/worksheets/sheet3.xml><?xml version="1.0" encoding="utf-8"?>
<worksheet xmlns="http://schemas.openxmlformats.org/spreadsheetml/2006/main">
  <sheetPr>
    <outlinePr summaryBelow="1" summaryRight="1"/>
    <pageSetUpPr/>
  </sheetPr>
  <dimension ref="A1:N38"/>
  <sheetViews>
    <sheetView tabSelected="1" workbookViewId="0">
      <pane ySplit="1" topLeftCell="A2" activePane="bottomLeft" state="frozen"/>
      <selection pane="bottomLeft" activeCell="A1" sqref="A1"/>
    </sheetView>
  </sheetViews>
  <sheetFormatPr baseColWidth="10" defaultRowHeight="14.5"/>
  <cols>
    <col width="55" customWidth="1" min="1" max="1"/>
    <col width="55" customWidth="1" min="2" max="2"/>
    <col width="10" customWidth="1" min="3" max="3"/>
    <col width="13" customWidth="1" min="4" max="4"/>
    <col width="17" customWidth="1" min="5" max="5"/>
    <col width="13" customWidth="1" min="6" max="6"/>
    <col width="21" customWidth="1" min="7" max="7"/>
    <col width="27" customWidth="1" min="8" max="8"/>
    <col width="19" customWidth="1" min="9" max="9"/>
    <col width="55" customWidth="1" min="10" max="10"/>
    <col width="51" customWidth="1" min="11" max="11"/>
    <col width="10" customWidth="1" min="12" max="12"/>
    <col width="10" customWidth="1" min="13" max="13"/>
    <col width="10" customWidth="1" min="14" max="14"/>
  </cols>
  <sheetData>
    <row r="1">
      <c r="A1" s="12" t="inlineStr">
        <is>
          <t>Objet de l'AO</t>
        </is>
      </c>
      <c r="B1" s="12" t="inlineStr">
        <is>
          <t>Acheteur</t>
        </is>
      </c>
      <c r="C1" s="12" t="inlineStr">
        <is>
          <t>Secteur</t>
        </is>
      </c>
      <c r="D1" s="12" t="inlineStr">
        <is>
          <t>Catégorie</t>
        </is>
      </c>
      <c r="E1" s="12" t="inlineStr">
        <is>
          <t>Ville</t>
        </is>
      </c>
      <c r="F1" s="12" t="inlineStr">
        <is>
          <t>Département</t>
        </is>
      </c>
      <c r="G1" s="12" t="inlineStr">
        <is>
          <t>Date de publication</t>
        </is>
      </c>
      <c r="H1" s="12" t="inlineStr">
        <is>
          <t>Date limite de réponse</t>
        </is>
      </c>
      <c r="I1" s="12" t="inlineStr">
        <is>
          <t>Budget estimé (€)</t>
        </is>
      </c>
      <c r="J1" s="12" t="inlineStr">
        <is>
          <t>Lien DCE</t>
        </is>
      </c>
      <c r="K1" s="12" t="inlineStr">
        <is>
          <t>Lien avis BOAMP</t>
        </is>
      </c>
      <c r="L1" s="12" t="inlineStr">
        <is>
          <t>Priorité</t>
        </is>
      </c>
      <c r="M1" s="12" t="inlineStr">
        <is>
          <t>Score</t>
        </is>
      </c>
      <c r="N1" s="12" t="inlineStr">
        <is>
          <t>id_ao</t>
        </is>
      </c>
    </row>
    <row r="2">
      <c r="A2" t="inlineStr">
        <is>
          <t>ENTRETIEN, REMISE EN ETAT ET AMENAGEMENT D'ESPACES VERTS POUR LA VILLE DE GENNEVILLIERS
LOT N°1 : Entretien des secteurs d'habitation Nord et du cimetière, remise en état et aménagement d'e</t>
        </is>
      </c>
      <c r="B2" t="inlineStr">
        <is>
          <t>Ville de Gennevilliers</t>
        </is>
      </c>
      <c r="C2" t="inlineStr">
        <is>
          <t>Mairie</t>
        </is>
      </c>
      <c r="D2" t="inlineStr">
        <is>
          <t>Personnel</t>
        </is>
      </c>
      <c r="E2" t="inlineStr"/>
      <c r="F2" t="inlineStr"/>
      <c r="G2" t="inlineStr">
        <is>
          <t>2026-07-24</t>
        </is>
      </c>
      <c r="H2" t="inlineStr">
        <is>
          <t>2026-08-27T09:00:00+00:00</t>
        </is>
      </c>
      <c r="I2" t="inlineStr"/>
      <c r="J2" t="inlineStr">
        <is>
          <t>https://www.marches-publics.info/mpiaws/index.cfm?fuseaction=dematEnt.login&amp;amp;type=DCE&amp;amp;IDM=1848323</t>
        </is>
      </c>
      <c r="K2" t="inlineStr">
        <is>
          <t>https://www.boamp.fr/pages/avis/?q=idweb:26-73275</t>
        </is>
      </c>
      <c r="L2" t="inlineStr">
        <is>
          <t>CHAUD</t>
        </is>
      </c>
      <c r="M2" t="inlineStr">
        <is>
          <t>80</t>
        </is>
      </c>
      <c r="N2" t="inlineStr">
        <is>
          <t>26-73275</t>
        </is>
      </c>
    </row>
    <row r="3">
      <c r="A3" t="inlineStr">
        <is>
          <t>Prestations D'Entretien Ménager Des Gymnases De La Ville De Roissy-En-Brie</t>
        </is>
      </c>
      <c r="B3" t="inlineStr">
        <is>
          <t>Mairie de Roissy-en-Brie</t>
        </is>
      </c>
      <c r="C3" t="inlineStr">
        <is>
          <t>Mairie</t>
        </is>
      </c>
      <c r="D3" t="inlineStr">
        <is>
          <t>Batiments</t>
        </is>
      </c>
      <c r="E3" t="inlineStr">
        <is>
          <t>ROISSY EN BRIE</t>
        </is>
      </c>
      <c r="F3" t="inlineStr"/>
      <c r="G3" t="inlineStr">
        <is>
          <t>2026-07-27</t>
        </is>
      </c>
      <c r="H3" t="inlineStr">
        <is>
          <t>2026-08-28T12:00:00+00:00</t>
        </is>
      </c>
      <c r="I3" t="inlineStr">
        <is>
          <t>77680.0</t>
        </is>
      </c>
      <c r="J3" t="inlineStr">
        <is>
          <t>https://www.marches-publics.info/mpiaws/index.cfm?fuseaction=dematent.login&amp;type=Dce&amp;Idm=1855543</t>
        </is>
      </c>
      <c r="K3" t="inlineStr">
        <is>
          <t>https://www.boamp.fr/pages/avis/?q=idweb:26-74949</t>
        </is>
      </c>
      <c r="L3" t="inlineStr">
        <is>
          <t>CHAUD</t>
        </is>
      </c>
      <c r="M3" t="inlineStr">
        <is>
          <t>75</t>
        </is>
      </c>
      <c r="N3" t="inlineStr">
        <is>
          <t>26-74949</t>
        </is>
      </c>
    </row>
    <row r="4">
      <c r="A4" t="inlineStr">
        <is>
          <t>Prestations de nettoyage des locaux de l'École nationale supérieure d’architecture de Paris-La Villette</t>
        </is>
      </c>
      <c r="B4" t="inlineStr">
        <is>
          <t>ENSA Paris-La Villette</t>
        </is>
      </c>
      <c r="C4" t="inlineStr">
        <is>
          <t>Ecole</t>
        </is>
      </c>
      <c r="D4" t="inlineStr">
        <is>
          <t>Batiments</t>
        </is>
      </c>
      <c r="E4" t="inlineStr">
        <is>
          <t>Paris</t>
        </is>
      </c>
      <c r="F4" t="inlineStr"/>
      <c r="G4" t="inlineStr">
        <is>
          <t>2026-07-23</t>
        </is>
      </c>
      <c r="H4" t="inlineStr">
        <is>
          <t>2026-09-28T17:00:00+00:00</t>
        </is>
      </c>
      <c r="I4" t="inlineStr">
        <is>
          <t>75019.0</t>
        </is>
      </c>
      <c r="J4" t="inlineStr">
        <is>
          <t>https://www.marches-publics.gouv.fr/entreprise/consultation/3044724?orgAcronyme=f5j</t>
        </is>
      </c>
      <c r="K4" t="inlineStr">
        <is>
          <t>https://www.boamp.fr/pages/avis/?q=idweb:26-74013</t>
        </is>
      </c>
      <c r="L4" t="inlineStr">
        <is>
          <t>CHAUD</t>
        </is>
      </c>
      <c r="M4" t="inlineStr">
        <is>
          <t>75</t>
        </is>
      </c>
      <c r="N4" t="inlineStr">
        <is>
          <t>26-74013</t>
        </is>
      </c>
    </row>
    <row r="5">
      <c r="A5" t="inlineStr">
        <is>
          <t>Prestation d'écrivains publics interprètes à Montreuil</t>
        </is>
      </c>
      <c r="B5" t="inlineStr">
        <is>
          <t>Mairie de Montreuil</t>
        </is>
      </c>
      <c r="C5" t="inlineStr">
        <is>
          <t>Mairie</t>
        </is>
      </c>
      <c r="D5" t="inlineStr">
        <is>
          <t>Batiments</t>
        </is>
      </c>
      <c r="E5" t="inlineStr">
        <is>
          <t>Montreuil</t>
        </is>
      </c>
      <c r="F5" t="inlineStr"/>
      <c r="G5" t="inlineStr">
        <is>
          <t>2026-07-20</t>
        </is>
      </c>
      <c r="H5" t="inlineStr">
        <is>
          <t>2026-09-11T12:00:00+00:00</t>
        </is>
      </c>
      <c r="I5" t="inlineStr">
        <is>
          <t>93100.0</t>
        </is>
      </c>
      <c r="J5" t="inlineStr">
        <is>
          <t>https://marches.maximilien.fr/entreprise/consultation/943753?orgAcronyme=d6a</t>
        </is>
      </c>
      <c r="K5" t="inlineStr">
        <is>
          <t>https://www.boamp.fr/pages/avis/?q=idweb:26-72283</t>
        </is>
      </c>
      <c r="L5" t="inlineStr">
        <is>
          <t>CHAUD</t>
        </is>
      </c>
      <c r="M5" t="inlineStr">
        <is>
          <t>75</t>
        </is>
      </c>
      <c r="N5" t="inlineStr">
        <is>
          <t>26-72283</t>
        </is>
      </c>
    </row>
    <row r="6">
      <c r="A6" t="inlineStr">
        <is>
          <t>Nettoyage des locaux de l'EPAMSA</t>
        </is>
      </c>
      <c r="B6" t="inlineStr">
        <is>
          <t>EPAMSA</t>
        </is>
      </c>
      <c r="C6" t="inlineStr">
        <is>
          <t>Autre</t>
        </is>
      </c>
      <c r="D6" t="inlineStr">
        <is>
          <t>Batiments</t>
        </is>
      </c>
      <c r="E6" t="inlineStr">
        <is>
          <t>MANTES-LA-JOLIE</t>
        </is>
      </c>
      <c r="F6" t="inlineStr"/>
      <c r="G6" t="inlineStr">
        <is>
          <t>2026-07-16</t>
        </is>
      </c>
      <c r="H6" t="inlineStr">
        <is>
          <t>2026-09-04T14:00:00+00:00</t>
        </is>
      </c>
      <c r="I6" t="inlineStr">
        <is>
          <t>19550</t>
        </is>
      </c>
      <c r="J6" t="inlineStr">
        <is>
          <t>https://www.marches-publics.gouv.fr/entreprise/consultation/3039334?orgAcronyme=d4t</t>
        </is>
      </c>
      <c r="K6" t="inlineStr">
        <is>
          <t>https://www.boamp.fr/pages/avis/?q=idweb:26-70858</t>
        </is>
      </c>
      <c r="L6" t="inlineStr">
        <is>
          <t>CHAUD</t>
        </is>
      </c>
      <c r="M6" t="inlineStr">
        <is>
          <t>70</t>
        </is>
      </c>
      <c r="N6" t="inlineStr">
        <is>
          <t>26-70858</t>
        </is>
      </c>
    </row>
    <row r="7">
      <c r="A7" t="inlineStr">
        <is>
          <t>TRAVAUX D'AMÉNAGEMENT INTÉRIEUR DU R+1 ET COMBLE DE LA FERME DURPÉ</t>
        </is>
      </c>
      <c r="B7" t="inlineStr">
        <is>
          <t>COMMUNE DE MAGNY LE HONGRE</t>
        </is>
      </c>
      <c r="C7" t="inlineStr">
        <is>
          <t>Mairie</t>
        </is>
      </c>
      <c r="D7" t="inlineStr">
        <is>
          <t>Mixte/Autre</t>
        </is>
      </c>
      <c r="E7" t="inlineStr">
        <is>
          <t>MAGNY LE HONGRE</t>
        </is>
      </c>
      <c r="F7" t="inlineStr"/>
      <c r="G7" t="inlineStr">
        <is>
          <t>2026-07-15</t>
        </is>
      </c>
      <c r="H7" t="inlineStr">
        <is>
          <t>2026-09-10T12:00:00+00:00</t>
        </is>
      </c>
      <c r="I7" t="inlineStr">
        <is>
          <t>77700.0</t>
        </is>
      </c>
      <c r="J7" t="inlineStr">
        <is>
          <t>https://marches.maximilien.fr/?page=Entreprise.EntrepriseAdvancedSearch&amp;AllCons&amp;id=942965&amp;orgAcronyme=a4d</t>
        </is>
      </c>
      <c r="K7" t="inlineStr">
        <is>
          <t>https://www.boamp.fr/pages/avis/?q=idweb:26-70565</t>
        </is>
      </c>
      <c r="L7" t="inlineStr">
        <is>
          <t>CHAUD</t>
        </is>
      </c>
      <c r="M7" t="inlineStr">
        <is>
          <t>70</t>
        </is>
      </c>
      <c r="N7" t="inlineStr">
        <is>
          <t>26-70565</t>
        </is>
      </c>
    </row>
    <row r="8">
      <c r="A8" t="inlineStr">
        <is>
          <t>Entretien ménager des locaux des sites mégalithiques de Carnac et Locmariaquer</t>
        </is>
      </c>
      <c r="B8" t="inlineStr">
        <is>
          <t>Centre Monuments Nationaux</t>
        </is>
      </c>
      <c r="C8" t="inlineStr">
        <is>
          <t>Autre</t>
        </is>
      </c>
      <c r="D8" t="inlineStr">
        <is>
          <t>Batiments</t>
        </is>
      </c>
      <c r="E8" t="inlineStr"/>
      <c r="F8" t="inlineStr"/>
      <c r="G8" t="inlineStr">
        <is>
          <t>2026-07-23</t>
        </is>
      </c>
      <c r="H8" t="inlineStr">
        <is>
          <t>2026-09-11T12:00:00+00:00</t>
        </is>
      </c>
      <c r="I8" t="inlineStr">
        <is>
          <t>60000.0</t>
        </is>
      </c>
      <c r="J8" t="inlineStr">
        <is>
          <t>https://www.marches-publics.gouv.fr/entreprise</t>
        </is>
      </c>
      <c r="K8" t="inlineStr">
        <is>
          <t>https://www.boamp.fr/pages/avis/?q=idweb:26-72708</t>
        </is>
      </c>
      <c r="L8" t="inlineStr">
        <is>
          <t>CHAUD</t>
        </is>
      </c>
      <c r="M8" t="inlineStr">
        <is>
          <t>65</t>
        </is>
      </c>
      <c r="N8" t="inlineStr">
        <is>
          <t>26-72708</t>
        </is>
      </c>
    </row>
    <row r="9">
      <c r="A9" t="inlineStr">
        <is>
          <t>Décontamination, dépoussiérage et reconditionnement des réserves documentaires n°2 et 3 du Château de Sceaux</t>
        </is>
      </c>
      <c r="B9" t="inlineStr">
        <is>
          <t>Département des Hauts-de-Seine</t>
        </is>
      </c>
      <c r="C9" t="inlineStr">
        <is>
          <t>Autre</t>
        </is>
      </c>
      <c r="D9" t="inlineStr">
        <is>
          <t>Batiments</t>
        </is>
      </c>
      <c r="E9" t="inlineStr">
        <is>
          <t>NANTERRE</t>
        </is>
      </c>
      <c r="F9" t="inlineStr"/>
      <c r="G9" t="inlineStr">
        <is>
          <t>2026-07-17</t>
        </is>
      </c>
      <c r="H9" t="inlineStr">
        <is>
          <t>2026-09-11T16:00:00+00:00</t>
        </is>
      </c>
      <c r="I9" t="inlineStr">
        <is>
          <t>92000.0</t>
        </is>
      </c>
      <c r="J9" t="inlineStr">
        <is>
          <t>https://www.marches-publics.info/mpiaws/index.cfm?fuseaction=dematent.login&amp;type=Dce&amp;Idm=1851815</t>
        </is>
      </c>
      <c r="K9" t="inlineStr">
        <is>
          <t>https://www.boamp.fr/pages/avis/?q=idweb:26-71675</t>
        </is>
      </c>
      <c r="L9" t="inlineStr">
        <is>
          <t>CHAUD</t>
        </is>
      </c>
      <c r="M9" t="inlineStr">
        <is>
          <t>65</t>
        </is>
      </c>
      <c r="N9" t="inlineStr">
        <is>
          <t>26-71675</t>
        </is>
      </c>
    </row>
    <row r="10">
      <c r="A10" t="inlineStr">
        <is>
          <t>CONCESSION DE SERVICE PUBLIC 
PORTANT SUR LA GESTION ET L'EXPLOITATION DES MARCHES FORAINS DE LA VILLE DE MONTROUGE</t>
        </is>
      </c>
      <c r="B10" t="inlineStr">
        <is>
          <t>Ville de Montrouge</t>
        </is>
      </c>
      <c r="C10" t="inlineStr">
        <is>
          <t>Mairie</t>
        </is>
      </c>
      <c r="D10" t="inlineStr">
        <is>
          <t>Batiments</t>
        </is>
      </c>
      <c r="E10" t="inlineStr">
        <is>
          <t>Montrouge cedex</t>
        </is>
      </c>
      <c r="F10" t="inlineStr"/>
      <c r="G10" t="inlineStr">
        <is>
          <t>2026-07-16</t>
        </is>
      </c>
      <c r="H10" t="inlineStr">
        <is>
          <t>2026-09-30T17:00:00+00:00</t>
        </is>
      </c>
      <c r="I10" t="inlineStr"/>
      <c r="J10" t="inlineStr">
        <is>
          <t>https://www.achatpublic.com/sdm/ent2/gen/index.jsp</t>
        </is>
      </c>
      <c r="K10" t="inlineStr">
        <is>
          <t>https://www.boamp.fr/pages/avis/?q=idweb:26-71198</t>
        </is>
      </c>
      <c r="L10" t="inlineStr">
        <is>
          <t>CHAUD</t>
        </is>
      </c>
      <c r="M10" t="inlineStr">
        <is>
          <t>65</t>
        </is>
      </c>
      <c r="N10" t="inlineStr">
        <is>
          <t>26-71198</t>
        </is>
      </c>
    </row>
    <row r="11">
      <c r="A11" t="inlineStr">
        <is>
          <t>26MF026 - Fourniture d'appareils ménagers et d'équipements professionnels</t>
        </is>
      </c>
      <c r="B11" t="inlineStr">
        <is>
          <t>Ville de Plaisir</t>
        </is>
      </c>
      <c r="C11" t="inlineStr">
        <is>
          <t>Mairie</t>
        </is>
      </c>
      <c r="D11" t="inlineStr">
        <is>
          <t>Mixte/Autre</t>
        </is>
      </c>
      <c r="E11" t="inlineStr"/>
      <c r="F11" t="inlineStr"/>
      <c r="G11" t="inlineStr">
        <is>
          <t>2026-07-23</t>
        </is>
      </c>
      <c r="H11" t="inlineStr">
        <is>
          <t>2026-08-27T10:00:00+00:00</t>
        </is>
      </c>
      <c r="I11" t="inlineStr"/>
      <c r="J11" t="inlineStr">
        <is>
          <t>https://ville-plaisir.e-marches-publics.com</t>
        </is>
      </c>
      <c r="K11" t="inlineStr">
        <is>
          <t>https://www.boamp.fr/pages/avis/?q=idweb:26-72948</t>
        </is>
      </c>
      <c r="L11" t="inlineStr">
        <is>
          <t>TIEDE</t>
        </is>
      </c>
      <c r="M11" t="inlineStr">
        <is>
          <t>60</t>
        </is>
      </c>
      <c r="N11" t="inlineStr">
        <is>
          <t>26-72948</t>
        </is>
      </c>
    </row>
    <row r="12">
      <c r="A12" t="inlineStr">
        <is>
          <t>Nettoyage des locaux communaux et des vitreries des bâtiments communaux</t>
        </is>
      </c>
      <c r="B12" t="inlineStr">
        <is>
          <t>Ville de Fontenay-aux-Roses</t>
        </is>
      </c>
      <c r="C12" t="inlineStr">
        <is>
          <t>Mairie</t>
        </is>
      </c>
      <c r="D12" t="inlineStr">
        <is>
          <t>Vitres</t>
        </is>
      </c>
      <c r="E12" t="inlineStr"/>
      <c r="F12" t="inlineStr"/>
      <c r="G12" t="inlineStr">
        <is>
          <t>2026-07-21</t>
        </is>
      </c>
      <c r="H12" t="inlineStr">
        <is>
          <t>2026-08-06T13:00:00+00:00</t>
        </is>
      </c>
      <c r="I12" t="inlineStr"/>
      <c r="J12" t="inlineStr">
        <is>
          <t>https://www.marches-publics.info/accueil.htm</t>
        </is>
      </c>
      <c r="K12" t="inlineStr">
        <is>
          <t>https://www.boamp.fr/pages/avis/?q=idweb:26-71986</t>
        </is>
      </c>
      <c r="L12" t="inlineStr">
        <is>
          <t>TIEDE</t>
        </is>
      </c>
      <c r="M12" t="inlineStr">
        <is>
          <t>60</t>
        </is>
      </c>
      <c r="N12" t="inlineStr">
        <is>
          <t>26-71986</t>
        </is>
      </c>
    </row>
    <row r="13">
      <c r="A13" t="inlineStr">
        <is>
          <t>Exploitation, maintenance des dispositifs de collecte pneumatique fixes et mobiles des déchets ménagers et transport de ces déchets</t>
        </is>
      </c>
      <c r="B13" t="inlineStr">
        <is>
          <t>Grand Paris Seine Ouest</t>
        </is>
      </c>
      <c r="C13" t="inlineStr">
        <is>
          <t>Autre</t>
        </is>
      </c>
      <c r="D13" t="inlineStr">
        <is>
          <t>Mixte/Autre</t>
        </is>
      </c>
      <c r="E13" t="inlineStr"/>
      <c r="F13" t="inlineStr"/>
      <c r="G13" t="inlineStr">
        <is>
          <t>2026-07-19</t>
        </is>
      </c>
      <c r="H13" t="inlineStr">
        <is>
          <t>2026-09-10T15:00:00+00:00</t>
        </is>
      </c>
      <c r="I13" t="inlineStr">
        <is>
          <t>75000</t>
        </is>
      </c>
      <c r="J13" t="inlineStr">
        <is>
          <t>https://marches.maximilien.fr/</t>
        </is>
      </c>
      <c r="K13" t="inlineStr">
        <is>
          <t>https://www.boamp.fr/pages/avis/?q=idweb:26-71545</t>
        </is>
      </c>
      <c r="L13" t="inlineStr">
        <is>
          <t>TIEDE</t>
        </is>
      </c>
      <c r="M13" t="inlineStr">
        <is>
          <t>60</t>
        </is>
      </c>
      <c r="N13" t="inlineStr">
        <is>
          <t>26-71545</t>
        </is>
      </c>
    </row>
    <row r="14">
      <c r="A14" t="inlineStr">
        <is>
          <t>Fourniture de petits matériels et de consommables d'entretien et d'hygiène</t>
        </is>
      </c>
      <c r="B14" t="inlineStr">
        <is>
          <t>Département des Hauts-de-Seine</t>
        </is>
      </c>
      <c r="C14" t="inlineStr">
        <is>
          <t>Autre</t>
        </is>
      </c>
      <c r="D14" t="inlineStr">
        <is>
          <t>Batiments</t>
        </is>
      </c>
      <c r="E14" t="inlineStr"/>
      <c r="F14" t="inlineStr"/>
      <c r="G14" t="inlineStr">
        <is>
          <t>2026-07-25</t>
        </is>
      </c>
      <c r="H14" t="inlineStr">
        <is>
          <t>2026-09-15T15:00:00+00:00</t>
        </is>
      </c>
      <c r="I14" t="inlineStr"/>
      <c r="J14" t="inlineStr">
        <is>
          <t>https://www.marches-publics.info/mpiaws/index.cfm?fuseaction=dematEnt.login&amp;amp;type=DCE&amp;amp;IDM=1854121</t>
        </is>
      </c>
      <c r="K14" t="inlineStr">
        <is>
          <t>https://www.boamp.fr/pages/avis/?q=idweb:26-73898</t>
        </is>
      </c>
      <c r="L14" t="inlineStr">
        <is>
          <t>TIEDE</t>
        </is>
      </c>
      <c r="M14" t="inlineStr">
        <is>
          <t>55</t>
        </is>
      </c>
      <c r="N14" t="inlineStr">
        <is>
          <t>26-73898</t>
        </is>
      </c>
    </row>
    <row r="15">
      <c r="A15" t="inlineStr">
        <is>
          <t>Prestations de nettoyage courant des locaux du CNRS et de vitreries incluant la fourniture des produits d’entretien et d’hygiène</t>
        </is>
      </c>
      <c r="B15" t="inlineStr">
        <is>
          <t>CNRS Délégation paris-Centre</t>
        </is>
      </c>
      <c r="C15" t="inlineStr">
        <is>
          <t>Autre</t>
        </is>
      </c>
      <c r="D15" t="inlineStr">
        <is>
          <t>Batiments</t>
        </is>
      </c>
      <c r="E15" t="inlineStr"/>
      <c r="F15" t="inlineStr"/>
      <c r="G15" t="inlineStr">
        <is>
          <t>2026-07-22</t>
        </is>
      </c>
      <c r="H15" t="inlineStr">
        <is>
          <t>2026-09-04T10:00:00+00:00</t>
        </is>
      </c>
      <c r="I15" t="inlineStr"/>
      <c r="J15" t="inlineStr">
        <is>
          <t>https://www.marches-publics.gouv.fr</t>
        </is>
      </c>
      <c r="K15" t="inlineStr">
        <is>
          <t>https://www.boamp.fr/pages/avis/?q=idweb:26-72955</t>
        </is>
      </c>
      <c r="L15" t="inlineStr">
        <is>
          <t>TIEDE</t>
        </is>
      </c>
      <c r="M15" t="inlineStr">
        <is>
          <t>55</t>
        </is>
      </c>
      <c r="N15" t="inlineStr">
        <is>
          <t>26-72955</t>
        </is>
      </c>
    </row>
    <row r="16">
      <c r="A16" t="inlineStr">
        <is>
          <t>PRESTATIONS DE SERVICES DE NETTOYAGE ET BIONETTOYAGE DES LOCAUX, DE LA VITRERIE ET SERVICES ASSOCIES POUR LE CHIMM</t>
        </is>
      </c>
      <c r="B16" t="inlineStr">
        <is>
          <t>Centre Hospitalier Poissy/Saint-Germain-En-Laye</t>
        </is>
      </c>
      <c r="C16" t="inlineStr">
        <is>
          <t>Autre</t>
        </is>
      </c>
      <c r="D16" t="inlineStr">
        <is>
          <t>Vitres</t>
        </is>
      </c>
      <c r="E16" t="inlineStr"/>
      <c r="F16" t="inlineStr"/>
      <c r="G16" t="inlineStr">
        <is>
          <t>2026-07-21</t>
        </is>
      </c>
      <c r="H16" t="inlineStr">
        <is>
          <t>2026-09-28T10:00:00+00:00</t>
        </is>
      </c>
      <c r="I16" t="inlineStr"/>
      <c r="J16" t="inlineStr">
        <is>
          <t>https://marches.maximilien.fr/entreprise/consultation/943757?orgAcronyme=a2k</t>
        </is>
      </c>
      <c r="K16" t="inlineStr">
        <is>
          <t>https://www.boamp.fr/pages/avis/?q=idweb:26-72105</t>
        </is>
      </c>
      <c r="L16" t="inlineStr">
        <is>
          <t>TIEDE</t>
        </is>
      </c>
      <c r="M16" t="inlineStr">
        <is>
          <t>55</t>
        </is>
      </c>
      <c r="N16" t="inlineStr">
        <is>
          <t>26-72105</t>
        </is>
      </c>
    </row>
    <row r="17">
      <c r="A17" t="inlineStr">
        <is>
          <t>PRESTATIONS DE COACHING ET D’ACCOMPAGNEMENT DES MEMBRES D’UN CODIR AU PROFIT DE L’EPIDE</t>
        </is>
      </c>
      <c r="B17" t="inlineStr">
        <is>
          <t>EPIDE</t>
        </is>
      </c>
      <c r="C17" t="inlineStr">
        <is>
          <t>Autre</t>
        </is>
      </c>
      <c r="D17" t="inlineStr">
        <is>
          <t>Batiments</t>
        </is>
      </c>
      <c r="E17" t="inlineStr"/>
      <c r="F17" t="inlineStr"/>
      <c r="G17" t="inlineStr">
        <is>
          <t>2026-07-17</t>
        </is>
      </c>
      <c r="H17" t="inlineStr">
        <is>
          <t>2026-08-25T10:00:00+00:00</t>
        </is>
      </c>
      <c r="I17" t="inlineStr"/>
      <c r="J17" t="inlineStr">
        <is>
          <t>https://www.epide.fr/</t>
        </is>
      </c>
      <c r="K17" t="inlineStr">
        <is>
          <t>https://www.boamp.fr/pages/avis/?q=idweb:26-70522</t>
        </is>
      </c>
      <c r="L17" t="inlineStr">
        <is>
          <t>TIEDE</t>
        </is>
      </c>
      <c r="M17" t="inlineStr">
        <is>
          <t>55</t>
        </is>
      </c>
      <c r="N17" t="inlineStr">
        <is>
          <t>26-70522</t>
        </is>
      </c>
    </row>
    <row r="18">
      <c r="A18" t="inlineStr">
        <is>
          <t>Prestations de nettoyage des locaux et de la vitrerie et prestations associées pour les sites du GHT Grand Paris Nord-Est</t>
        </is>
      </c>
      <c r="B18" t="inlineStr">
        <is>
          <t>GHT GPNE</t>
        </is>
      </c>
      <c r="C18" t="inlineStr">
        <is>
          <t>Autre</t>
        </is>
      </c>
      <c r="D18" t="inlineStr">
        <is>
          <t>Vitres</t>
        </is>
      </c>
      <c r="E18" t="inlineStr"/>
      <c r="F18" t="inlineStr"/>
      <c r="G18" t="inlineStr">
        <is>
          <t>2026-07-17</t>
        </is>
      </c>
      <c r="H18" t="inlineStr">
        <is>
          <t>2026-09-04T15:00:00+00:00</t>
        </is>
      </c>
      <c r="I18" t="inlineStr"/>
      <c r="J18" t="inlineStr">
        <is>
          <t>https://marches.maximilien.fr/entreprise/consultation/943277?orgAcronyme=a1j</t>
        </is>
      </c>
      <c r="K18" t="inlineStr">
        <is>
          <t>https://www.boamp.fr/pages/avis/?q=idweb:26-70503</t>
        </is>
      </c>
      <c r="L18" t="inlineStr">
        <is>
          <t>TIEDE</t>
        </is>
      </c>
      <c r="M18" t="inlineStr">
        <is>
          <t>55</t>
        </is>
      </c>
      <c r="N18" t="inlineStr">
        <is>
          <t>26-70503</t>
        </is>
      </c>
    </row>
    <row r="19">
      <c r="A19" t="inlineStr">
        <is>
          <t>Service de mise à disposition de personnel</t>
        </is>
      </c>
      <c r="B19" t="inlineStr">
        <is>
          <t>Mairie d&amp;#039;ANTONY</t>
        </is>
      </c>
      <c r="C19" t="inlineStr">
        <is>
          <t>Mairie</t>
        </is>
      </c>
      <c r="D19" t="inlineStr">
        <is>
          <t>Personnel</t>
        </is>
      </c>
      <c r="E19" t="inlineStr"/>
      <c r="F19" t="inlineStr"/>
      <c r="G19" t="inlineStr">
        <is>
          <t>2026-07-22</t>
        </is>
      </c>
      <c r="H19" t="inlineStr">
        <is>
          <t>2026-09-09T10:00:00+00:00</t>
        </is>
      </c>
      <c r="I19" t="inlineStr">
        <is>
          <t>37500</t>
        </is>
      </c>
      <c r="J19" t="inlineStr">
        <is>
          <t>https://marches.maximilien.fr/</t>
        </is>
      </c>
      <c r="K19" t="inlineStr">
        <is>
          <t>https://www.boamp.fr/pages/avis/?q=idweb:26-72690</t>
        </is>
      </c>
      <c r="L19" t="inlineStr">
        <is>
          <t>TIEDE</t>
        </is>
      </c>
      <c r="M19" t="inlineStr">
        <is>
          <t>45</t>
        </is>
      </c>
      <c r="N19" t="inlineStr">
        <is>
          <t>26-72690</t>
        </is>
      </c>
    </row>
    <row r="20">
      <c r="A20" t="inlineStr">
        <is>
          <t>Prestation de paie externalisée</t>
        </is>
      </c>
      <c r="B20" t="inlineStr">
        <is>
          <t>Les Eaux de la Confluence</t>
        </is>
      </c>
      <c r="C20" t="inlineStr">
        <is>
          <t>Autre</t>
        </is>
      </c>
      <c r="D20" t="inlineStr">
        <is>
          <t>Batiments</t>
        </is>
      </c>
      <c r="E20" t="inlineStr">
        <is>
          <t>Cergy-Pontoise</t>
        </is>
      </c>
      <c r="F20" t="inlineStr"/>
      <c r="G20" t="inlineStr">
        <is>
          <t>2026-07-16</t>
        </is>
      </c>
      <c r="H20" t="inlineStr">
        <is>
          <t>2026-08-06T12:00:00+00:00</t>
        </is>
      </c>
      <c r="I20" t="inlineStr">
        <is>
          <t>190054</t>
        </is>
      </c>
      <c r="J20" t="inlineStr">
        <is>
          <t>https://marches.maximilien.fr/entreprise/consultation/943427?orgAcronyme=a7q</t>
        </is>
      </c>
      <c r="K20" t="inlineStr">
        <is>
          <t>https://www.boamp.fr/pages/avis/?q=idweb:26-70805</t>
        </is>
      </c>
      <c r="L20" t="inlineStr">
        <is>
          <t>TIEDE</t>
        </is>
      </c>
      <c r="M20" t="inlineStr">
        <is>
          <t>45</t>
        </is>
      </c>
      <c r="N20" t="inlineStr">
        <is>
          <t>26-70805</t>
        </is>
      </c>
    </row>
    <row r="21">
      <c r="A21" t="inlineStr">
        <is>
          <t>Marché de prestations de gardiennage lors de manifestations sur sites
Le titulaire du présent marché sera capable d'assurer sa mission de gardiennage dans le cadre d'interventions planifiée</t>
        </is>
      </c>
      <c r="B21" t="inlineStr">
        <is>
          <t>Mairie de Sannois</t>
        </is>
      </c>
      <c r="C21" t="inlineStr">
        <is>
          <t>Mairie</t>
        </is>
      </c>
      <c r="D21" t="inlineStr">
        <is>
          <t>Personnel</t>
        </is>
      </c>
      <c r="E21" t="inlineStr"/>
      <c r="F21" t="inlineStr"/>
      <c r="G21" t="inlineStr">
        <is>
          <t>2026-07-16</t>
        </is>
      </c>
      <c r="H21" t="inlineStr">
        <is>
          <t>2026-08-17T10:00:00+00:00</t>
        </is>
      </c>
      <c r="I21" t="inlineStr">
        <is>
          <t>55000.0</t>
        </is>
      </c>
      <c r="J21" t="inlineStr">
        <is>
          <t>https://www.achatpublic.com/</t>
        </is>
      </c>
      <c r="K21" t="inlineStr">
        <is>
          <t>https://www.boamp.fr/pages/avis/?q=idweb:26-70259</t>
        </is>
      </c>
      <c r="L21" t="inlineStr">
        <is>
          <t>TIEDE</t>
        </is>
      </c>
      <c r="M21" t="inlineStr">
        <is>
          <t>40</t>
        </is>
      </c>
      <c r="N21" t="inlineStr">
        <is>
          <t>26-70259</t>
        </is>
      </c>
    </row>
    <row r="22">
      <c r="A22" t="inlineStr">
        <is>
          <t>chalet DGAC pour le salon du Bourget</t>
        </is>
      </c>
      <c r="B22" t="inlineStr">
        <is>
          <t>SG / SDF2</t>
        </is>
      </c>
      <c r="C22" t="inlineStr">
        <is>
          <t>Autre</t>
        </is>
      </c>
      <c r="D22" t="inlineStr">
        <is>
          <t>Personnel</t>
        </is>
      </c>
      <c r="E22" t="inlineStr">
        <is>
          <t>Paris Cedex 15</t>
        </is>
      </c>
      <c r="F22" t="inlineStr"/>
      <c r="G22" t="inlineStr">
        <is>
          <t>2026-07-24</t>
        </is>
      </c>
      <c r="H22" t="inlineStr">
        <is>
          <t>2026-09-14T12:00:00+00:00</t>
        </is>
      </c>
      <c r="I22" t="inlineStr">
        <is>
          <t>285000</t>
        </is>
      </c>
      <c r="J22" t="inlineStr">
        <is>
          <t>https://www.marches-publics.gouv.fr/entreprise/consultation/3043184?orgAcronyme=d4t</t>
        </is>
      </c>
      <c r="K22" t="inlineStr">
        <is>
          <t>https://www.boamp.fr/pages/avis/?q=idweb:26-74504</t>
        </is>
      </c>
      <c r="L22" t="inlineStr">
        <is>
          <t>FROID</t>
        </is>
      </c>
      <c r="M22" t="inlineStr">
        <is>
          <t>35</t>
        </is>
      </c>
      <c r="N22" t="inlineStr">
        <is>
          <t>26-74504</t>
        </is>
      </c>
    </row>
    <row r="23">
      <c r="A23" t="inlineStr">
        <is>
          <t>Travaux de menuiseries extérieures et de vitrerie dans les bâtiments communaux</t>
        </is>
      </c>
      <c r="B23" t="inlineStr">
        <is>
          <t>Ville de Montrouge
Direction des bâtiments, énergie et propreté 
43 avenue de la République
92120 MONTROUGE</t>
        </is>
      </c>
      <c r="C23" t="inlineStr">
        <is>
          <t>Mairie</t>
        </is>
      </c>
      <c r="D23" t="inlineStr">
        <is>
          <t>Vitres</t>
        </is>
      </c>
      <c r="E23" t="inlineStr"/>
      <c r="F23" t="inlineStr"/>
      <c r="G23" t="inlineStr">
        <is>
          <t>2026-07-24</t>
        </is>
      </c>
      <c r="H23" t="inlineStr">
        <is>
          <t>2026-09-28T15:00:00+00:00</t>
        </is>
      </c>
      <c r="I23" t="inlineStr">
        <is>
          <t>3200000.0</t>
        </is>
      </c>
      <c r="J23" t="inlineStr">
        <is>
          <t>https://www.achatpublic.com/sdm/ent/gen/ent_detail.do?PCSLID=CSL_2026_YLyiWdUZqH</t>
        </is>
      </c>
      <c r="K23" t="inlineStr">
        <is>
          <t>https://www.boamp.fr/pages/avis/?q=idweb:26-73442</t>
        </is>
      </c>
      <c r="L23" t="inlineStr">
        <is>
          <t>FROID</t>
        </is>
      </c>
      <c r="M23" t="inlineStr">
        <is>
          <t>35</t>
        </is>
      </c>
      <c r="N23" t="inlineStr">
        <is>
          <t>26-73442</t>
        </is>
      </c>
    </row>
    <row r="24">
      <c r="A24" t="inlineStr">
        <is>
          <t>PRESTATIONS DE SECURITE, GARDIENNAGE ET SURETE DES ARENES DE GRAND PARIS SUD</t>
        </is>
      </c>
      <c r="B24" t="inlineStr">
        <is>
          <t>CA GRAND PARIS SUD SEINE ESSONNE SENART</t>
        </is>
      </c>
      <c r="C24" t="inlineStr">
        <is>
          <t>Autre</t>
        </is>
      </c>
      <c r="D24" t="inlineStr">
        <is>
          <t>Personnel</t>
        </is>
      </c>
      <c r="E24" t="inlineStr"/>
      <c r="F24" t="inlineStr"/>
      <c r="G24" t="inlineStr">
        <is>
          <t>2026-07-24</t>
        </is>
      </c>
      <c r="H24" t="inlineStr">
        <is>
          <t>2026-09-28T10:00:00+00:00</t>
        </is>
      </c>
      <c r="I24" t="inlineStr">
        <is>
          <t>75000</t>
        </is>
      </c>
      <c r="J24" t="inlineStr">
        <is>
          <t>https://www.achatpublic.com/sdm/ent/gen/ent_detail.do?PCSLID=CSL_2026_drUDYVSvmp</t>
        </is>
      </c>
      <c r="K24" t="inlineStr">
        <is>
          <t>https://www.boamp.fr/pages/avis/?q=idweb:26-73389</t>
        </is>
      </c>
      <c r="L24" t="inlineStr">
        <is>
          <t>FROID</t>
        </is>
      </c>
      <c r="M24" t="inlineStr">
        <is>
          <t>30</t>
        </is>
      </c>
      <c r="N24" t="inlineStr">
        <is>
          <t>26-73389</t>
        </is>
      </c>
    </row>
    <row r="25">
      <c r="A25" t="inlineStr">
        <is>
          <t>Services de mise à disposition de personnels temporaires pour le Ccca-Btp</t>
        </is>
      </c>
      <c r="B25" t="inlineStr">
        <is>
          <t>Comité de concertation et de coordination de l'apprentissage du Btp</t>
        </is>
      </c>
      <c r="C25" t="inlineStr">
        <is>
          <t>Autre</t>
        </is>
      </c>
      <c r="D25" t="inlineStr">
        <is>
          <t>Personnel</t>
        </is>
      </c>
      <c r="E25" t="inlineStr">
        <is>
          <t>Paris</t>
        </is>
      </c>
      <c r="F25" t="inlineStr"/>
      <c r="G25" t="inlineStr">
        <is>
          <t>2026-07-24</t>
        </is>
      </c>
      <c r="H25" t="inlineStr">
        <is>
          <t>2026-09-04T12:00:00+00:00</t>
        </is>
      </c>
      <c r="I25" t="inlineStr">
        <is>
          <t>75014.0</t>
        </is>
      </c>
      <c r="J25" t="inlineStr">
        <is>
          <t>https://www.marches-publics.info/mpiaws/index.cfm?fuseaction=dematent.login&amp;type=Dce&amp;Idm=1855311</t>
        </is>
      </c>
      <c r="K25" t="inlineStr">
        <is>
          <t>https://www.boamp.fr/pages/avis/?q=idweb:26-74661</t>
        </is>
      </c>
      <c r="L25" t="inlineStr">
        <is>
          <t>FROID</t>
        </is>
      </c>
      <c r="M25" t="inlineStr">
        <is>
          <t>30</t>
        </is>
      </c>
      <c r="N25" t="inlineStr">
        <is>
          <t>26-74661</t>
        </is>
      </c>
    </row>
    <row r="26">
      <c r="A26" t="inlineStr">
        <is>
          <t>Prestations de nettoyage des loacux et de la vitrerie de la grande chancellerie de la Légion d'honneur et de la maison d'éducation de Saint-Denis</t>
        </is>
      </c>
      <c r="B26" t="inlineStr">
        <is>
          <t>GCLH.</t>
        </is>
      </c>
      <c r="C26" t="inlineStr">
        <is>
          <t>Autre</t>
        </is>
      </c>
      <c r="D26" t="inlineStr">
        <is>
          <t>Vitres</t>
        </is>
      </c>
      <c r="E26" t="inlineStr"/>
      <c r="F26" t="inlineStr"/>
      <c r="G26" t="inlineStr">
        <is>
          <t>2026-07-26</t>
        </is>
      </c>
      <c r="H26" t="inlineStr">
        <is>
          <t>2026-09-15T12:00:00+00:00</t>
        </is>
      </c>
      <c r="I26" t="inlineStr">
        <is>
          <t>17750005500013.0</t>
        </is>
      </c>
      <c r="J26" t="inlineStr">
        <is>
          <t>https://www.marches-publics.gouv.fr/entreprise</t>
        </is>
      </c>
      <c r="K26" t="inlineStr">
        <is>
          <t>https://www.boamp.fr/pages/avis/?q=idweb:26-74239</t>
        </is>
      </c>
      <c r="L26" t="inlineStr">
        <is>
          <t>FROID</t>
        </is>
      </c>
      <c r="M26" t="inlineStr">
        <is>
          <t>25</t>
        </is>
      </c>
      <c r="N26" t="inlineStr">
        <is>
          <t>26-74239</t>
        </is>
      </c>
    </row>
    <row r="27">
      <c r="A27" t="inlineStr">
        <is>
          <t>PRESTATIONS DE NETTOYAGE DES SITES DE L'ENFANCE</t>
        </is>
      </c>
      <c r="B27" t="inlineStr">
        <is>
          <t>Département du Val-de-Marne</t>
        </is>
      </c>
      <c r="C27" t="inlineStr">
        <is>
          <t>Autre</t>
        </is>
      </c>
      <c r="D27" t="inlineStr">
        <is>
          <t>Batiments</t>
        </is>
      </c>
      <c r="E27" t="inlineStr"/>
      <c r="F27" t="inlineStr"/>
      <c r="G27" t="inlineStr">
        <is>
          <t>2026-07-24</t>
        </is>
      </c>
      <c r="H27" t="inlineStr">
        <is>
          <t>2026-09-24T14:00:00+00:00</t>
        </is>
      </c>
      <c r="I27" t="inlineStr">
        <is>
          <t>93120000</t>
        </is>
      </c>
      <c r="J27" t="inlineStr">
        <is>
          <t>http://www.maximilien.fr</t>
        </is>
      </c>
      <c r="K27" t="inlineStr">
        <is>
          <t>https://www.boamp.fr/pages/avis/?q=idweb:26-73266</t>
        </is>
      </c>
      <c r="L27" t="inlineStr">
        <is>
          <t>FROID</t>
        </is>
      </c>
      <c r="M27" t="inlineStr">
        <is>
          <t>25</t>
        </is>
      </c>
      <c r="N27" t="inlineStr">
        <is>
          <t>26-73266</t>
        </is>
      </c>
    </row>
    <row r="28">
      <c r="A28" t="inlineStr">
        <is>
          <t>Nettoyage des locaux et de la vitrerie des bâtiments intercommunaux de l'agglomération Roissy Pays de France</t>
        </is>
      </c>
      <c r="B28" t="inlineStr">
        <is>
          <t>Agglomération Roissy Pays de France</t>
        </is>
      </c>
      <c r="C28" t="inlineStr">
        <is>
          <t>Autre</t>
        </is>
      </c>
      <c r="D28" t="inlineStr">
        <is>
          <t>Vitres</t>
        </is>
      </c>
      <c r="E28" t="inlineStr"/>
      <c r="F28" t="inlineStr"/>
      <c r="G28" t="inlineStr">
        <is>
          <t>2026-07-17</t>
        </is>
      </c>
      <c r="H28" t="inlineStr">
        <is>
          <t>2026-09-15T10:00:00+00:00</t>
        </is>
      </c>
      <c r="I28" t="inlineStr">
        <is>
          <t>1333333</t>
        </is>
      </c>
      <c r="J28" t="inlineStr">
        <is>
          <t>https://www.marches-publics.info/mpiaws/index.cfm?fuseaction=dematEnt.login&amp;amp;type=DCE&amp;amp;IDM=1850945</t>
        </is>
      </c>
      <c r="K28" t="inlineStr">
        <is>
          <t>https://www.boamp.fr/pages/avis/?q=idweb:26-70752</t>
        </is>
      </c>
      <c r="L28" t="inlineStr">
        <is>
          <t>FROID</t>
        </is>
      </c>
      <c r="M28" t="inlineStr">
        <is>
          <t>25</t>
        </is>
      </c>
      <c r="N28" t="inlineStr">
        <is>
          <t>26-70752</t>
        </is>
      </c>
    </row>
    <row r="29">
      <c r="A29" t="inlineStr">
        <is>
          <t>Prestations d'hébergement de l'Espace d'exposition faisant partie du pavillon Occitanie pour le 56e Salon International de l'Aéronautique et de l'Espace Paris - Relance consultation 26OCC09L</t>
        </is>
      </c>
      <c r="B29" t="inlineStr">
        <is>
          <t>CCI OCCITANIE PYRENEES-MEDITERRANEE</t>
        </is>
      </c>
      <c r="C29" t="inlineStr">
        <is>
          <t>Autre</t>
        </is>
      </c>
      <c r="D29" t="inlineStr">
        <is>
          <t>Personnel</t>
        </is>
      </c>
      <c r="E29" t="inlineStr"/>
      <c r="F29" t="inlineStr"/>
      <c r="G29" t="inlineStr">
        <is>
          <t>2026-07-17</t>
        </is>
      </c>
      <c r="H29" t="inlineStr">
        <is>
          <t>2026-08-17T10:00:00+00:00</t>
        </is>
      </c>
      <c r="I29" t="inlineStr"/>
      <c r="J29" t="inlineStr">
        <is>
          <t>https://www.marches-publics.gouv.fr/entreprise</t>
        </is>
      </c>
      <c r="K29" t="inlineStr">
        <is>
          <t>https://www.boamp.fr/pages/avis/?q=idweb:26-70841</t>
        </is>
      </c>
      <c r="L29" t="inlineStr">
        <is>
          <t>FROID</t>
        </is>
      </c>
      <c r="M29" t="inlineStr">
        <is>
          <t>20</t>
        </is>
      </c>
      <c r="N29" t="inlineStr">
        <is>
          <t>26-70841</t>
        </is>
      </c>
    </row>
    <row r="30">
      <c r="A30" t="inlineStr">
        <is>
          <t>Prestations de gardiennage et sécurité incendie pour le campus HEC Paris</t>
        </is>
      </c>
      <c r="B30" t="inlineStr">
        <is>
          <t>HEC Paris</t>
        </is>
      </c>
      <c r="C30" t="inlineStr">
        <is>
          <t>Autre</t>
        </is>
      </c>
      <c r="D30" t="inlineStr">
        <is>
          <t>Personnel</t>
        </is>
      </c>
      <c r="E30" t="inlineStr"/>
      <c r="F30" t="inlineStr"/>
      <c r="G30" t="inlineStr">
        <is>
          <t>2026-07-15</t>
        </is>
      </c>
      <c r="H30" t="inlineStr">
        <is>
          <t>2026-09-17T10:00:00+00:00</t>
        </is>
      </c>
      <c r="I30" t="inlineStr"/>
      <c r="J30" t="inlineStr">
        <is>
          <t>https://www.marches-publics.info/mpiaws/index.cfm?fuseaction=dematEnt.login&amp;amp;type=DCE&amp;amp;IDM=1850314</t>
        </is>
      </c>
      <c r="K30" t="inlineStr">
        <is>
          <t>https://www.boamp.fr/pages/avis/?q=idweb:26-70040</t>
        </is>
      </c>
      <c r="L30" t="inlineStr">
        <is>
          <t>FROID</t>
        </is>
      </c>
      <c r="M30" t="inlineStr">
        <is>
          <t>20</t>
        </is>
      </c>
      <c r="N30" t="inlineStr">
        <is>
          <t>26-70040</t>
        </is>
      </c>
    </row>
    <row r="31">
      <c r="A31" t="inlineStr">
        <is>
          <t>Prestations de conseil et assistance en UX/UI, en développement, intégration et maintenance des projets numériques en 2 lots</t>
        </is>
      </c>
      <c r="B31" t="inlineStr">
        <is>
          <t>VILLE de PARIS - DFA - SDA</t>
        </is>
      </c>
      <c r="C31" t="inlineStr">
        <is>
          <t>Mairie</t>
        </is>
      </c>
      <c r="D31" t="inlineStr">
        <is>
          <t>Personnel</t>
        </is>
      </c>
      <c r="E31" t="inlineStr"/>
      <c r="F31" t="inlineStr"/>
      <c r="G31" t="inlineStr">
        <is>
          <t>2026-07-26</t>
        </is>
      </c>
      <c r="H31" t="inlineStr">
        <is>
          <t>2026-09-22T10:00:00+00:00</t>
        </is>
      </c>
      <c r="I31" t="inlineStr">
        <is>
          <t>1028571</t>
        </is>
      </c>
      <c r="J31" t="inlineStr">
        <is>
          <t>https://marches.maximilien.fr/entreprise/consultation/943956?orgAcronyme=r8t</t>
        </is>
      </c>
      <c r="K31" t="inlineStr">
        <is>
          <t>https://www.boamp.fr/pages/avis/?q=idweb:26-74389</t>
        </is>
      </c>
      <c r="L31" t="inlineStr">
        <is>
          <t>FROID</t>
        </is>
      </c>
      <c r="M31" t="inlineStr">
        <is>
          <t>15</t>
        </is>
      </c>
      <c r="N31" t="inlineStr">
        <is>
          <t>26-74389</t>
        </is>
      </c>
    </row>
    <row r="32">
      <c r="A32" t="inlineStr">
        <is>
          <t>Marché n°26.AO.MG.050 - Renfort de personnel au sein du télé-accueil de l'EPT Est Ensemble</t>
        </is>
      </c>
      <c r="B32" t="inlineStr">
        <is>
          <t>Est Ensemble</t>
        </is>
      </c>
      <c r="C32" t="inlineStr">
        <is>
          <t>Autre</t>
        </is>
      </c>
      <c r="D32" t="inlineStr">
        <is>
          <t>Personnel</t>
        </is>
      </c>
      <c r="E32" t="inlineStr"/>
      <c r="F32" t="inlineStr"/>
      <c r="G32" t="inlineStr">
        <is>
          <t>2026-07-25</t>
        </is>
      </c>
      <c r="H32" t="inlineStr">
        <is>
          <t>2026-09-18T10:00:00+00:00</t>
        </is>
      </c>
      <c r="I32" t="inlineStr">
        <is>
          <t>150000</t>
        </is>
      </c>
      <c r="J32" t="inlineStr">
        <is>
          <t>https://marches.maximilien.fr/?page=Entreprise.EntrepriseAdvancedSearch&amp;AllCons&amp;id=944029&amp;orgAcronyme=v8x</t>
        </is>
      </c>
      <c r="K32" t="inlineStr">
        <is>
          <t>https://www.boamp.fr/pages/avis/?q=idweb:26-73883</t>
        </is>
      </c>
      <c r="L32" t="inlineStr">
        <is>
          <t>FROID</t>
        </is>
      </c>
      <c r="M32" t="inlineStr">
        <is>
          <t>15</t>
        </is>
      </c>
      <c r="N32" t="inlineStr">
        <is>
          <t>26-73883</t>
        </is>
      </c>
    </row>
    <row r="33">
      <c r="A33" t="inlineStr">
        <is>
          <t>Location et entretien de linge de restauration et de maison pour le compte des Ministères sociaux</t>
        </is>
      </c>
      <c r="B33" t="inlineStr">
        <is>
          <t>Ministères sociaux, DFAS/SDADD</t>
        </is>
      </c>
      <c r="C33" t="inlineStr">
        <is>
          <t>Autre</t>
        </is>
      </c>
      <c r="D33" t="inlineStr">
        <is>
          <t>Mixte/Autre</t>
        </is>
      </c>
      <c r="E33" t="inlineStr"/>
      <c r="F33" t="inlineStr"/>
      <c r="G33" t="inlineStr">
        <is>
          <t>2026-07-17</t>
        </is>
      </c>
      <c r="H33" t="inlineStr">
        <is>
          <t>2026-08-07T12:00:00+00:00</t>
        </is>
      </c>
      <c r="I33" t="inlineStr">
        <is>
          <t>5112000</t>
        </is>
      </c>
      <c r="J33" t="inlineStr">
        <is>
          <t>https://www.marches-publics.gouv.fr/</t>
        </is>
      </c>
      <c r="K33" t="inlineStr">
        <is>
          <t>https://www.boamp.fr/pages/avis/?q=idweb:26-70598</t>
        </is>
      </c>
      <c r="L33" t="inlineStr">
        <is>
          <t>FROID</t>
        </is>
      </c>
      <c r="M33" t="inlineStr">
        <is>
          <t>15</t>
        </is>
      </c>
      <c r="N33" t="inlineStr">
        <is>
          <t>26-70598</t>
        </is>
      </c>
    </row>
    <row r="34">
      <c r="A34" t="inlineStr">
        <is>
          <t>La présente consultation a pour objet des prestations de sécurité incendie, de gardiennage des locaux et d’assistance aux personnels et usagers de l’arrondissement judiciaire de Paris.</t>
        </is>
      </c>
      <c r="B34" t="inlineStr">
        <is>
          <t>Cour d'appel de Paris - SAR</t>
        </is>
      </c>
      <c r="C34" t="inlineStr">
        <is>
          <t>Autre</t>
        </is>
      </c>
      <c r="D34" t="inlineStr">
        <is>
          <t>Personnel</t>
        </is>
      </c>
      <c r="E34" t="inlineStr"/>
      <c r="F34" t="inlineStr"/>
      <c r="G34" t="inlineStr">
        <is>
          <t>2026-07-23</t>
        </is>
      </c>
      <c r="H34" t="inlineStr"/>
      <c r="I34" t="inlineStr"/>
      <c r="J34" t="inlineStr">
        <is>
          <t>https://www.marches-publics.gouv.fr/entreprise</t>
        </is>
      </c>
      <c r="K34" t="inlineStr">
        <is>
          <t>https://www.boamp.fr/pages/avis/?q=idweb:26-72867</t>
        </is>
      </c>
      <c r="L34" t="inlineStr">
        <is>
          <t>FROID</t>
        </is>
      </c>
      <c r="M34" t="inlineStr">
        <is>
          <t>10</t>
        </is>
      </c>
      <c r="N34" t="inlineStr">
        <is>
          <t>26-72867</t>
        </is>
      </c>
    </row>
    <row r="35">
      <c r="A35" t="inlineStr">
        <is>
          <t>Mise à disposition de professionnels paramédicaux et éducatifs pour la Direction de la protection de l'enfance et de la jeunesse.</t>
        </is>
      </c>
      <c r="B35" t="inlineStr">
        <is>
          <t>Département du Val-de-Marne</t>
        </is>
      </c>
      <c r="C35" t="inlineStr">
        <is>
          <t>Autre</t>
        </is>
      </c>
      <c r="D35" t="inlineStr">
        <is>
          <t>Personnel</t>
        </is>
      </c>
      <c r="E35" t="inlineStr"/>
      <c r="F35" t="inlineStr"/>
      <c r="G35" t="inlineStr">
        <is>
          <t>2026-07-23</t>
        </is>
      </c>
      <c r="H35" t="inlineStr">
        <is>
          <t>2026-09-11T14:00:00+00:00</t>
        </is>
      </c>
      <c r="I35" t="inlineStr">
        <is>
          <t>2800000</t>
        </is>
      </c>
      <c r="J35" t="inlineStr">
        <is>
          <t>https://marches.maximilien.fr/?page=Entreprise.EntrepriseAdvancedSearch&amp;AllCons&amp;id=943156&amp;orgAcronyme=a8z</t>
        </is>
      </c>
      <c r="K35" t="inlineStr">
        <is>
          <t>https://www.boamp.fr/pages/avis/?q=idweb:26-73122</t>
        </is>
      </c>
      <c r="L35" t="inlineStr">
        <is>
          <t>FROID</t>
        </is>
      </c>
      <c r="M35" t="inlineStr">
        <is>
          <t>0</t>
        </is>
      </c>
      <c r="N35" t="inlineStr">
        <is>
          <t>26-73122</t>
        </is>
      </c>
    </row>
    <row r="36">
      <c r="A36" t="inlineStr">
        <is>
          <t>prestations de gestion de l'entretien et des réparations des flottes de véhicules terrestres d’un PTAC ≤ 3,5 tonnes et des prestations d’assistance pour les véhicules en auto assurance</t>
        </is>
      </c>
      <c r="B36" t="inlineStr">
        <is>
          <t>Direction des Achats de l'Etat (DAE)</t>
        </is>
      </c>
      <c r="C36" t="inlineStr">
        <is>
          <t>Autre</t>
        </is>
      </c>
      <c r="D36" t="inlineStr">
        <is>
          <t>Personnel</t>
        </is>
      </c>
      <c r="E36" t="inlineStr"/>
      <c r="F36" t="inlineStr"/>
      <c r="G36" t="inlineStr">
        <is>
          <t>2026-07-17</t>
        </is>
      </c>
      <c r="H36" t="inlineStr">
        <is>
          <t>2026-07-30T11:30:00+00:00</t>
        </is>
      </c>
      <c r="I36" t="inlineStr">
        <is>
          <t>1160000000</t>
        </is>
      </c>
      <c r="J36" t="inlineStr">
        <is>
          <t>https://www.marches-publics.gouv.fr</t>
        </is>
      </c>
      <c r="K36" t="inlineStr">
        <is>
          <t>https://www.boamp.fr/pages/avis/?q=idweb:26-70414</t>
        </is>
      </c>
      <c r="L36" t="inlineStr">
        <is>
          <t>FROID</t>
        </is>
      </c>
      <c r="M36" t="inlineStr">
        <is>
          <t>0</t>
        </is>
      </c>
      <c r="N36" t="inlineStr">
        <is>
          <t>26-70414</t>
        </is>
      </c>
    </row>
    <row r="37">
      <c r="A37" t="inlineStr">
        <is>
          <t>GARDIENNAGE ET SURVEILLANCE DU CENTRE DE FORMATION DE GURCY-LE-CHATEL</t>
        </is>
      </c>
      <c r="B37" t="inlineStr">
        <is>
          <t>SDIS 77 de Seine-et-Marne</t>
        </is>
      </c>
      <c r="C37" t="inlineStr">
        <is>
          <t>Autre</t>
        </is>
      </c>
      <c r="D37" t="inlineStr">
        <is>
          <t>Personnel</t>
        </is>
      </c>
      <c r="E37" t="inlineStr"/>
      <c r="F37" t="inlineStr"/>
      <c r="G37" t="inlineStr">
        <is>
          <t>2026-07-17</t>
        </is>
      </c>
      <c r="H37" t="inlineStr"/>
      <c r="I37" t="inlineStr">
        <is>
          <t>500000</t>
        </is>
      </c>
      <c r="J37" t="inlineStr">
        <is>
          <t>http://melun.tribunal-administratif.fr</t>
        </is>
      </c>
      <c r="K37" t="inlineStr">
        <is>
          <t>https://www.boamp.fr/pages/avis/?q=idweb:26-70509</t>
        </is>
      </c>
      <c r="L37" t="inlineStr">
        <is>
          <t>FROID</t>
        </is>
      </c>
      <c r="M37" t="inlineStr">
        <is>
          <t>0</t>
        </is>
      </c>
      <c r="N37" t="inlineStr">
        <is>
          <t>26-70509</t>
        </is>
      </c>
    </row>
    <row r="38">
      <c r="A38" t="inlineStr">
        <is>
          <t>Mise en propreté des abords du site principal du Centre National d’Art et de Culture Georges Pompidou et des bâtiments annexes (CNAC-GP) (2 lots) - Vague 2 : lot 2 (26-CP04-044-AC)</t>
        </is>
      </c>
      <c r="B38" t="inlineStr">
        <is>
          <t>CENTRE POMPIDOU</t>
        </is>
      </c>
      <c r="C38" t="inlineStr">
        <is>
          <t>Autre</t>
        </is>
      </c>
      <c r="D38" t="inlineStr">
        <is>
          <t>Batiments</t>
        </is>
      </c>
      <c r="E38" t="inlineStr"/>
      <c r="F38" t="inlineStr"/>
      <c r="G38" t="inlineStr">
        <is>
          <t>2026-07-17</t>
        </is>
      </c>
      <c r="H38" t="inlineStr">
        <is>
          <t>2026-07-20T12:00:00+00:00</t>
        </is>
      </c>
      <c r="I38" t="inlineStr">
        <is>
          <t>600000.0</t>
        </is>
      </c>
      <c r="J38" t="inlineStr">
        <is>
          <t>https://www.marches-publics.gouv.fr/</t>
        </is>
      </c>
      <c r="K38" t="inlineStr">
        <is>
          <t>https://www.boamp.fr/pages/avis/?q=idweb:26-70374</t>
        </is>
      </c>
      <c r="L38" t="inlineStr">
        <is>
          <t>FROID</t>
        </is>
      </c>
      <c r="M38" t="inlineStr">
        <is>
          <t>0</t>
        </is>
      </c>
      <c r="N38" t="inlineStr">
        <is>
          <t>26-70374</t>
        </is>
      </c>
    </row>
  </sheetData>
  <pageMargins left="0.7" right="0.7" top="0.75" bottom="0.75" header="0.3" footer="0.3"/>
  <legacyDrawing xmlns:r="http://schemas.openxmlformats.org/officeDocument/2006/relationships" r:id="anysvml"/>
  <tableParts count="1">
    <tablePart xmlns:r="http://schemas.openxmlformats.org/officeDocument/2006/relationships" r:id="rId1"/>
  </tableParts>
</worksheet>
</file>

<file path=xl/worksheets/sheet4.xml><?xml version="1.0" encoding="utf-8"?>
<worksheet xmlns="http://schemas.openxmlformats.org/spreadsheetml/2006/main">
  <sheetPr>
    <outlinePr summaryBelow="1" summaryRight="1"/>
    <pageSetUpPr/>
  </sheetPr>
  <dimension ref="A1:BM3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3" customWidth="1" min="9" max="9"/>
    <col width="15" customWidth="1" min="10" max="10"/>
    <col width="55" customWidth="1" min="11" max="11"/>
    <col width="13" customWidth="1" min="12" max="12"/>
    <col width="17"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22" customWidth="1" min="26" max="26"/>
    <col width="16" customWidth="1" min="27" max="27"/>
    <col width="55" customWidth="1" min="28" max="28"/>
    <col width="33" customWidth="1" min="29" max="29"/>
    <col width="51"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0" customWidth="1" min="38" max="38"/>
    <col width="55" customWidth="1" min="39" max="39"/>
    <col width="52" customWidth="1" min="40" max="40"/>
    <col width="55" customWidth="1" min="41" max="41"/>
    <col width="55"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4" t="n">
        <v>46227</v>
      </c>
      <c r="R2" s="14"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0"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f>MIN(100,MAX(0,IF(OR(ISNUMBER(SEARCH("nettoyage",C2)),ISNUMBER(SEARCH("proprete",C2)),ISNUMBER(SEARCH("entretien",C2)),ISNUMBER(SEARCH("hygiene",C2))),35,0)+IF(SUM(--(N2="75")+--(O2="75"),--(N2="77")+--(O2="77"),--(N2="78")+--(O2="78"),--(N2="91")+--(O2="91"),--(N2="92")+--(O2="92"),--(N2="93")+--(O2="93"),--(N2="94")+--(O2="94"),--(N2="95")+--(O2="95"))&gt;0,25,4)+IF(S2="",10,IF(S2&lt;=50000,25,IF(S2&lt;=100000,20,IF(S2&lt;=200000,5,IF(S2&lt;=500000,-10,-20)))))+IF(I2&lt;&gt;"",4,0)+IF(J2&lt;&gt;"",4,0)+IF(E2&lt;&gt;"",3,0)+IF(K2&lt;&gt;"",2,0)+IF(M2&lt;&gt;"",1,0)+IF(AD2&lt;&gt;"",1,0)+IF(R2="",0,IF(R2&lt;TODAY(),-30,IF(R2&lt;TODAY()+5,-15,IF(R2&lt;=TODAY()+15,5,10))))))</f>
        <v/>
      </c>
      <c r="AN2">
        <f>IF(AM2&gt;=65,"CHAUD",IF(AM2&gt;=40,"TIEDE","FROID"))</f>
        <v/>
      </c>
      <c r="AO2">
        <f>IF((IF(I2&lt;&gt;"",1,0)+IF(J2&lt;&gt;"",1,0)+IF(E2&lt;&gt;"",1,0)+IF(K2&lt;&gt;"",1,0))&gt;=4,"Complet",IF((IF(I2&lt;&gt;"",1,0)+IF(J2&lt;&gt;"",1,0)+IF(E2&lt;&gt;"",1,0)+IF(K2&lt;&gt;"",1,0))&gt;=2,"Partiel","Vide"))</f>
        <v/>
      </c>
      <c r="AP2">
        <f>IF(AJ2="DCE_A_TELECHARGER","Telecharger DCE",IF(T2="A_VERIFIER_BUDGET","Verifier budget",IF(AN2="CHAUD","Contacter maintenant",IF(AN2="TIEDE","Surveiller / relancer","Basse priorite"))))</f>
        <v/>
      </c>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26-74949</t>
        </is>
      </c>
      <c r="C3" t="inlineStr">
        <is>
          <t>Prestations D'Entretien Ménager Des Gymnases De La Ville De Roissy-En-Brie</t>
        </is>
      </c>
      <c r="D3" t="inlineStr">
        <is>
          <t>Mairie de Roissy-en-Brie</t>
        </is>
      </c>
      <c r="E3" t="inlineStr">
        <is>
          <t>21770390900010</t>
        </is>
      </c>
      <c r="F3" t="inlineStr">
        <is>
          <t>217703909</t>
        </is>
      </c>
      <c r="G3" t="inlineStr">
        <is>
          <t>Service Commande Publique</t>
        </is>
      </c>
      <c r="H3" t="inlineStr"/>
      <c r="I3" t="inlineStr"/>
      <c r="J3" t="inlineStr">
        <is>
          <t>0390900010</t>
        </is>
      </c>
      <c r="K3" t="inlineStr">
        <is>
          <t>77680 - ROISSY-EN-BRIE</t>
        </is>
      </c>
      <c r="L3" t="inlineStr">
        <is>
          <t>77680</t>
        </is>
      </c>
      <c r="M3" t="inlineStr">
        <is>
          <t>ROISSY EN BRIE</t>
        </is>
      </c>
      <c r="N3" t="inlineStr">
        <is>
          <t>77</t>
        </is>
      </c>
      <c r="O3" t="inlineStr"/>
      <c r="P3" t="inlineStr">
        <is>
          <t>Ile-de-France</t>
        </is>
      </c>
      <c r="Q3" s="14" t="n">
        <v>46230</v>
      </c>
      <c r="R3" s="14" t="n">
        <v>46262</v>
      </c>
      <c r="S3" s="15" t="n">
        <v>77680</v>
      </c>
      <c r="T3" t="inlineStr">
        <is>
          <t>BUDGET_SOUS_SEUIL</t>
        </is>
      </c>
      <c r="U3" t="inlineStr">
        <is>
          <t>77680.0</t>
        </is>
      </c>
      <c r="V3" t="inlineStr">
        <is>
          <t>non</t>
        </is>
      </c>
      <c r="W3" t="inlineStr">
        <is>
          <t>Batiments</t>
        </is>
      </c>
      <c r="X3" t="inlineStr">
        <is>
          <t>Mairie</t>
        </is>
      </c>
      <c r="Y3" t="inlineStr">
        <is>
          <t>SERVICES</t>
        </is>
      </c>
      <c r="Z3" t="inlineStr">
        <is>
          <t>Procédure Ouverte</t>
        </is>
      </c>
      <c r="AA3" t="inlineStr">
        <is>
          <t>Avis de marché</t>
        </is>
      </c>
      <c r="AB3" t="inlineStr">
        <is>
          <t>Nettoyage de locaux</t>
        </is>
      </c>
      <c r="AC3" t="inlineStr"/>
      <c r="AD3" s="10" t="inlineStr">
        <is>
          <t>https://www.boamp.fr/pages/avis/?q=idweb:26-74949</t>
        </is>
      </c>
      <c r="AE3" t="inlineStr">
        <is>
          <t>https://www.marches-publics.info/mpiaws/index.cfm?fuseaction=dematent.login&amp;type=Dce&amp;Idm=1855543</t>
        </is>
      </c>
      <c r="AF3" t="inlineStr">
        <is>
          <t>https://www.marches-publics.info/mpiaws/index.cfm?fuseaction=dematent.login&amp;type=Dce&amp;Idm=1855543</t>
        </is>
      </c>
      <c r="AG3" t="inlineStr">
        <is>
          <t>nettoyage, entretien menager</t>
        </is>
      </c>
      <c r="AH3" t="inlineStr">
        <is>
          <t>5</t>
        </is>
      </c>
      <c r="AI3" t="inlineStr">
        <is>
          <t>92</t>
        </is>
      </c>
      <c r="AJ3" t="inlineStr">
        <is>
          <t>INFO_PARTIELLE</t>
        </is>
      </c>
      <c r="AK3" t="inlineStr">
        <is>
          <t>75</t>
        </is>
      </c>
      <c r="AL3" s="13" t="inlineStr">
        <is>
          <t>CHAUD</t>
        </is>
      </c>
      <c r="AM3">
        <f>MIN(100,MAX(0,IF(OR(ISNUMBER(SEARCH("nettoyage",C3)),ISNUMBER(SEARCH("proprete",C3)),ISNUMBER(SEARCH("entretien",C3)),ISNUMBER(SEARCH("hygiene",C3))),35,0)+IF(SUM(--(N3="75")+--(O3="75"),--(N3="77")+--(O3="77"),--(N3="78")+--(O3="78"),--(N3="91")+--(O3="91"),--(N3="92")+--(O3="92"),--(N3="93")+--(O3="93"),--(N3="94")+--(O3="94"),--(N3="95")+--(O3="95"))&gt;0,25,4)+IF(S3="",10,IF(S3&lt;=50000,25,IF(S3&lt;=100000,20,IF(S3&lt;=200000,5,IF(S3&lt;=500000,-10,-20)))))+IF(I3&lt;&gt;"",4,0)+IF(J3&lt;&gt;"",4,0)+IF(E3&lt;&gt;"",3,0)+IF(K3&lt;&gt;"",2,0)+IF(M3&lt;&gt;"",1,0)+IF(AD3&lt;&gt;"",1,0)+IF(R3="",0,IF(R3&lt;TODAY(),-30,IF(R3&lt;TODAY()+5,-15,IF(R3&lt;=TODAY()+15,5,10))))))</f>
        <v/>
      </c>
      <c r="AN3">
        <f>IF(AM3&gt;=65,"CHAUD",IF(AM3&gt;=40,"TIEDE","FROID"))</f>
        <v/>
      </c>
      <c r="AO3">
        <f>IF((IF(I3&lt;&gt;"",1,0)+IF(J3&lt;&gt;"",1,0)+IF(E3&lt;&gt;"",1,0)+IF(K3&lt;&gt;"",1,0))&gt;=4,"Complet",IF((IF(I3&lt;&gt;"",1,0)+IF(J3&lt;&gt;"",1,0)+IF(E3&lt;&gt;"",1,0)+IF(K3&lt;&gt;"",1,0))&gt;=2,"Partiel","Vide"))</f>
        <v/>
      </c>
      <c r="AP3">
        <f>IF(AJ3="DCE_A_TELECHARGER","Telecharger DCE",IF(T3="A_VERIFIER_BUDGET","Verifier budget",IF(AN3="CHAUD","Contacter maintenant",IF(AN3="TIEDE","Surveiller / relancer","Basse priorite"))))</f>
        <v/>
      </c>
      <c r="AQ3" t="inlineStr">
        <is>
          <t>IA_CONTACT_A_COMPLETER</t>
        </is>
      </c>
      <c r="AR3" t="inlineStr">
        <is>
          <t>Completer les champs manquants depuis l'avis source, le site acheteur ou le DCE.</t>
        </is>
      </c>
      <c r="AS3" t="inlineStr">
        <is>
          <t>email</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3" t="inlineStr">
        <is>
          <t>Verifier url_avis et DCE si disponible</t>
        </is>
      </c>
      <c r="AV3" t="inlineStr">
        <is>
          <t>LIEN_SEUL</t>
        </is>
      </c>
      <c r="AW3" t="inlineStr"/>
      <c r="AX3" t="inlineStr"/>
      <c r="AY3" t="inlineStr"/>
      <c r="AZ3" t="inlineStr"/>
      <c r="BA3" t="inlineStr"/>
      <c r="BB3" t="inlineStr">
        <is>
          <t>+35 nettoyage + categorie claire | +20 budget annualise &lt;= 100 000 EUR | +10 secteur cible Mairie | +10 delai confortable 31j</t>
        </is>
      </c>
      <c r="BC3" t="inlineStr">
        <is>
          <t>Mairie de Roissy-en-Brie publie un AO potentiellement pertinent pour CHRUTH : Prestations D'Entretien Ménager Des Gymnases De La Ville De Roissy-En-Brie. Zone : ROISSY EN BRIE. Budget detecte environ 77 680 EUR. Verifier le lien source avant contact.</t>
        </is>
      </c>
      <c r="BD3"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3"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2026-W31</t>
        </is>
      </c>
    </row>
    <row r="4">
      <c r="A4" t="inlineStr">
        <is>
          <t>BOAMP</t>
        </is>
      </c>
      <c r="B4" t="inlineStr">
        <is>
          <t>26-74013</t>
        </is>
      </c>
      <c r="C4" t="inlineStr">
        <is>
          <t>Prestations de nettoyage des locaux de l'École nationale supérieure d’architecture de Paris-La Villette</t>
        </is>
      </c>
      <c r="D4" t="inlineStr">
        <is>
          <t>ENSA Paris-La Villette</t>
        </is>
      </c>
      <c r="E4" t="inlineStr">
        <is>
          <t>19751875600014</t>
        </is>
      </c>
      <c r="F4" t="inlineStr">
        <is>
          <t>197518756</t>
        </is>
      </c>
      <c r="G4" t="inlineStr">
        <is>
          <t>ACHOUR</t>
        </is>
      </c>
      <c r="H4" t="inlineStr"/>
      <c r="I4" t="inlineStr">
        <is>
          <t>safae.achour@paris-lavillette.archi.fr</t>
        </is>
      </c>
      <c r="J4" t="inlineStr">
        <is>
          <t>07-23 2026-09</t>
        </is>
      </c>
      <c r="K4" t="inlineStr">
        <is>
          <t>75019</t>
        </is>
      </c>
      <c r="L4" t="inlineStr">
        <is>
          <t>75019</t>
        </is>
      </c>
      <c r="M4" t="inlineStr">
        <is>
          <t>Paris</t>
        </is>
      </c>
      <c r="N4" t="inlineStr">
        <is>
          <t>75,92,93,91,95,77,94</t>
        </is>
      </c>
      <c r="O4" t="inlineStr"/>
      <c r="P4" t="inlineStr">
        <is>
          <t>Ile-de-France</t>
        </is>
      </c>
      <c r="Q4" s="14" t="n">
        <v>46226</v>
      </c>
      <c r="R4" s="14" t="n">
        <v>46293</v>
      </c>
      <c r="S4" s="15" t="n">
        <v>75019</v>
      </c>
      <c r="T4" t="inlineStr">
        <is>
          <t>BUDGET_SOUS_SEUIL</t>
        </is>
      </c>
      <c r="U4" t="inlineStr">
        <is>
          <t>75019.0</t>
        </is>
      </c>
      <c r="V4" t="inlineStr">
        <is>
          <t>non</t>
        </is>
      </c>
      <c r="W4" t="inlineStr">
        <is>
          <t>Batiments</t>
        </is>
      </c>
      <c r="X4" t="inlineStr">
        <is>
          <t>Ecole</t>
        </is>
      </c>
      <c r="Y4" t="inlineStr">
        <is>
          <t>SERVICES</t>
        </is>
      </c>
      <c r="Z4" t="inlineStr">
        <is>
          <t>Procédure Ouverte</t>
        </is>
      </c>
      <c r="AA4" t="inlineStr">
        <is>
          <t>Avis de marché</t>
        </is>
      </c>
      <c r="AB4" t="inlineStr">
        <is>
          <t>Nettoyage de locaux</t>
        </is>
      </c>
      <c r="AC4" t="inlineStr"/>
      <c r="AD4" s="10" t="inlineStr">
        <is>
          <t>https://www.boamp.fr/pages/avis/?q=idweb:26-74013</t>
        </is>
      </c>
      <c r="AE4" t="inlineStr">
        <is>
          <t>https://www.marches-publics.gouv.fr/entreprise/consultation/3044724?orgAcronyme=f5j</t>
        </is>
      </c>
      <c r="AF4" t="inlineStr">
        <is>
          <t>https://www.marches-publics.gouv.fr/entreprise/consultation/3044724?orgAcronyme=f5j</t>
        </is>
      </c>
      <c r="AG4" t="inlineStr">
        <is>
          <t>nettoyage</t>
        </is>
      </c>
      <c r="AH4" t="inlineStr">
        <is>
          <t>6</t>
        </is>
      </c>
      <c r="AI4" t="inlineStr">
        <is>
          <t>98</t>
        </is>
      </c>
      <c r="AJ4" t="inlineStr">
        <is>
          <t>INFO_PARTIELLE</t>
        </is>
      </c>
      <c r="AK4" t="inlineStr">
        <is>
          <t>75</t>
        </is>
      </c>
      <c r="AL4" s="13" t="inlineStr">
        <is>
          <t>CHAUD</t>
        </is>
      </c>
      <c r="AM4">
        <f>MIN(100,MAX(0,IF(OR(ISNUMBER(SEARCH("nettoyage",C4)),ISNUMBER(SEARCH("proprete",C4)),ISNUMBER(SEARCH("entretien",C4)),ISNUMBER(SEARCH("hygiene",C4))),35,0)+IF(SUM(--(N4="75")+--(O4="75"),--(N4="77")+--(O4="77"),--(N4="78")+--(O4="78"),--(N4="91")+--(O4="91"),--(N4="92")+--(O4="92"),--(N4="93")+--(O4="93"),--(N4="94")+--(O4="94"),--(N4="95")+--(O4="95"))&gt;0,25,4)+IF(S4="",10,IF(S4&lt;=50000,25,IF(S4&lt;=100000,20,IF(S4&lt;=200000,5,IF(S4&lt;=500000,-10,-20)))))+IF(I4&lt;&gt;"",4,0)+IF(J4&lt;&gt;"",4,0)+IF(E4&lt;&gt;"",3,0)+IF(K4&lt;&gt;"",2,0)+IF(M4&lt;&gt;"",1,0)+IF(AD4&lt;&gt;"",1,0)+IF(R4="",0,IF(R4&lt;TODAY(),-30,IF(R4&lt;TODAY()+5,-15,IF(R4&lt;=TODAY()+15,5,10))))))</f>
        <v/>
      </c>
      <c r="AN4">
        <f>IF(AM4&gt;=65,"CHAUD",IF(AM4&gt;=40,"TIEDE","FROID"))</f>
        <v/>
      </c>
      <c r="AO4">
        <f>IF((IF(I4&lt;&gt;"",1,0)+IF(J4&lt;&gt;"",1,0)+IF(E4&lt;&gt;"",1,0)+IF(K4&lt;&gt;"",1,0))&gt;=4,"Complet",IF((IF(I4&lt;&gt;"",1,0)+IF(J4&lt;&gt;"",1,0)+IF(E4&lt;&gt;"",1,0)+IF(K4&lt;&gt;"",1,0))&gt;=2,"Partiel","Vide"))</f>
        <v/>
      </c>
      <c r="AP4">
        <f>IF(AJ4="DCE_A_TELECHARGER","Telecharger DCE",IF(T4="A_VERIFIER_BUDGET","Verifier budget",IF(AN4="CHAUD","Contacter maintenant",IF(AN4="TIEDE","Surveiller / relancer","Basse priorite"))))</f>
        <v/>
      </c>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Ecole | +10 delai confortable 62j</t>
        </is>
      </c>
      <c r="BC4"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4"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4"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26-72283</t>
        </is>
      </c>
      <c r="C5" t="inlineStr">
        <is>
          <t>Prestation d'écrivains publics interprètes à Montreuil</t>
        </is>
      </c>
      <c r="D5" t="inlineStr">
        <is>
          <t>Mairie de Montreuil</t>
        </is>
      </c>
      <c r="E5" t="inlineStr">
        <is>
          <t>21930048000015</t>
        </is>
      </c>
      <c r="F5" t="inlineStr">
        <is>
          <t>219300480</t>
        </is>
      </c>
      <c r="G5" t="inlineStr">
        <is>
          <t>Service des achats et de la commande publique</t>
        </is>
      </c>
      <c r="H5" t="inlineStr"/>
      <c r="I5" t="inlineStr">
        <is>
          <t>sacop@montreuil.fr</t>
        </is>
      </c>
      <c r="J5" t="inlineStr">
        <is>
          <t>+33 331487060</t>
        </is>
      </c>
      <c r="K5" t="inlineStr">
        <is>
          <t>(93) Seine-Saint-Denis</t>
        </is>
      </c>
      <c r="L5" t="inlineStr">
        <is>
          <t>93100</t>
        </is>
      </c>
      <c r="M5" t="inlineStr">
        <is>
          <t>Montreuil</t>
        </is>
      </c>
      <c r="N5" t="inlineStr">
        <is>
          <t>93</t>
        </is>
      </c>
      <c r="O5" t="inlineStr"/>
      <c r="P5" t="inlineStr">
        <is>
          <t>Ile-de-France</t>
        </is>
      </c>
      <c r="Q5" s="14" t="n">
        <v>46223</v>
      </c>
      <c r="R5" s="14" t="n">
        <v>46276</v>
      </c>
      <c r="S5" s="15" t="n">
        <v>93100</v>
      </c>
      <c r="T5" t="inlineStr">
        <is>
          <t>BUDGET_SOUS_SEUIL</t>
        </is>
      </c>
      <c r="U5" t="inlineStr">
        <is>
          <t>93100.0</t>
        </is>
      </c>
      <c r="V5" t="inlineStr">
        <is>
          <t>non</t>
        </is>
      </c>
      <c r="W5" t="inlineStr">
        <is>
          <t>Batiments</t>
        </is>
      </c>
      <c r="X5" t="inlineStr">
        <is>
          <t>Mairie</t>
        </is>
      </c>
      <c r="Y5" t="inlineStr">
        <is>
          <t>SERVICES</t>
        </is>
      </c>
      <c r="Z5" t="inlineStr">
        <is>
          <t>Procédure Ouverte</t>
        </is>
      </c>
      <c r="AA5" t="inlineStr">
        <is>
          <t>Avis de marché</t>
        </is>
      </c>
      <c r="AB5" t="inlineStr">
        <is>
          <t>Nettoyage de locaux</t>
        </is>
      </c>
      <c r="AC5" t="inlineStr"/>
      <c r="AD5" s="10" t="inlineStr">
        <is>
          <t>https://www.boamp.fr/pages/avis/?q=idweb:26-72283</t>
        </is>
      </c>
      <c r="AE5" t="inlineStr">
        <is>
          <t>https://marches.maximilien.fr/entreprise/consultation/943753?orgAcronyme=d6a</t>
        </is>
      </c>
      <c r="AF5" t="inlineStr">
        <is>
          <t>https://marches.maximilien.fr/entreprise/consultation/943753?orgAcronyme=d6a</t>
        </is>
      </c>
      <c r="AG5" t="inlineStr">
        <is>
          <t>nettoyage</t>
        </is>
      </c>
      <c r="AH5" t="inlineStr">
        <is>
          <t>6</t>
        </is>
      </c>
      <c r="AI5" t="inlineStr">
        <is>
          <t>98</t>
        </is>
      </c>
      <c r="AJ5" t="inlineStr">
        <is>
          <t>INFO_PARTIELLE</t>
        </is>
      </c>
      <c r="AK5" t="inlineStr">
        <is>
          <t>75</t>
        </is>
      </c>
      <c r="AL5" s="13" t="inlineStr">
        <is>
          <t>CHAUD</t>
        </is>
      </c>
      <c r="AM5">
        <f>MIN(100,MAX(0,IF(OR(ISNUMBER(SEARCH("nettoyage",C5)),ISNUMBER(SEARCH("proprete",C5)),ISNUMBER(SEARCH("entretien",C5)),ISNUMBER(SEARCH("hygiene",C5))),35,0)+IF(SUM(--(N5="75")+--(O5="75"),--(N5="77")+--(O5="77"),--(N5="78")+--(O5="78"),--(N5="91")+--(O5="91"),--(N5="92")+--(O5="92"),--(N5="93")+--(O5="93"),--(N5="94")+--(O5="94"),--(N5="95")+--(O5="95"))&gt;0,25,4)+IF(S5="",10,IF(S5&lt;=50000,25,IF(S5&lt;=100000,20,IF(S5&lt;=200000,5,IF(S5&lt;=500000,-10,-20)))))+IF(I5&lt;&gt;"",4,0)+IF(J5&lt;&gt;"",4,0)+IF(E5&lt;&gt;"",3,0)+IF(K5&lt;&gt;"",2,0)+IF(M5&lt;&gt;"",1,0)+IF(AD5&lt;&gt;"",1,0)+IF(R5="",0,IF(R5&lt;TODAY(),-30,IF(R5&lt;TODAY()+5,-15,IF(R5&lt;=TODAY()+15,5,10))))))</f>
        <v/>
      </c>
      <c r="AN5">
        <f>IF(AM5&gt;=65,"CHAUD",IF(AM5&gt;=40,"TIEDE","FROID"))</f>
        <v/>
      </c>
      <c r="AO5">
        <f>IF((IF(I5&lt;&gt;"",1,0)+IF(J5&lt;&gt;"",1,0)+IF(E5&lt;&gt;"",1,0)+IF(K5&lt;&gt;"",1,0))&gt;=4,"Complet",IF((IF(I5&lt;&gt;"",1,0)+IF(J5&lt;&gt;"",1,0)+IF(E5&lt;&gt;"",1,0)+IF(K5&lt;&gt;"",1,0))&gt;=2,"Partiel","Vide"))</f>
        <v/>
      </c>
      <c r="AP5">
        <f>IF(AJ5="DCE_A_TELECHARGER","Telecharger DCE",IF(T5="A_VERIFIER_BUDGET","Verifier budget",IF(AN5="CHAUD","Contacter maintenant",IF(AN5="TIEDE","Surveiller / relancer","Basse priorite"))))</f>
        <v/>
      </c>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45j</t>
        </is>
      </c>
      <c r="BC5" t="inlineStr">
        <is>
          <t>Mairie de Montreuil publie un AO potentiellement pertinent pour CHRUTH : Prestation d'écrivains publics interprètes à Montreuil. Zone : Montreuil. Budget detecte environ 93 100 EUR. Verifier le lien source avant contact.</t>
        </is>
      </c>
      <c r="BD5"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5"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2026-W30</t>
        </is>
      </c>
    </row>
    <row r="6">
      <c r="A6" t="inlineStr">
        <is>
          <t>BOAMP</t>
        </is>
      </c>
      <c r="B6" t="inlineStr">
        <is>
          <t>26-70858</t>
        </is>
      </c>
      <c r="C6" t="inlineStr">
        <is>
          <t>Nettoyage des locaux de l'EPAMSA</t>
        </is>
      </c>
      <c r="D6" t="inlineStr">
        <is>
          <t>EPAMSA</t>
        </is>
      </c>
      <c r="E6" t="inlineStr">
        <is>
          <t>41063810000033</t>
        </is>
      </c>
      <c r="F6" t="inlineStr">
        <is>
          <t>410638100</t>
        </is>
      </c>
      <c r="G6" t="inlineStr">
        <is>
          <t>Courteille</t>
        </is>
      </c>
      <c r="H6" t="inlineStr"/>
      <c r="I6" t="inlineStr">
        <is>
          <t>t.courteille@epamsa.fr</t>
        </is>
      </c>
      <c r="J6" t="inlineStr">
        <is>
          <t>0638100000</t>
        </is>
      </c>
      <c r="K6" t="inlineStr">
        <is>
          <t>Mantes-la-Jolie</t>
        </is>
      </c>
      <c r="L6" t="inlineStr">
        <is>
          <t>78200</t>
        </is>
      </c>
      <c r="M6" t="inlineStr">
        <is>
          <t>MANTES-LA-JOLIE</t>
        </is>
      </c>
      <c r="N6" t="inlineStr">
        <is>
          <t>78</t>
        </is>
      </c>
      <c r="O6" t="inlineStr"/>
      <c r="P6" t="inlineStr">
        <is>
          <t>Ile-de-France</t>
        </is>
      </c>
      <c r="Q6" s="14" t="n">
        <v>46219</v>
      </c>
      <c r="R6" s="14" t="n">
        <v>46269</v>
      </c>
      <c r="S6" s="15" t="n">
        <v>78200</v>
      </c>
      <c r="T6" t="inlineStr">
        <is>
          <t>BUDGET_SOUS_SEUIL</t>
        </is>
      </c>
      <c r="U6" t="inlineStr">
        <is>
          <t>19550</t>
        </is>
      </c>
      <c r="V6" t="inlineStr">
        <is>
          <t>oui</t>
        </is>
      </c>
      <c r="W6" t="inlineStr">
        <is>
          <t>Batiments</t>
        </is>
      </c>
      <c r="X6" t="inlineStr">
        <is>
          <t>Autre</t>
        </is>
      </c>
      <c r="Y6" t="inlineStr">
        <is>
          <t>SERVICES</t>
        </is>
      </c>
      <c r="Z6" t="inlineStr">
        <is>
          <t>Procédure Ouverte</t>
        </is>
      </c>
      <c r="AA6" t="inlineStr">
        <is>
          <t>Avis de marché</t>
        </is>
      </c>
      <c r="AB6" t="inlineStr">
        <is>
          <t>Nettoyage de locaux</t>
        </is>
      </c>
      <c r="AC6" t="inlineStr">
        <is>
          <t>['sociaux', 'environnementaux']</t>
        </is>
      </c>
      <c r="AD6" s="10" t="inlineStr">
        <is>
          <t>https://www.boamp.fr/pages/avis/?q=idweb:26-70858</t>
        </is>
      </c>
      <c r="AE6" t="inlineStr">
        <is>
          <t>https://www.marches-publics.gouv.fr/entreprise/consultation/3039334?orgAcronyme=d4t</t>
        </is>
      </c>
      <c r="AF6" t="inlineStr">
        <is>
          <t>https://www.marches-publics.gouv.fr/entreprise/consultation/3039334?orgAcronyme=d4t</t>
        </is>
      </c>
      <c r="AG6" t="inlineStr">
        <is>
          <t>nettoyage</t>
        </is>
      </c>
      <c r="AH6" t="inlineStr">
        <is>
          <t>6</t>
        </is>
      </c>
      <c r="AI6" t="inlineStr">
        <is>
          <t>98</t>
        </is>
      </c>
      <c r="AJ6" t="inlineStr">
        <is>
          <t>INFO_PARTIELLE</t>
        </is>
      </c>
      <c r="AK6" t="inlineStr">
        <is>
          <t>70</t>
        </is>
      </c>
      <c r="AL6" s="13" t="inlineStr">
        <is>
          <t>CHAUD</t>
        </is>
      </c>
      <c r="AM6">
        <f>MIN(100,MAX(0,IF(OR(ISNUMBER(SEARCH("nettoyage",C6)),ISNUMBER(SEARCH("proprete",C6)),ISNUMBER(SEARCH("entretien",C6)),ISNUMBER(SEARCH("hygiene",C6))),35,0)+IF(SUM(--(N6="75")+--(O6="75"),--(N6="77")+--(O6="77"),--(N6="78")+--(O6="78"),--(N6="91")+--(O6="91"),--(N6="92")+--(O6="92"),--(N6="93")+--(O6="93"),--(N6="94")+--(O6="94"),--(N6="95")+--(O6="95"))&gt;0,25,4)+IF(S6="",10,IF(S6&lt;=50000,25,IF(S6&lt;=100000,20,IF(S6&lt;=200000,5,IF(S6&lt;=500000,-10,-20)))))+IF(I6&lt;&gt;"",4,0)+IF(J6&lt;&gt;"",4,0)+IF(E6&lt;&gt;"",3,0)+IF(K6&lt;&gt;"",2,0)+IF(M6&lt;&gt;"",1,0)+IF(AD6&lt;&gt;"",1,0)+IF(R6="",0,IF(R6&lt;TODAY(),-30,IF(R6&lt;TODAY()+5,-15,IF(R6&lt;=TODAY()+15,5,10))))))</f>
        <v/>
      </c>
      <c r="AN6">
        <f>IF(AM6&gt;=65,"CHAUD",IF(AM6&gt;=40,"TIEDE","FROID"))</f>
        <v/>
      </c>
      <c r="AO6">
        <f>IF((IF(I6&lt;&gt;"",1,0)+IF(J6&lt;&gt;"",1,0)+IF(E6&lt;&gt;"",1,0)+IF(K6&lt;&gt;"",1,0))&gt;=4,"Complet",IF((IF(I6&lt;&gt;"",1,0)+IF(J6&lt;&gt;"",1,0)+IF(E6&lt;&gt;"",1,0)+IF(K6&lt;&gt;"",1,0))&gt;=2,"Partiel","Vide"))</f>
        <v/>
      </c>
      <c r="AP6">
        <f>IF(AJ6="DCE_A_TELECHARGER","Telecharger DCE",IF(T6="A_VERIFIER_BUDGET","Verifier budget",IF(AN6="CHAUD","Contacter maintenant",IF(AN6="TIEDE","Surveiller / relancer","Basse priorite"))))</f>
        <v/>
      </c>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6" t="inlineStr">
        <is>
          <t>Verifier url_avis et DCE si disponible</t>
        </is>
      </c>
      <c r="AV6" t="inlineStr"/>
      <c r="AW6" t="inlineStr"/>
      <c r="AX6" t="inlineStr"/>
      <c r="AY6" t="inlineStr"/>
      <c r="AZ6" t="inlineStr"/>
      <c r="BA6" t="inlineStr"/>
      <c r="BB6" t="inlineStr">
        <is>
          <t>+35 nettoyage + categorie claire | +25 budget annualise &lt;= 50 000 EUR | +10 delai confortable 38j</t>
        </is>
      </c>
      <c r="BC6" t="inlineStr">
        <is>
          <t>EPAMSA publie un AO potentiellement pertinent pour CHRUTH : Nettoyage des locaux de l'EPAMSA. Zone : MANTES-LA-JOLIE. Budget detecte environ 78 200 EUR. Verifier le lien source avant contact.</t>
        </is>
      </c>
      <c r="BD6"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6"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2026-W29</t>
        </is>
      </c>
    </row>
    <row r="7">
      <c r="A7" t="inlineStr">
        <is>
          <t>BOAMP</t>
        </is>
      </c>
      <c r="B7" t="inlineStr">
        <is>
          <t>26-70565</t>
        </is>
      </c>
      <c r="C7" t="inlineStr">
        <is>
          <t>TRAVAUX D'AMÉNAGEMENT INTÉRIEUR DU R+1 ET COMBLE DE LA FERME DURPÉ</t>
        </is>
      </c>
      <c r="D7" t="inlineStr">
        <is>
          <t>COMMUNE DE MAGNY LE HONGRE</t>
        </is>
      </c>
      <c r="E7" t="inlineStr">
        <is>
          <t>21770268700013</t>
        </is>
      </c>
      <c r="F7" t="inlineStr">
        <is>
          <t>217702687</t>
        </is>
      </c>
      <c r="G7" t="inlineStr">
        <is>
          <t>M. SOW LAMARANA</t>
        </is>
      </c>
      <c r="H7" t="inlineStr"/>
      <c r="I7" t="inlineStr">
        <is>
          <t>service-mp@magnylehongre.fr</t>
        </is>
      </c>
      <c r="J7" t="inlineStr">
        <is>
          <t>0268700013</t>
        </is>
      </c>
      <c r="K7" t="inlineStr">
        <is>
          <t>1 rue de l'Église - 77700 MAGNY LE HONGRE</t>
        </is>
      </c>
      <c r="L7" t="inlineStr">
        <is>
          <t>77700</t>
        </is>
      </c>
      <c r="M7" t="inlineStr">
        <is>
          <t>MAGNY LE HONGRE</t>
        </is>
      </c>
      <c r="N7" t="inlineStr">
        <is>
          <t>77,75,78,91</t>
        </is>
      </c>
      <c r="O7" t="inlineStr"/>
      <c r="P7" t="inlineStr">
        <is>
          <t>Ile-de-France</t>
        </is>
      </c>
      <c r="Q7" s="14" t="n">
        <v>46218</v>
      </c>
      <c r="R7" s="14" t="n">
        <v>46275</v>
      </c>
      <c r="S7" s="15" t="n">
        <v>77700</v>
      </c>
      <c r="T7" t="inlineStr">
        <is>
          <t>BUDGET_SOUS_SEUIL</t>
        </is>
      </c>
      <c r="U7" t="inlineStr">
        <is>
          <t>77700.0</t>
        </is>
      </c>
      <c r="V7" t="inlineStr">
        <is>
          <t>non</t>
        </is>
      </c>
      <c r="W7" t="inlineStr">
        <is>
          <t>Mixte/Autre</t>
        </is>
      </c>
      <c r="X7" t="inlineStr">
        <is>
          <t>Mairie</t>
        </is>
      </c>
      <c r="Y7" t="inlineStr">
        <is>
          <t>TRAVAUX</t>
        </is>
      </c>
      <c r="Z7" t="inlineStr">
        <is>
          <t>Procédure Ouverte</t>
        </is>
      </c>
      <c r="AA7" t="inlineStr">
        <is>
          <t>Avis de marché</t>
        </is>
      </c>
      <c r="AB7" t="inlineStr">
        <is>
          <t>Plomberie (travaux), Peinture (travaux), Electricité (travaux)</t>
        </is>
      </c>
      <c r="AC7" t="inlineStr">
        <is>
          <t>['environnementaux']</t>
        </is>
      </c>
      <c r="AD7" s="10" t="inlineStr">
        <is>
          <t>https://www.boamp.fr/pages/avis/?q=idweb:26-70565</t>
        </is>
      </c>
      <c r="AE7" t="inlineStr">
        <is>
          <t>https://marches.maximilien.fr/?page=Entreprise.EntrepriseAdvancedSearch&amp;AllCons&amp;id=942965&amp;orgAcronyme=a4d</t>
        </is>
      </c>
      <c r="AF7" t="inlineStr">
        <is>
          <t>https://marches.maximilien.fr/?page=Entreprise.EntrepriseAdvancedSearch&amp;AllCons&amp;id=942965&amp;orgAcronyme=a4d</t>
        </is>
      </c>
      <c r="AG7" t="inlineStr">
        <is>
          <t>nettoyage</t>
        </is>
      </c>
      <c r="AH7" t="inlineStr">
        <is>
          <t>6</t>
        </is>
      </c>
      <c r="AI7" t="inlineStr">
        <is>
          <t>98</t>
        </is>
      </c>
      <c r="AJ7" t="inlineStr">
        <is>
          <t>INFO_PARTIELLE</t>
        </is>
      </c>
      <c r="AK7" t="inlineStr">
        <is>
          <t>70</t>
        </is>
      </c>
      <c r="AL7" s="13" t="inlineStr">
        <is>
          <t>CHAUD</t>
        </is>
      </c>
      <c r="AM7">
        <f>MIN(100,MAX(0,IF(OR(ISNUMBER(SEARCH("nettoyage",C7)),ISNUMBER(SEARCH("proprete",C7)),ISNUMBER(SEARCH("entretien",C7)),ISNUMBER(SEARCH("hygiene",C7))),35,0)+IF(SUM(--(N7="75")+--(O7="75"),--(N7="77")+--(O7="77"),--(N7="78")+--(O7="78"),--(N7="91")+--(O7="91"),--(N7="92")+--(O7="92"),--(N7="93")+--(O7="93"),--(N7="94")+--(O7="94"),--(N7="95")+--(O7="95"))&gt;0,25,4)+IF(S7="",10,IF(S7&lt;=50000,25,IF(S7&lt;=100000,20,IF(S7&lt;=200000,5,IF(S7&lt;=500000,-10,-20)))))+IF(I7&lt;&gt;"",4,0)+IF(J7&lt;&gt;"",4,0)+IF(E7&lt;&gt;"",3,0)+IF(K7&lt;&gt;"",2,0)+IF(M7&lt;&gt;"",1,0)+IF(AD7&lt;&gt;"",1,0)+IF(R7="",0,IF(R7&lt;TODAY(),-30,IF(R7&lt;TODAY()+5,-15,IF(R7&lt;=TODAY()+15,5,10))))))</f>
        <v/>
      </c>
      <c r="AN7">
        <f>IF(AM7&gt;=65,"CHAUD",IF(AM7&gt;=40,"TIEDE","FROID"))</f>
        <v/>
      </c>
      <c r="AO7">
        <f>IF((IF(I7&lt;&gt;"",1,0)+IF(J7&lt;&gt;"",1,0)+IF(E7&lt;&gt;"",1,0)+IF(K7&lt;&gt;"",1,0))&gt;=4,"Complet",IF((IF(I7&lt;&gt;"",1,0)+IF(J7&lt;&gt;"",1,0)+IF(E7&lt;&gt;"",1,0)+IF(K7&lt;&gt;"",1,0))&gt;=2,"Partiel","Vide"))</f>
        <v/>
      </c>
      <c r="AP7">
        <f>IF(AJ7="DCE_A_TELECHARGER","Telecharger DCE",IF(T7="A_VERIFIER_BUDGET","Verifier budget",IF(AN7="CHAUD","Contacter maintenant",IF(AN7="TIEDE","Surveiller / relancer","Basse priorite"))))</f>
        <v/>
      </c>
      <c r="AQ7" t="inlineStr">
        <is>
          <t>IA_CONTROLE_SOURCE</t>
        </is>
      </c>
      <c r="AR7" t="inlineStr">
        <is>
          <t>Verifier rapidement la source avant contact.</t>
        </is>
      </c>
      <c r="AS7" t="inlineStr">
        <is>
          <t>Aucun champ critique manquant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7" t="inlineStr">
        <is>
          <t>Verifier url_avis et DCE si disponible</t>
        </is>
      </c>
      <c r="AV7" t="inlineStr"/>
      <c r="AW7" t="inlineStr"/>
      <c r="AX7" t="inlineStr"/>
      <c r="AY7" t="inlineStr"/>
      <c r="AZ7" t="inlineStr"/>
      <c r="BA7" t="inlineStr"/>
      <c r="BB7" t="inlineStr">
        <is>
          <t>+30 mots-cles nettoyage forts | +20 budget annualise &lt;= 100 000 EUR | +10 secteur cible Mairie | +10 delai confortable 44j</t>
        </is>
      </c>
      <c r="BC7" t="inlineStr">
        <is>
          <t>COMMUNE DE MAGNY LE HONGRE publie un AO potentiellement pertinent pour CHRUTH : TRAVAUX D'AMÉNAGEMENT INTÉRIEUR DU R+1 ET COMBLE DE LA FERME DURPÉ. Zone : MAGNY LE HONGRE. Budget detecte environ 77 700 EUR. Verifier le lien source avant contact.</t>
        </is>
      </c>
      <c r="BD7"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7"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2026-W29</t>
        </is>
      </c>
    </row>
    <row r="8">
      <c r="A8" t="inlineStr">
        <is>
          <t>BOAMP</t>
        </is>
      </c>
      <c r="B8" t="inlineStr">
        <is>
          <t>26-72708</t>
        </is>
      </c>
      <c r="C8" t="inlineStr">
        <is>
          <t>Entretien ménager des locaux des sites mégalithiques de Carnac et Locmariaquer</t>
        </is>
      </c>
      <c r="D8" t="inlineStr">
        <is>
          <t>Centre Monuments Nationaux</t>
        </is>
      </c>
      <c r="E8" t="inlineStr">
        <is>
          <t>18004601300017</t>
        </is>
      </c>
      <c r="F8" t="inlineStr">
        <is>
          <t>180046013</t>
        </is>
      </c>
      <c r="G8" t="inlineStr"/>
      <c r="H8" t="inlineStr"/>
      <c r="I8" t="inlineStr">
        <is>
          <t>marches-publics@monuments-nationaux.fr</t>
        </is>
      </c>
      <c r="J8" t="inlineStr">
        <is>
          <t>0460130001</t>
        </is>
      </c>
      <c r="K8" t="inlineStr"/>
      <c r="L8" t="inlineStr"/>
      <c r="M8" t="inlineStr"/>
      <c r="N8" t="inlineStr">
        <is>
          <t>75,56</t>
        </is>
      </c>
      <c r="O8" t="inlineStr"/>
      <c r="P8" t="inlineStr">
        <is>
          <t>Ile-de-France</t>
        </is>
      </c>
      <c r="Q8" s="14" t="n">
        <v>46226</v>
      </c>
      <c r="R8" s="14" t="n">
        <v>46276</v>
      </c>
      <c r="S8" s="15" t="n">
        <v>60000</v>
      </c>
      <c r="T8" t="inlineStr">
        <is>
          <t>BUDGET_SOUS_SEUIL</t>
        </is>
      </c>
      <c r="U8" t="inlineStr">
        <is>
          <t>60000.0</t>
        </is>
      </c>
      <c r="V8" t="inlineStr">
        <is>
          <t>non</t>
        </is>
      </c>
      <c r="W8" t="inlineStr">
        <is>
          <t>Batiments</t>
        </is>
      </c>
      <c r="X8" t="inlineStr">
        <is>
          <t>Autre</t>
        </is>
      </c>
      <c r="Y8" t="inlineStr">
        <is>
          <t>SERVICES</t>
        </is>
      </c>
      <c r="Z8" t="inlineStr">
        <is>
          <t>Procédure Ouverte</t>
        </is>
      </c>
      <c r="AA8" t="inlineStr">
        <is>
          <t>Avis de marché</t>
        </is>
      </c>
      <c r="AB8" t="inlineStr">
        <is>
          <t>Nettoyage de locaux, Monuments historiques</t>
        </is>
      </c>
      <c r="AC8" t="inlineStr"/>
      <c r="AD8" s="10" t="inlineStr">
        <is>
          <t>https://www.boamp.fr/pages/avis/?q=idweb:26-72708</t>
        </is>
      </c>
      <c r="AE8" t="inlineStr">
        <is>
          <t>https://www.marches-publics.gouv.fr/entreprise</t>
        </is>
      </c>
      <c r="AF8" t="inlineStr">
        <is>
          <t>https://www.marches-publics.gouv.fr/entreprise</t>
        </is>
      </c>
      <c r="AG8" t="inlineStr">
        <is>
          <t>nettoyage, entretien menager</t>
        </is>
      </c>
      <c r="AH8" t="inlineStr">
        <is>
          <t>3</t>
        </is>
      </c>
      <c r="AI8" t="inlineStr">
        <is>
          <t>72</t>
        </is>
      </c>
      <c r="AJ8" t="inlineStr">
        <is>
          <t>INFO_PARTIELLE</t>
        </is>
      </c>
      <c r="AK8" t="inlineStr">
        <is>
          <t>65</t>
        </is>
      </c>
      <c r="AL8" s="13" t="inlineStr">
        <is>
          <t>CHAUD</t>
        </is>
      </c>
      <c r="AM8">
        <f>MIN(100,MAX(0,IF(OR(ISNUMBER(SEARCH("nettoyage",C8)),ISNUMBER(SEARCH("proprete",C8)),ISNUMBER(SEARCH("entretien",C8)),ISNUMBER(SEARCH("hygiene",C8))),35,0)+IF(SUM(--(N8="75")+--(O8="75"),--(N8="77")+--(O8="77"),--(N8="78")+--(O8="78"),--(N8="91")+--(O8="91"),--(N8="92")+--(O8="92"),--(N8="93")+--(O8="93"),--(N8="94")+--(O8="94"),--(N8="95")+--(O8="95"))&gt;0,25,4)+IF(S8="",10,IF(S8&lt;=50000,25,IF(S8&lt;=100000,20,IF(S8&lt;=200000,5,IF(S8&lt;=500000,-10,-20)))))+IF(I8&lt;&gt;"",4,0)+IF(J8&lt;&gt;"",4,0)+IF(E8&lt;&gt;"",3,0)+IF(K8&lt;&gt;"",2,0)+IF(M8&lt;&gt;"",1,0)+IF(AD8&lt;&gt;"",1,0)+IF(R8="",0,IF(R8&lt;TODAY(),-30,IF(R8&lt;TODAY()+5,-15,IF(R8&lt;=TODAY()+15,5,10))))))</f>
        <v/>
      </c>
      <c r="AN8">
        <f>IF(AM8&gt;=65,"CHAUD",IF(AM8&gt;=40,"TIEDE","FROID"))</f>
        <v/>
      </c>
      <c r="AO8">
        <f>IF((IF(I8&lt;&gt;"",1,0)+IF(J8&lt;&gt;"",1,0)+IF(E8&lt;&gt;"",1,0)+IF(K8&lt;&gt;"",1,0))&gt;=4,"Complet",IF((IF(I8&lt;&gt;"",1,0)+IF(J8&lt;&gt;"",1,0)+IF(E8&lt;&gt;"",1,0)+IF(K8&lt;&gt;"",1,0))&gt;=2,"Partiel","Vide"))</f>
        <v/>
      </c>
      <c r="AP8">
        <f>IF(AJ8="DCE_A_TELECHARGER","Telecharger DCE",IF(T8="A_VERIFIER_BUDGET","Verifier budget",IF(AN8="CHAUD","Contacter maintenant",IF(AN8="TIEDE","Surveiller / relancer","Basse priorite"))))</f>
        <v/>
      </c>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8" t="inlineStr">
        <is>
          <t>Verifier url_avis et DCE si disponible</t>
        </is>
      </c>
      <c r="AV8" t="inlineStr"/>
      <c r="AW8" t="inlineStr"/>
      <c r="AX8" t="inlineStr"/>
      <c r="AY8" t="inlineStr"/>
      <c r="AZ8" t="inlineStr"/>
      <c r="BA8" t="inlineStr"/>
      <c r="BB8" t="inlineStr">
        <is>
          <t>+35 nettoyage + categorie claire | +20 budget annualise &lt;= 100 000 EUR | +10 delai confortable 45j</t>
        </is>
      </c>
      <c r="BC8" t="inlineStr">
        <is>
          <t>Centre Monuments Nationaux publie un AO potentiellement pertinent pour CHRUTH : Entretien ménager des locaux des sites mégalithiques de Carnac et Locmariaquer. Zone : 75,56. Budget detecte environ 60 000 EUR. Verifier le lien source avant contact.</t>
        </is>
      </c>
      <c r="BD8"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8"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26-71675</t>
        </is>
      </c>
      <c r="C9" t="inlineStr">
        <is>
          <t>Décontamination, dépoussiérage et reconditionnement des réserves documentaires n°2 et 3 du Château de Sceaux</t>
        </is>
      </c>
      <c r="D9" t="inlineStr">
        <is>
          <t>Département des Hauts-de-Seine</t>
        </is>
      </c>
      <c r="E9" t="inlineStr">
        <is>
          <t>22920050600611</t>
        </is>
      </c>
      <c r="F9" t="inlineStr">
        <is>
          <t>229200506</t>
        </is>
      </c>
      <c r="G9" t="inlineStr">
        <is>
          <t>cellulecontact.achats@hauts-de-seine.fr</t>
        </is>
      </c>
      <c r="H9" t="inlineStr"/>
      <c r="I9" t="inlineStr">
        <is>
          <t>cellulecontact.achats@hauts-de-seine.fr</t>
        </is>
      </c>
      <c r="J9" t="inlineStr">
        <is>
          <t>+33 806000092</t>
        </is>
      </c>
      <c r="K9" t="inlineStr">
        <is>
          <t>Château de Sceaux 92330 - SCEAUX</t>
        </is>
      </c>
      <c r="L9" t="inlineStr">
        <is>
          <t>92000</t>
        </is>
      </c>
      <c r="M9" t="inlineStr">
        <is>
          <t>NANTERRE</t>
        </is>
      </c>
      <c r="N9" t="inlineStr">
        <is>
          <t>92</t>
        </is>
      </c>
      <c r="O9" t="inlineStr"/>
      <c r="P9" t="inlineStr">
        <is>
          <t>Ile-de-France</t>
        </is>
      </c>
      <c r="Q9" s="14" t="n">
        <v>46220</v>
      </c>
      <c r="R9" s="14" t="n">
        <v>46276</v>
      </c>
      <c r="S9" s="15" t="n">
        <v>92000</v>
      </c>
      <c r="T9" t="inlineStr">
        <is>
          <t>BUDGET_SOUS_SEUIL</t>
        </is>
      </c>
      <c r="U9" t="inlineStr">
        <is>
          <t>92000.0</t>
        </is>
      </c>
      <c r="V9" t="inlineStr">
        <is>
          <t>non</t>
        </is>
      </c>
      <c r="W9" t="inlineStr">
        <is>
          <t>Batiments</t>
        </is>
      </c>
      <c r="X9" t="inlineStr">
        <is>
          <t>Autre</t>
        </is>
      </c>
      <c r="Y9" t="inlineStr">
        <is>
          <t>SERVICES</t>
        </is>
      </c>
      <c r="Z9" t="inlineStr">
        <is>
          <t>Procédure Ouverte</t>
        </is>
      </c>
      <c r="AA9" t="inlineStr">
        <is>
          <t>Avis de marché</t>
        </is>
      </c>
      <c r="AB9" t="inlineStr">
        <is>
          <t>Prestations de services</t>
        </is>
      </c>
      <c r="AC9" t="inlineStr">
        <is>
          <t>['environnementaux']</t>
        </is>
      </c>
      <c r="AD9" s="10" t="inlineStr">
        <is>
          <t>https://www.boamp.fr/pages/avis/?q=idweb:26-71675</t>
        </is>
      </c>
      <c r="AE9" t="inlineStr">
        <is>
          <t>https://www.marches-publics.info/mpiaws/index.cfm?fuseaction=dematent.login&amp;type=Dce&amp;Idm=1851815</t>
        </is>
      </c>
      <c r="AF9" t="inlineStr">
        <is>
          <t>https://www.marches-publics.info/mpiaws/index.cfm?fuseaction=dematent.login&amp;type=Dce&amp;Idm=1851815</t>
        </is>
      </c>
      <c r="AG9" t="inlineStr">
        <is>
          <t>nettoyage</t>
        </is>
      </c>
      <c r="AH9" t="inlineStr">
        <is>
          <t>6</t>
        </is>
      </c>
      <c r="AI9" t="inlineStr">
        <is>
          <t>98</t>
        </is>
      </c>
      <c r="AJ9" t="inlineStr">
        <is>
          <t>INFO_PARTIELLE</t>
        </is>
      </c>
      <c r="AK9" t="inlineStr">
        <is>
          <t>65</t>
        </is>
      </c>
      <c r="AL9" s="13" t="inlineStr">
        <is>
          <t>CHAUD</t>
        </is>
      </c>
      <c r="AM9">
        <f>MIN(100,MAX(0,IF(OR(ISNUMBER(SEARCH("nettoyage",C9)),ISNUMBER(SEARCH("proprete",C9)),ISNUMBER(SEARCH("entretien",C9)),ISNUMBER(SEARCH("hygiene",C9))),35,0)+IF(SUM(--(N9="75")+--(O9="75"),--(N9="77")+--(O9="77"),--(N9="78")+--(O9="78"),--(N9="91")+--(O9="91"),--(N9="92")+--(O9="92"),--(N9="93")+--(O9="93"),--(N9="94")+--(O9="94"),--(N9="95")+--(O9="95"))&gt;0,25,4)+IF(S9="",10,IF(S9&lt;=50000,25,IF(S9&lt;=100000,20,IF(S9&lt;=200000,5,IF(S9&lt;=500000,-10,-20)))))+IF(I9&lt;&gt;"",4,0)+IF(J9&lt;&gt;"",4,0)+IF(E9&lt;&gt;"",3,0)+IF(K9&lt;&gt;"",2,0)+IF(M9&lt;&gt;"",1,0)+IF(AD9&lt;&gt;"",1,0)+IF(R9="",0,IF(R9&lt;TODAY(),-30,IF(R9&lt;TODAY()+5,-15,IF(R9&lt;=TODAY()+15,5,10))))))</f>
        <v/>
      </c>
      <c r="AN9">
        <f>IF(AM9&gt;=65,"CHAUD",IF(AM9&gt;=40,"TIEDE","FROID"))</f>
        <v/>
      </c>
      <c r="AO9">
        <f>IF((IF(I9&lt;&gt;"",1,0)+IF(J9&lt;&gt;"",1,0)+IF(E9&lt;&gt;"",1,0)+IF(K9&lt;&gt;"",1,0))&gt;=4,"Complet",IF((IF(I9&lt;&gt;"",1,0)+IF(J9&lt;&gt;"",1,0)+IF(E9&lt;&gt;"",1,0)+IF(K9&lt;&gt;"",1,0))&gt;=2,"Partiel","Vide"))</f>
        <v/>
      </c>
      <c r="AP9">
        <f>IF(AJ9="DCE_A_TELECHARGER","Telecharger DCE",IF(T9="A_VERIFIER_BUDGET","Verifier budget",IF(AN9="CHAUD","Contacter maintenant",IF(AN9="TIEDE","Surveiller / relancer","Basse priorite"))))</f>
        <v/>
      </c>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9" t="inlineStr">
        <is>
          <t>Verifier url_avis et DCE si disponible</t>
        </is>
      </c>
      <c r="AV9" t="inlineStr"/>
      <c r="AW9" t="inlineStr"/>
      <c r="AX9" t="inlineStr"/>
      <c r="AY9" t="inlineStr"/>
      <c r="AZ9" t="inlineStr"/>
      <c r="BA9" t="inlineStr"/>
      <c r="BB9" t="inlineStr">
        <is>
          <t>+35 nettoyage + categorie claire | +20 budget annualise &lt;= 100 000 EUR | +10 delai confortable 45j</t>
        </is>
      </c>
      <c r="BC9"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9"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9"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26-71198</t>
        </is>
      </c>
      <c r="C10" t="inlineStr">
        <is>
          <t>CONCESSION DE SERVICE PUBLIC 
PORTANT SUR LA GESTION ET L'EXPLOITATION DES MARCHES FORAINS DE LA VILLE DE MONTROUGE</t>
        </is>
      </c>
      <c r="D10" t="inlineStr">
        <is>
          <t>Ville de Montrouge</t>
        </is>
      </c>
      <c r="E10" t="inlineStr"/>
      <c r="F10" t="inlineStr"/>
      <c r="G10" t="inlineStr">
        <is>
          <t>Le Bassard</t>
        </is>
      </c>
      <c r="H10" t="inlineStr"/>
      <c r="I10" t="inlineStr">
        <is>
          <t>marches@ville-montrouge.fr</t>
        </is>
      </c>
      <c r="J10" t="inlineStr">
        <is>
          <t>0146127303</t>
        </is>
      </c>
      <c r="K10" t="inlineStr"/>
      <c r="L10" t="inlineStr">
        <is>
          <t>92121</t>
        </is>
      </c>
      <c r="M10" t="inlineStr">
        <is>
          <t>Montrouge cedex</t>
        </is>
      </c>
      <c r="N10" t="inlineStr">
        <is>
          <t>92,75</t>
        </is>
      </c>
      <c r="O10" t="inlineStr"/>
      <c r="P10" t="inlineStr">
        <is>
          <t>Ile-de-France</t>
        </is>
      </c>
      <c r="Q10" s="14" t="n">
        <v>46219</v>
      </c>
      <c r="R10" s="14" t="n">
        <v>46295</v>
      </c>
      <c r="S10" t="inlineStr"/>
      <c r="T10" t="inlineStr">
        <is>
          <t>A_VERIFIER_BUDGET</t>
        </is>
      </c>
      <c r="U10" t="inlineStr"/>
      <c r="V10" t="inlineStr">
        <is>
          <t>non</t>
        </is>
      </c>
      <c r="W10" t="inlineStr">
        <is>
          <t>Batiments</t>
        </is>
      </c>
      <c r="X10" t="inlineStr">
        <is>
          <t>Mairie</t>
        </is>
      </c>
      <c r="Y10" t="inlineStr">
        <is>
          <t>SERVICES</t>
        </is>
      </c>
      <c r="Z10" t="inlineStr">
        <is>
          <t>Procédure NC</t>
        </is>
      </c>
      <c r="AA10" t="inlineStr">
        <is>
          <t>Avis de marché</t>
        </is>
      </c>
      <c r="AB10" t="inlineStr">
        <is>
          <t>Denrées alimentaires</t>
        </is>
      </c>
      <c r="AC10" t="inlineStr">
        <is>
          <t>['sociaux', 'environnementaux']</t>
        </is>
      </c>
      <c r="AD10" s="10" t="inlineStr">
        <is>
          <t>https://www.boamp.fr/pages/avis/?q=idweb:26-71198</t>
        </is>
      </c>
      <c r="AE10" t="inlineStr">
        <is>
          <t>https://www.achatpublic.com/sdm/ent2/gen/index.jsp</t>
        </is>
      </c>
      <c r="AF10" t="inlineStr">
        <is>
          <t>https://www.achatpublic.com/sdm/ent2/gen/index.jsp</t>
        </is>
      </c>
      <c r="AG10" t="inlineStr">
        <is>
          <t>nettoyage, proprete</t>
        </is>
      </c>
      <c r="AH10" t="inlineStr">
        <is>
          <t>4</t>
        </is>
      </c>
      <c r="AI10" t="inlineStr">
        <is>
          <t>86</t>
        </is>
      </c>
      <c r="AJ10" t="inlineStr">
        <is>
          <t>INFO_PARTIELLE</t>
        </is>
      </c>
      <c r="AK10" t="inlineStr">
        <is>
          <t>65</t>
        </is>
      </c>
      <c r="AL10" s="13" t="inlineStr">
        <is>
          <t>CHAUD</t>
        </is>
      </c>
      <c r="AM10">
        <f>MIN(100,MAX(0,IF(OR(ISNUMBER(SEARCH("nettoyage",C10)),ISNUMBER(SEARCH("proprete",C10)),ISNUMBER(SEARCH("entretien",C10)),ISNUMBER(SEARCH("hygiene",C10))),35,0)+IF(SUM(--(N10="75")+--(O10="75"),--(N10="77")+--(O10="77"),--(N10="78")+--(O10="78"),--(N10="91")+--(O10="91"),--(N10="92")+--(O10="92"),--(N10="93")+--(O10="93"),--(N10="94")+--(O10="94"),--(N10="95")+--(O10="95"))&gt;0,25,4)+IF(S10="",10,IF(S10&lt;=50000,25,IF(S10&lt;=100000,20,IF(S10&lt;=200000,5,IF(S10&lt;=500000,-10,-20)))))+IF(I10&lt;&gt;"",4,0)+IF(J10&lt;&gt;"",4,0)+IF(E10&lt;&gt;"",3,0)+IF(K10&lt;&gt;"",2,0)+IF(M10&lt;&gt;"",1,0)+IF(AD10&lt;&gt;"",1,0)+IF(R10="",0,IF(R10&lt;TODAY(),-30,IF(R10&lt;TODAY()+5,-15,IF(R10&lt;=TODAY()+15,5,10))))))</f>
        <v/>
      </c>
      <c r="AN10">
        <f>IF(AM10&gt;=65,"CHAUD",IF(AM10&gt;=40,"TIEDE","FROID"))</f>
        <v/>
      </c>
      <c r="AO10">
        <f>IF((IF(I10&lt;&gt;"",1,0)+IF(J10&lt;&gt;"",1,0)+IF(E10&lt;&gt;"",1,0)+IF(K10&lt;&gt;"",1,0))&gt;=4,"Complet",IF((IF(I10&lt;&gt;"",1,0)+IF(J10&lt;&gt;"",1,0)+IF(E10&lt;&gt;"",1,0)+IF(K10&lt;&gt;"",1,0))&gt;=2,"Partiel","Vide"))</f>
        <v/>
      </c>
      <c r="AP10">
        <f>IF(AJ10="DCE_A_TELECHARGER","Telecharger DCE",IF(T10="A_VERIFIER_BUDGET","Verifier budget",IF(AN10="CHAUD","Contacter maintenant",IF(AN10="TIEDE","Surveiller / relancer","Basse priorite"))))</f>
        <v/>
      </c>
      <c r="AQ10" t="inlineStr">
        <is>
          <t>IA_BUDGET_A_VERIFIER</t>
        </is>
      </c>
      <c r="AR10" t="inlineStr">
        <is>
          <t>Verifier le budget dans l'avis source ou le DCE avant decision commerciale.</t>
        </is>
      </c>
      <c r="AS10" t="inlineStr">
        <is>
          <t>SIRET, adresse,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64j</t>
        </is>
      </c>
      <c r="BC10"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10"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10"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2026-W29</t>
        </is>
      </c>
    </row>
    <row r="11">
      <c r="A11" t="inlineStr">
        <is>
          <t>BOAMP</t>
        </is>
      </c>
      <c r="B11" t="inlineStr">
        <is>
          <t>26-72948</t>
        </is>
      </c>
      <c r="C11" t="inlineStr">
        <is>
          <t>26MF026 - Fourniture d'appareils ménagers et d'équipements professionnels</t>
        </is>
      </c>
      <c r="D11" t="inlineStr">
        <is>
          <t>Ville de Plaisir</t>
        </is>
      </c>
      <c r="E11" t="inlineStr">
        <is>
          <t>21780490500016</t>
        </is>
      </c>
      <c r="F11" t="inlineStr">
        <is>
          <t>217804905</t>
        </is>
      </c>
      <c r="G11" t="inlineStr"/>
      <c r="H11" t="inlineStr"/>
      <c r="I11" t="inlineStr">
        <is>
          <t>vermuseau-ma@ville-plaisir.fr</t>
        </is>
      </c>
      <c r="J11" t="inlineStr">
        <is>
          <t>0490500016</t>
        </is>
      </c>
      <c r="K11" t="inlineStr"/>
      <c r="L11" t="inlineStr"/>
      <c r="M11" t="inlineStr"/>
      <c r="N11" t="inlineStr">
        <is>
          <t>78</t>
        </is>
      </c>
      <c r="O11" t="inlineStr"/>
      <c r="P11" t="inlineStr">
        <is>
          <t>Ile-de-France</t>
        </is>
      </c>
      <c r="Q11" s="14" t="n">
        <v>46226</v>
      </c>
      <c r="R11" s="14" t="n">
        <v>46261</v>
      </c>
      <c r="S11" t="inlineStr"/>
      <c r="T11" t="inlineStr">
        <is>
          <t>A_VERIFIER_BUDGET</t>
        </is>
      </c>
      <c r="U11" t="inlineStr"/>
      <c r="V11" t="inlineStr">
        <is>
          <t>non</t>
        </is>
      </c>
      <c r="W11" t="inlineStr">
        <is>
          <t>Mixte/Autre</t>
        </is>
      </c>
      <c r="X11" t="inlineStr">
        <is>
          <t>Mairie</t>
        </is>
      </c>
      <c r="Y11" t="inlineStr">
        <is>
          <t>FOURNITURES</t>
        </is>
      </c>
      <c r="Z11" t="inlineStr">
        <is>
          <t>Procédure Ouverte</t>
        </is>
      </c>
      <c r="AA11" t="inlineStr">
        <is>
          <t>Avis de marché</t>
        </is>
      </c>
      <c r="AB11" t="inlineStr">
        <is>
          <t>Electroménager</t>
        </is>
      </c>
      <c r="AC11" t="inlineStr"/>
      <c r="AD11" s="10" t="inlineStr">
        <is>
          <t>https://www.boamp.fr/pages/avis/?q=idweb:26-72948</t>
        </is>
      </c>
      <c r="AE11" t="inlineStr">
        <is>
          <t>https://ville-plaisir.e-marches-publics.com</t>
        </is>
      </c>
      <c r="AF11" t="inlineStr"/>
      <c r="AG11" t="inlineStr">
        <is>
          <t>nettoyage</t>
        </is>
      </c>
      <c r="AH11" t="inlineStr">
        <is>
          <t>3</t>
        </is>
      </c>
      <c r="AI11" t="inlineStr">
        <is>
          <t>68</t>
        </is>
      </c>
      <c r="AJ11" t="inlineStr">
        <is>
          <t>INFO_PARTIELLE</t>
        </is>
      </c>
      <c r="AK11" t="inlineStr">
        <is>
          <t>60</t>
        </is>
      </c>
      <c r="AL11" t="inlineStr">
        <is>
          <t>TIEDE</t>
        </is>
      </c>
      <c r="AM11">
        <f>MIN(100,MAX(0,IF(OR(ISNUMBER(SEARCH("nettoyage",C11)),ISNUMBER(SEARCH("proprete",C11)),ISNUMBER(SEARCH("entretien",C11)),ISNUMBER(SEARCH("hygiene",C11))),35,0)+IF(SUM(--(N11="75")+--(O11="75"),--(N11="77")+--(O11="77"),--(N11="78")+--(O11="78"),--(N11="91")+--(O11="91"),--(N11="92")+--(O11="92"),--(N11="93")+--(O11="93"),--(N11="94")+--(O11="94"),--(N11="95")+--(O11="95"))&gt;0,25,4)+IF(S11="",10,IF(S11&lt;=50000,25,IF(S11&lt;=100000,20,IF(S11&lt;=200000,5,IF(S11&lt;=500000,-10,-20)))))+IF(I11&lt;&gt;"",4,0)+IF(J11&lt;&gt;"",4,0)+IF(E11&lt;&gt;"",3,0)+IF(K11&lt;&gt;"",2,0)+IF(M11&lt;&gt;"",1,0)+IF(AD11&lt;&gt;"",1,0)+IF(R11="",0,IF(R11&lt;TODAY(),-30,IF(R11&lt;TODAY()+5,-15,IF(R11&lt;=TODAY()+15,5,10))))))</f>
        <v/>
      </c>
      <c r="AN11">
        <f>IF(AM11&gt;=65,"CHAUD",IF(AM11&gt;=40,"TIEDE","FROID"))</f>
        <v/>
      </c>
      <c r="AO11">
        <f>IF((IF(I11&lt;&gt;"",1,0)+IF(J11&lt;&gt;"",1,0)+IF(E11&lt;&gt;"",1,0)+IF(K11&lt;&gt;"",1,0))&gt;=4,"Complet",IF((IF(I11&lt;&gt;"",1,0)+IF(J11&lt;&gt;"",1,0)+IF(E11&lt;&gt;"",1,0)+IF(K11&lt;&gt;"",1,0))&gt;=2,"Partiel","Vide"))</f>
        <v/>
      </c>
      <c r="AP11">
        <f>IF(AJ11="DCE_A_TELECHARGER","Telecharger DCE",IF(T11="A_VERIFIER_BUDGET","Verifier budget",IF(AN11="CHAUD","Contacter maintenant",IF(AN11="TIEDE","Surveiller / relancer","Basse priorite"))))</f>
        <v/>
      </c>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11" t="inlineStr">
        <is>
          <t>Verifier url_avis et DCE si disponible</t>
        </is>
      </c>
      <c r="AV11" t="inlineStr">
        <is>
          <t>LIEN_SEUL</t>
        </is>
      </c>
      <c r="AW11" t="inlineStr"/>
      <c r="AX11" t="inlineStr"/>
      <c r="AY11" t="inlineStr"/>
      <c r="AZ11" t="inlineStr"/>
      <c r="BA11" t="inlineStr"/>
      <c r="BB11" t="inlineStr">
        <is>
          <t>+30 mots-cles nettoyage forts | +10 budget non affiche (a verifier) | +10 secteur cible Mairie | +10 delai confortable 30j</t>
        </is>
      </c>
      <c r="BC11" t="inlineStr">
        <is>
          <t>Ville de Plaisir publie un AO potentiellement pertinent pour CHRUTH : 26MF026 - Fourniture d'appareils ménagers et d'équipements professionnels. Zone : 78. Budget a verifier. Verifier le lien source avant contact.</t>
        </is>
      </c>
      <c r="BD11"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11"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2026-W30</t>
        </is>
      </c>
    </row>
    <row r="12">
      <c r="A12" t="inlineStr">
        <is>
          <t>BOAMP</t>
        </is>
      </c>
      <c r="B12" t="inlineStr">
        <is>
          <t>26-71986</t>
        </is>
      </c>
      <c r="C12" t="inlineStr">
        <is>
          <t>Nettoyage des locaux communaux et des vitreries des bâtiments communaux</t>
        </is>
      </c>
      <c r="D12" t="inlineStr">
        <is>
          <t>Ville de Fontenay-aux-Roses</t>
        </is>
      </c>
      <c r="E12" t="inlineStr"/>
      <c r="F12" t="inlineStr"/>
      <c r="G12" t="inlineStr"/>
      <c r="H12" t="inlineStr"/>
      <c r="I12" t="inlineStr">
        <is>
          <t>publications-joue@aws-france.com</t>
        </is>
      </c>
      <c r="J12" t="inlineStr">
        <is>
          <t>+33480041260</t>
        </is>
      </c>
      <c r="K12" t="inlineStr"/>
      <c r="L12" t="inlineStr"/>
      <c r="M12" t="inlineStr"/>
      <c r="N12" t="inlineStr">
        <is>
          <t>92</t>
        </is>
      </c>
      <c r="O12" t="inlineStr"/>
      <c r="P12" t="inlineStr">
        <is>
          <t>Ile-de-France</t>
        </is>
      </c>
      <c r="Q12" s="14" t="n">
        <v>46224</v>
      </c>
      <c r="R12" s="14" t="n">
        <v>46240</v>
      </c>
      <c r="S12" t="inlineStr"/>
      <c r="T12" t="inlineStr">
        <is>
          <t>A_VERIFIER_BUDGET</t>
        </is>
      </c>
      <c r="U12" t="inlineStr"/>
      <c r="V12" t="inlineStr">
        <is>
          <t>non</t>
        </is>
      </c>
      <c r="W12" t="inlineStr">
        <is>
          <t>Vitres</t>
        </is>
      </c>
      <c r="X12" t="inlineStr">
        <is>
          <t>Mairie</t>
        </is>
      </c>
      <c r="Y12" t="inlineStr">
        <is>
          <t>SERVICES</t>
        </is>
      </c>
      <c r="Z12" t="inlineStr">
        <is>
          <t>Procédure Ouverte</t>
        </is>
      </c>
      <c r="AA12" t="inlineStr">
        <is>
          <t>Avis de marché</t>
        </is>
      </c>
      <c r="AB12" t="inlineStr">
        <is>
          <t>Nettoyage de locaux, Vitrerie</t>
        </is>
      </c>
      <c r="AC12" t="inlineStr">
        <is>
          <t>['environnementaux']</t>
        </is>
      </c>
      <c r="AD12" s="10" t="inlineStr">
        <is>
          <t>https://www.boamp.fr/pages/avis/?q=idweb:26-71986</t>
        </is>
      </c>
      <c r="AE12" t="inlineStr">
        <is>
          <t>https://www.marches-publics.info/accueil.htm</t>
        </is>
      </c>
      <c r="AF12" t="inlineStr">
        <is>
          <t>https://www.marches-publics.info/accueil.htm</t>
        </is>
      </c>
      <c r="AG12" t="inlineStr">
        <is>
          <t>nettoyage</t>
        </is>
      </c>
      <c r="AH12" t="inlineStr">
        <is>
          <t>2</t>
        </is>
      </c>
      <c r="AI12" t="inlineStr">
        <is>
          <t>58</t>
        </is>
      </c>
      <c r="AJ12" t="inlineStr">
        <is>
          <t>INFO_PARTIELLE</t>
        </is>
      </c>
      <c r="AK12" t="inlineStr">
        <is>
          <t>60</t>
        </is>
      </c>
      <c r="AL12" t="inlineStr">
        <is>
          <t>TIEDE</t>
        </is>
      </c>
      <c r="AM12">
        <f>MIN(100,MAX(0,IF(OR(ISNUMBER(SEARCH("nettoyage",C12)),ISNUMBER(SEARCH("proprete",C12)),ISNUMBER(SEARCH("entretien",C12)),ISNUMBER(SEARCH("hygiene",C12))),35,0)+IF(SUM(--(N12="75")+--(O12="75"),--(N12="77")+--(O12="77"),--(N12="78")+--(O12="78"),--(N12="91")+--(O12="91"),--(N12="92")+--(O12="92"),--(N12="93")+--(O12="93"),--(N12="94")+--(O12="94"),--(N12="95")+--(O12="95"))&gt;0,25,4)+IF(S12="",10,IF(S12&lt;=50000,25,IF(S12&lt;=100000,20,IF(S12&lt;=200000,5,IF(S12&lt;=500000,-10,-20)))))+IF(I12&lt;&gt;"",4,0)+IF(J12&lt;&gt;"",4,0)+IF(E12&lt;&gt;"",3,0)+IF(K12&lt;&gt;"",2,0)+IF(M12&lt;&gt;"",1,0)+IF(AD12&lt;&gt;"",1,0)+IF(R12="",0,IF(R12&lt;TODAY(),-30,IF(R12&lt;TODAY()+5,-15,IF(R12&lt;=TODAY()+15,5,10))))))</f>
        <v/>
      </c>
      <c r="AN12">
        <f>IF(AM12&gt;=65,"CHAUD",IF(AM12&gt;=40,"TIEDE","FROID"))</f>
        <v/>
      </c>
      <c r="AO12">
        <f>IF((IF(I12&lt;&gt;"",1,0)+IF(J12&lt;&gt;"",1,0)+IF(E12&lt;&gt;"",1,0)+IF(K12&lt;&gt;"",1,0))&gt;=4,"Complet",IF((IF(I12&lt;&gt;"",1,0)+IF(J12&lt;&gt;"",1,0)+IF(E12&lt;&gt;"",1,0)+IF(K12&lt;&gt;"",1,0))&gt;=2,"Partiel","Vide"))</f>
        <v/>
      </c>
      <c r="AP12">
        <f>IF(AJ12="DCE_A_TELECHARGER","Telecharger DCE",IF(T12="A_VERIFIER_BUDGET","Verifier budget",IF(AN12="CHAUD","Contacter maintenant",IF(AN12="TIEDE","Surveiller / relancer","Basse priorite"))))</f>
        <v/>
      </c>
      <c r="AQ12" t="inlineStr">
        <is>
          <t>IA_BUDGET_A_VERIFIER</t>
        </is>
      </c>
      <c r="AR12" t="inlineStr">
        <is>
          <t>Verifier le budget dans l'avis source ou le DCE avant decision commerciale.</t>
        </is>
      </c>
      <c r="AS12" t="inlineStr">
        <is>
          <t>SIRET, 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12" t="inlineStr">
        <is>
          <t>Verifier url_avis et DCE si disponible</t>
        </is>
      </c>
      <c r="AV12" t="inlineStr">
        <is>
          <t>LIEN_SEUL</t>
        </is>
      </c>
      <c r="AW12" t="inlineStr"/>
      <c r="AX12" t="inlineStr"/>
      <c r="AY12" t="inlineStr"/>
      <c r="AZ12" t="inlineStr"/>
      <c r="BA12" t="inlineStr"/>
      <c r="BB12" t="inlineStr">
        <is>
          <t>+35 nettoyage + categorie claire | +10 budget non affiche (a verifier) | +10 secteur cible Mairie | +5 delai court 9j</t>
        </is>
      </c>
      <c r="BC12" t="inlineStr">
        <is>
          <t>Ville de Fontenay-aux-Roses publie un AO potentiellement pertinent pour CHRUTH : Nettoyage des locaux communaux et des vitreries des bâtiments communaux. Zone : 92. Budget a verifier. Verifier le lien source avant contact.</t>
        </is>
      </c>
      <c r="BD12"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2"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2026-W30</t>
        </is>
      </c>
    </row>
    <row r="13">
      <c r="A13" t="inlineStr">
        <is>
          <t>BOAMP</t>
        </is>
      </c>
      <c r="B13" t="inlineStr">
        <is>
          <t>26-71545</t>
        </is>
      </c>
      <c r="C13" t="inlineStr">
        <is>
          <t>Exploitation, maintenance des dispositifs de collecte pneumatique fixes et mobiles des déchets ménagers et transport de ces déchets</t>
        </is>
      </c>
      <c r="D13" t="inlineStr">
        <is>
          <t>Grand Paris Seine Ouest</t>
        </is>
      </c>
      <c r="E13" t="inlineStr">
        <is>
          <t>20005797400012</t>
        </is>
      </c>
      <c r="F13" t="inlineStr">
        <is>
          <t>200057974</t>
        </is>
      </c>
      <c r="G13" t="inlineStr"/>
      <c r="H13" t="inlineStr"/>
      <c r="I13" t="inlineStr">
        <is>
          <t>judith.comminsoli@seineouest.fr</t>
        </is>
      </c>
      <c r="J13" t="inlineStr">
        <is>
          <t>0579740001</t>
        </is>
      </c>
      <c r="K13" t="inlineStr"/>
      <c r="L13" t="inlineStr"/>
      <c r="M13" t="inlineStr"/>
      <c r="N13" t="inlineStr">
        <is>
          <t>92</t>
        </is>
      </c>
      <c r="O13" t="inlineStr"/>
      <c r="P13" t="inlineStr">
        <is>
          <t>Ile-de-France</t>
        </is>
      </c>
      <c r="Q13" s="14" t="n">
        <v>46222</v>
      </c>
      <c r="R13" s="14" t="n">
        <v>46275</v>
      </c>
      <c r="S13" s="15" t="n">
        <v>300000</v>
      </c>
      <c r="T13" t="inlineStr">
        <is>
          <t>BUDGET_EXPLICITE_OK</t>
        </is>
      </c>
      <c r="U13" t="inlineStr">
        <is>
          <t>75000</t>
        </is>
      </c>
      <c r="V13" t="inlineStr">
        <is>
          <t>oui</t>
        </is>
      </c>
      <c r="W13" t="inlineStr">
        <is>
          <t>Mixte/Autre</t>
        </is>
      </c>
      <c r="X13" t="inlineStr">
        <is>
          <t>Autre</t>
        </is>
      </c>
      <c r="Y13" t="inlineStr">
        <is>
          <t>SERVICES</t>
        </is>
      </c>
      <c r="Z13" t="inlineStr">
        <is>
          <t>Procédure Ouverte</t>
        </is>
      </c>
      <c r="AA13" t="inlineStr">
        <is>
          <t>Avis de marché</t>
        </is>
      </c>
      <c r="AB13" t="inlineStr">
        <is>
          <t>Collecte sélective</t>
        </is>
      </c>
      <c r="AC13" t="inlineStr">
        <is>
          <t>['environnementaux']</t>
        </is>
      </c>
      <c r="AD13" s="10" t="inlineStr">
        <is>
          <t>https://www.boamp.fr/pages/avis/?q=idweb:26-71545</t>
        </is>
      </c>
      <c r="AE13" t="inlineStr">
        <is>
          <t>https://marches.maximilien.fr/</t>
        </is>
      </c>
      <c r="AF13" t="inlineStr">
        <is>
          <t>https://marches.maximilien.fr/</t>
        </is>
      </c>
      <c r="AG13" t="inlineStr">
        <is>
          <t>nettoyage</t>
        </is>
      </c>
      <c r="AH13" t="inlineStr">
        <is>
          <t>3</t>
        </is>
      </c>
      <c r="AI13" t="inlineStr">
        <is>
          <t>68</t>
        </is>
      </c>
      <c r="AJ13" t="inlineStr">
        <is>
          <t>INFO_PARTIELLE</t>
        </is>
      </c>
      <c r="AK13" t="inlineStr">
        <is>
          <t>60</t>
        </is>
      </c>
      <c r="AL13" t="inlineStr">
        <is>
          <t>TIEDE</t>
        </is>
      </c>
      <c r="AM13">
        <f>MIN(100,MAX(0,IF(OR(ISNUMBER(SEARCH("nettoyage",C13)),ISNUMBER(SEARCH("proprete",C13)),ISNUMBER(SEARCH("entretien",C13)),ISNUMBER(SEARCH("hygiene",C13))),35,0)+IF(SUM(--(N13="75")+--(O13="75"),--(N13="77")+--(O13="77"),--(N13="78")+--(O13="78"),--(N13="91")+--(O13="91"),--(N13="92")+--(O13="92"),--(N13="93")+--(O13="93"),--(N13="94")+--(O13="94"),--(N13="95")+--(O13="95"))&gt;0,25,4)+IF(S13="",10,IF(S13&lt;=50000,25,IF(S13&lt;=100000,20,IF(S13&lt;=200000,5,IF(S13&lt;=500000,-10,-20)))))+IF(I13&lt;&gt;"",4,0)+IF(J13&lt;&gt;"",4,0)+IF(E13&lt;&gt;"",3,0)+IF(K13&lt;&gt;"",2,0)+IF(M13&lt;&gt;"",1,0)+IF(AD13&lt;&gt;"",1,0)+IF(R13="",0,IF(R13&lt;TODAY(),-30,IF(R13&lt;TODAY()+5,-15,IF(R13&lt;=TODAY()+15,5,10))))))</f>
        <v/>
      </c>
      <c r="AN13">
        <f>IF(AM13&gt;=65,"CHAUD",IF(AM13&gt;=40,"TIEDE","FROID"))</f>
        <v/>
      </c>
      <c r="AO13">
        <f>IF((IF(I13&lt;&gt;"",1,0)+IF(J13&lt;&gt;"",1,0)+IF(E13&lt;&gt;"",1,0)+IF(K13&lt;&gt;"",1,0))&gt;=4,"Complet",IF((IF(I13&lt;&gt;"",1,0)+IF(J13&lt;&gt;"",1,0)+IF(E13&lt;&gt;"",1,0)+IF(K13&lt;&gt;"",1,0))&gt;=2,"Partiel","Vide"))</f>
        <v/>
      </c>
      <c r="AP13">
        <f>IF(AJ13="DCE_A_TELECHARGER","Telecharger DCE",IF(T13="A_VERIFIER_BUDGET","Verifier budget",IF(AN13="CHAUD","Contacter maintenant",IF(AN13="TIEDE","Surveiller / relancer","Basse priorite"))))</f>
        <v/>
      </c>
      <c r="AQ13" t="inlineStr">
        <is>
          <t>IA_CONTACT_A_COMPLETER</t>
        </is>
      </c>
      <c r="AR13" t="inlineStr">
        <is>
          <t>Completer les champs manquants depuis l'avis source, le site acheteur ou le DCE.</t>
        </is>
      </c>
      <c r="AS13" t="inlineStr">
        <is>
          <t>adresse, ville</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13" t="inlineStr">
        <is>
          <t>Verifier url_avis et DCE si disponible</t>
        </is>
      </c>
      <c r="AV13" t="inlineStr"/>
      <c r="AW13" t="inlineStr"/>
      <c r="AX13" t="inlineStr"/>
      <c r="AY13" t="inlineStr"/>
      <c r="AZ13" t="inlineStr"/>
      <c r="BA13" t="inlineStr"/>
      <c r="BB13" t="inlineStr">
        <is>
          <t>+30 mots-cles nettoyage forts | +20 budget annualise &lt;= 100 000 EUR | +10 delai confortable 44j</t>
        </is>
      </c>
      <c r="BC13"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13"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13"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26-73898</t>
        </is>
      </c>
      <c r="C14" t="inlineStr">
        <is>
          <t>Fourniture de petits matériels et de consommables d'entretien et d'hygiène</t>
        </is>
      </c>
      <c r="D14" t="inlineStr">
        <is>
          <t>Département des Hauts-de-Seine</t>
        </is>
      </c>
      <c r="E14" t="inlineStr"/>
      <c r="F14" t="inlineStr"/>
      <c r="G14" t="inlineStr"/>
      <c r="H14" t="inlineStr"/>
      <c r="I14" t="inlineStr">
        <is>
          <t>publications-joue@aws-france.com</t>
        </is>
      </c>
      <c r="J14" t="inlineStr">
        <is>
          <t>+33480041260</t>
        </is>
      </c>
      <c r="K14" t="inlineStr"/>
      <c r="L14" t="inlineStr"/>
      <c r="M14" t="inlineStr"/>
      <c r="N14" t="inlineStr">
        <is>
          <t>92</t>
        </is>
      </c>
      <c r="O14" t="inlineStr"/>
      <c r="P14" t="inlineStr">
        <is>
          <t>Ile-de-France</t>
        </is>
      </c>
      <c r="Q14" s="14" t="n">
        <v>46228</v>
      </c>
      <c r="R14" s="14" t="n">
        <v>46280</v>
      </c>
      <c r="S14" t="inlineStr"/>
      <c r="T14" t="inlineStr">
        <is>
          <t>A_VERIFIER_BUDGET</t>
        </is>
      </c>
      <c r="U14" t="inlineStr"/>
      <c r="V14" t="inlineStr">
        <is>
          <t>non</t>
        </is>
      </c>
      <c r="W14" t="inlineStr">
        <is>
          <t>Batiments</t>
        </is>
      </c>
      <c r="X14" t="inlineStr">
        <is>
          <t>Autre</t>
        </is>
      </c>
      <c r="Y14" t="inlineStr">
        <is>
          <t>FOURNITURES</t>
        </is>
      </c>
      <c r="Z14" t="inlineStr">
        <is>
          <t>Procédure Ouverte</t>
        </is>
      </c>
      <c r="AA14" t="inlineStr">
        <is>
          <t>Avis de marché</t>
        </is>
      </c>
      <c r="AB14" t="inlineStr">
        <is>
          <t>Produits d'entretien</t>
        </is>
      </c>
      <c r="AC14" t="inlineStr">
        <is>
          <t>['sociaux', 'environnementaux']</t>
        </is>
      </c>
      <c r="AD14" s="10" t="inlineStr">
        <is>
          <t>https://www.boamp.fr/pages/avis/?q=idweb:26-73898</t>
        </is>
      </c>
      <c r="AE14" t="inlineStr">
        <is>
          <t>https://www.marches-publics.info/mpiaws/index.cfm?fuseaction=dematEnt.login&amp;amp;type=DCE&amp;amp;IDM=1854121</t>
        </is>
      </c>
      <c r="AF14" t="inlineStr">
        <is>
          <t>https://www.marches-publics.info/mpiaws/index.cfm?fuseaction=dematEnt.login&amp;amp;type=DCE&amp;amp;IDM=1854121</t>
        </is>
      </c>
      <c r="AG14" t="inlineStr">
        <is>
          <t>hygiene des locaux</t>
        </is>
      </c>
      <c r="AH14" t="inlineStr">
        <is>
          <t>2</t>
        </is>
      </c>
      <c r="AI14" t="inlineStr">
        <is>
          <t>58</t>
        </is>
      </c>
      <c r="AJ14" t="inlineStr">
        <is>
          <t>INFO_PARTIELLE</t>
        </is>
      </c>
      <c r="AK14" t="inlineStr">
        <is>
          <t>55</t>
        </is>
      </c>
      <c r="AL14" t="inlineStr">
        <is>
          <t>TIEDE</t>
        </is>
      </c>
      <c r="AM14">
        <f>MIN(100,MAX(0,IF(OR(ISNUMBER(SEARCH("nettoyage",C14)),ISNUMBER(SEARCH("proprete",C14)),ISNUMBER(SEARCH("entretien",C14)),ISNUMBER(SEARCH("hygiene",C14))),35,0)+IF(SUM(--(N14="75")+--(O14="75"),--(N14="77")+--(O14="77"),--(N14="78")+--(O14="78"),--(N14="91")+--(O14="91"),--(N14="92")+--(O14="92"),--(N14="93")+--(O14="93"),--(N14="94")+--(O14="94"),--(N14="95")+--(O14="95"))&gt;0,25,4)+IF(S14="",10,IF(S14&lt;=50000,25,IF(S14&lt;=100000,20,IF(S14&lt;=200000,5,IF(S14&lt;=500000,-10,-20)))))+IF(I14&lt;&gt;"",4,0)+IF(J14&lt;&gt;"",4,0)+IF(E14&lt;&gt;"",3,0)+IF(K14&lt;&gt;"",2,0)+IF(M14&lt;&gt;"",1,0)+IF(AD14&lt;&gt;"",1,0)+IF(R14="",0,IF(R14&lt;TODAY(),-30,IF(R14&lt;TODAY()+5,-15,IF(R14&lt;=TODAY()+15,5,10))))))</f>
        <v/>
      </c>
      <c r="AN14">
        <f>IF(AM14&gt;=65,"CHAUD",IF(AM14&gt;=40,"TIEDE","FROID"))</f>
        <v/>
      </c>
      <c r="AO14">
        <f>IF((IF(I14&lt;&gt;"",1,0)+IF(J14&lt;&gt;"",1,0)+IF(E14&lt;&gt;"",1,0)+IF(K14&lt;&gt;"",1,0))&gt;=4,"Complet",IF((IF(I14&lt;&gt;"",1,0)+IF(J14&lt;&gt;"",1,0)+IF(E14&lt;&gt;"",1,0)+IF(K14&lt;&gt;"",1,0))&gt;=2,"Partiel","Vide"))</f>
        <v/>
      </c>
      <c r="AP14">
        <f>IF(AJ14="DCE_A_TELECHARGER","Telecharger DCE",IF(T14="A_VERIFIER_BUDGET","Verifier budget",IF(AN14="CHAUD","Contacter maintenant",IF(AN14="TIEDE","Surveiller / relancer","Basse priorite"))))</f>
        <v/>
      </c>
      <c r="AQ14" t="inlineStr">
        <is>
          <t>IA_BUDGET_A_VERIFIER</t>
        </is>
      </c>
      <c r="AR14" t="inlineStr">
        <is>
          <t>Verifier le budget dans l'avis source ou le DCE avant decision commerciale.</t>
        </is>
      </c>
      <c r="AS14" t="inlineStr">
        <is>
          <t>SIRET, 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delai confortable 49j</t>
        </is>
      </c>
      <c r="BC14" t="inlineStr">
        <is>
          <t>Département des Hauts-de-Seine publie un AO potentiellement pertinent pour CHRUTH : Fourniture de petits matériels et de consommables d'entretien et d'hygiène. Zone : 92. Budget a verifier. Verifier le lien source avant contact.</t>
        </is>
      </c>
      <c r="BD14"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14"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2026-W30</t>
        </is>
      </c>
    </row>
    <row r="15">
      <c r="A15" t="inlineStr">
        <is>
          <t>BOAMP</t>
        </is>
      </c>
      <c r="B15" t="inlineStr">
        <is>
          <t>26-72955</t>
        </is>
      </c>
      <c r="C15" t="inlineStr">
        <is>
          <t>Prestations de nettoyage courant des locaux du CNRS et de vitreries incluant la fourniture des produits d’entretien et d’hygiène</t>
        </is>
      </c>
      <c r="D15" t="inlineStr">
        <is>
          <t>CNRS Délégation paris-Centre</t>
        </is>
      </c>
      <c r="E15" t="inlineStr">
        <is>
          <t>18008901303282</t>
        </is>
      </c>
      <c r="F15" t="inlineStr">
        <is>
          <t>180089013</t>
        </is>
      </c>
      <c r="G15" t="inlineStr"/>
      <c r="H15" t="inlineStr"/>
      <c r="I15" t="inlineStr">
        <is>
          <t>marchesdr2@dr2.cnrs.fr</t>
        </is>
      </c>
      <c r="J15" t="inlineStr">
        <is>
          <t>0890130328</t>
        </is>
      </c>
      <c r="K15" t="inlineStr"/>
      <c r="L15" t="inlineStr"/>
      <c r="M15" t="inlineStr"/>
      <c r="N15" t="inlineStr">
        <is>
          <t>75,77,78,91,92,93,94,95</t>
        </is>
      </c>
      <c r="O15" t="inlineStr"/>
      <c r="P15" t="inlineStr">
        <is>
          <t>Ile-de-France</t>
        </is>
      </c>
      <c r="Q15" s="14" t="n">
        <v>46225</v>
      </c>
      <c r="R15" s="14" t="n">
        <v>46269</v>
      </c>
      <c r="S15" t="inlineStr"/>
      <c r="T15" t="inlineStr">
        <is>
          <t>A_VERIFIER_BUDGET</t>
        </is>
      </c>
      <c r="U15" t="inlineStr"/>
      <c r="V15" t="inlineStr">
        <is>
          <t>non</t>
        </is>
      </c>
      <c r="W15" t="inlineStr">
        <is>
          <t>Batiments</t>
        </is>
      </c>
      <c r="X15" t="inlineStr">
        <is>
          <t>Autre</t>
        </is>
      </c>
      <c r="Y15" t="inlineStr">
        <is>
          <t>SERVICES</t>
        </is>
      </c>
      <c r="Z15" t="inlineStr">
        <is>
          <t>Procédure Ouverte</t>
        </is>
      </c>
      <c r="AA15" t="inlineStr">
        <is>
          <t>Avis de marché</t>
        </is>
      </c>
      <c r="AB15" t="inlineStr">
        <is>
          <t>Nettoyage de locaux</t>
        </is>
      </c>
      <c r="AC15" t="inlineStr"/>
      <c r="AD15" s="10" t="inlineStr">
        <is>
          <t>https://www.boamp.fr/pages/avis/?q=idweb:26-72955</t>
        </is>
      </c>
      <c r="AE15" t="inlineStr">
        <is>
          <t>https://www.marches-publics.gouv.fr</t>
        </is>
      </c>
      <c r="AF15" t="inlineStr">
        <is>
          <t>https://www.marches-publics.gouv.fr</t>
        </is>
      </c>
      <c r="AG15" t="inlineStr">
        <is>
          <t>nettoyage</t>
        </is>
      </c>
      <c r="AH15" t="inlineStr">
        <is>
          <t>3</t>
        </is>
      </c>
      <c r="AI15" t="inlineStr">
        <is>
          <t>68</t>
        </is>
      </c>
      <c r="AJ15" t="inlineStr">
        <is>
          <t>INFO_PARTIELLE</t>
        </is>
      </c>
      <c r="AK15" t="inlineStr">
        <is>
          <t>55</t>
        </is>
      </c>
      <c r="AL15" t="inlineStr">
        <is>
          <t>TIEDE</t>
        </is>
      </c>
      <c r="AM15">
        <f>MIN(100,MAX(0,IF(OR(ISNUMBER(SEARCH("nettoyage",C15)),ISNUMBER(SEARCH("proprete",C15)),ISNUMBER(SEARCH("entretien",C15)),ISNUMBER(SEARCH("hygiene",C15))),35,0)+IF(SUM(--(N15="75")+--(O15="75"),--(N15="77")+--(O15="77"),--(N15="78")+--(O15="78"),--(N15="91")+--(O15="91"),--(N15="92")+--(O15="92"),--(N15="93")+--(O15="93"),--(N15="94")+--(O15="94"),--(N15="95")+--(O15="95"))&gt;0,25,4)+IF(S15="",10,IF(S15&lt;=50000,25,IF(S15&lt;=100000,20,IF(S15&lt;=200000,5,IF(S15&lt;=500000,-10,-20)))))+IF(I15&lt;&gt;"",4,0)+IF(J15&lt;&gt;"",4,0)+IF(E15&lt;&gt;"",3,0)+IF(K15&lt;&gt;"",2,0)+IF(M15&lt;&gt;"",1,0)+IF(AD15&lt;&gt;"",1,0)+IF(R15="",0,IF(R15&lt;TODAY(),-30,IF(R15&lt;TODAY()+5,-15,IF(R15&lt;=TODAY()+15,5,10))))))</f>
        <v/>
      </c>
      <c r="AN15">
        <f>IF(AM15&gt;=65,"CHAUD",IF(AM15&gt;=40,"TIEDE","FROID"))</f>
        <v/>
      </c>
      <c r="AO15">
        <f>IF((IF(I15&lt;&gt;"",1,0)+IF(J15&lt;&gt;"",1,0)+IF(E15&lt;&gt;"",1,0)+IF(K15&lt;&gt;"",1,0))&gt;=4,"Complet",IF((IF(I15&lt;&gt;"",1,0)+IF(J15&lt;&gt;"",1,0)+IF(E15&lt;&gt;"",1,0)+IF(K15&lt;&gt;"",1,0))&gt;=2,"Partiel","Vide"))</f>
        <v/>
      </c>
      <c r="AP15">
        <f>IF(AJ15="DCE_A_TELECHARGER","Telecharger DCE",IF(T15="A_VERIFIER_BUDGET","Verifier budget",IF(AN15="CHAUD","Contacter maintenant",IF(AN15="TIEDE","Surveiller / relancer","Basse priorite"))))</f>
        <v/>
      </c>
      <c r="AQ15" t="inlineStr">
        <is>
          <t>IA_BUDGET_A_VERIFIER</t>
        </is>
      </c>
      <c r="AR15" t="inlineStr">
        <is>
          <t>Verifier le budget dans l'avis source ou le DCE avant decision commerciale.</t>
        </is>
      </c>
      <c r="AS15" t="inlineStr">
        <is>
          <t>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delai confortable 38j</t>
        </is>
      </c>
      <c r="BC15"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15"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15"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2026-W30</t>
        </is>
      </c>
    </row>
    <row r="16">
      <c r="A16" t="inlineStr">
        <is>
          <t>BOAMP</t>
        </is>
      </c>
      <c r="B16" t="inlineStr">
        <is>
          <t>26-72105</t>
        </is>
      </c>
      <c r="C16" t="inlineStr">
        <is>
          <t>PRESTATIONS DE SERVICES DE NETTOYAGE ET BIONETTOYAGE DES LOCAUX, DE LA VITRERIE ET SERVICES ASSOCIES POUR LE CHIMM</t>
        </is>
      </c>
      <c r="D16" t="inlineStr">
        <is>
          <t>Centre Hospitalier Poissy/Saint-Germain-En-Laye</t>
        </is>
      </c>
      <c r="E16" t="inlineStr">
        <is>
          <t>26780580200316</t>
        </is>
      </c>
      <c r="F16" t="inlineStr">
        <is>
          <t>267805802</t>
        </is>
      </c>
      <c r="G16" t="inlineStr"/>
      <c r="H16" t="inlineStr"/>
      <c r="I16" t="inlineStr">
        <is>
          <t>clementine.hee@ght-yvelinesnord.fr</t>
        </is>
      </c>
      <c r="J16" t="inlineStr">
        <is>
          <t>0580200316</t>
        </is>
      </c>
      <c r="K16" t="inlineStr"/>
      <c r="L16" t="inlineStr"/>
      <c r="M16" t="inlineStr"/>
      <c r="N16" t="inlineStr">
        <is>
          <t>78</t>
        </is>
      </c>
      <c r="O16" t="inlineStr"/>
      <c r="P16" t="inlineStr">
        <is>
          <t>Ile-de-France</t>
        </is>
      </c>
      <c r="Q16" s="14" t="n">
        <v>46224</v>
      </c>
      <c r="R16" s="14" t="n">
        <v>46293</v>
      </c>
      <c r="S16" t="inlineStr"/>
      <c r="T16" t="inlineStr">
        <is>
          <t>A_VERIFIER_BUDGET</t>
        </is>
      </c>
      <c r="U16" t="inlineStr"/>
      <c r="V16" t="inlineStr">
        <is>
          <t>non</t>
        </is>
      </c>
      <c r="W16" t="inlineStr">
        <is>
          <t>Vitres</t>
        </is>
      </c>
      <c r="X16" t="inlineStr">
        <is>
          <t>Autre</t>
        </is>
      </c>
      <c r="Y16" t="inlineStr">
        <is>
          <t>SERVICES</t>
        </is>
      </c>
      <c r="Z16" t="inlineStr">
        <is>
          <t>Procédure Ouverte</t>
        </is>
      </c>
      <c r="AA16" t="inlineStr">
        <is>
          <t>Avis de marché</t>
        </is>
      </c>
      <c r="AB16" t="inlineStr">
        <is>
          <t>Nettoyage de locaux, Vitrerie</t>
        </is>
      </c>
      <c r="AC16" t="inlineStr"/>
      <c r="AD16" s="10" t="inlineStr">
        <is>
          <t>https://www.boamp.fr/pages/avis/?q=idweb:26-72105</t>
        </is>
      </c>
      <c r="AE16" t="inlineStr">
        <is>
          <t>https://marches.maximilien.fr/entreprise/consultation/943757?orgAcronyme=a2k</t>
        </is>
      </c>
      <c r="AF16" t="inlineStr">
        <is>
          <t>https://marches.maximilien.fr/entreprise/consultation/943757?orgAcronyme=a2k</t>
        </is>
      </c>
      <c r="AG16" t="inlineStr">
        <is>
          <t>nettoyage, bionettoyage</t>
        </is>
      </c>
      <c r="AH16" t="inlineStr">
        <is>
          <t>3</t>
        </is>
      </c>
      <c r="AI16" t="inlineStr">
        <is>
          <t>76</t>
        </is>
      </c>
      <c r="AJ16" t="inlineStr">
        <is>
          <t>INFO_PARTIELLE</t>
        </is>
      </c>
      <c r="AK16" t="inlineStr">
        <is>
          <t>55</t>
        </is>
      </c>
      <c r="AL16" t="inlineStr">
        <is>
          <t>TIEDE</t>
        </is>
      </c>
      <c r="AM16">
        <f>MIN(100,MAX(0,IF(OR(ISNUMBER(SEARCH("nettoyage",C16)),ISNUMBER(SEARCH("proprete",C16)),ISNUMBER(SEARCH("entretien",C16)),ISNUMBER(SEARCH("hygiene",C16))),35,0)+IF(SUM(--(N16="75")+--(O16="75"),--(N16="77")+--(O16="77"),--(N16="78")+--(O16="78"),--(N16="91")+--(O16="91"),--(N16="92")+--(O16="92"),--(N16="93")+--(O16="93"),--(N16="94")+--(O16="94"),--(N16="95")+--(O16="95"))&gt;0,25,4)+IF(S16="",10,IF(S16&lt;=50000,25,IF(S16&lt;=100000,20,IF(S16&lt;=200000,5,IF(S16&lt;=500000,-10,-20)))))+IF(I16&lt;&gt;"",4,0)+IF(J16&lt;&gt;"",4,0)+IF(E16&lt;&gt;"",3,0)+IF(K16&lt;&gt;"",2,0)+IF(M16&lt;&gt;"",1,0)+IF(AD16&lt;&gt;"",1,0)+IF(R16="",0,IF(R16&lt;TODAY(),-30,IF(R16&lt;TODAY()+5,-15,IF(R16&lt;=TODAY()+15,5,10))))))</f>
        <v/>
      </c>
      <c r="AN16">
        <f>IF(AM16&gt;=65,"CHAUD",IF(AM16&gt;=40,"TIEDE","FROID"))</f>
        <v/>
      </c>
      <c r="AO16">
        <f>IF((IF(I16&lt;&gt;"",1,0)+IF(J16&lt;&gt;"",1,0)+IF(E16&lt;&gt;"",1,0)+IF(K16&lt;&gt;"",1,0))&gt;=4,"Complet",IF((IF(I16&lt;&gt;"",1,0)+IF(J16&lt;&gt;"",1,0)+IF(E16&lt;&gt;"",1,0)+IF(K16&lt;&gt;"",1,0))&gt;=2,"Partiel","Vide"))</f>
        <v/>
      </c>
      <c r="AP16">
        <f>IF(AJ16="DCE_A_TELECHARGER","Telecharger DCE",IF(T16="A_VERIFIER_BUDGET","Verifier budget",IF(AN16="CHAUD","Contacter maintenant",IF(AN16="TIEDE","Surveiller / relancer","Basse priorite"))))</f>
        <v/>
      </c>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delai confortable 62j</t>
        </is>
      </c>
      <c r="BC16"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16"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16"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2026-W30</t>
        </is>
      </c>
    </row>
    <row r="17">
      <c r="A17" t="inlineStr">
        <is>
          <t>BOAMP</t>
        </is>
      </c>
      <c r="B17" t="inlineStr">
        <is>
          <t>26-70522</t>
        </is>
      </c>
      <c r="C17" t="inlineStr">
        <is>
          <t>PRESTATIONS DE COACHING ET D’ACCOMPAGNEMENT DES MEMBRES D’UN CODIR AU PROFIT DE L’EPIDE</t>
        </is>
      </c>
      <c r="D17" t="inlineStr">
        <is>
          <t>EPIDE</t>
        </is>
      </c>
      <c r="E17" t="inlineStr">
        <is>
          <t>18009259500131</t>
        </is>
      </c>
      <c r="F17" t="inlineStr">
        <is>
          <t>180092595</t>
        </is>
      </c>
      <c r="G17" t="inlineStr"/>
      <c r="H17" t="inlineStr"/>
      <c r="I17" t="inlineStr">
        <is>
          <t>achats@epide.fr</t>
        </is>
      </c>
      <c r="J17" t="inlineStr">
        <is>
          <t>0925950013</t>
        </is>
      </c>
      <c r="K17" t="inlineStr"/>
      <c r="L17" t="inlineStr"/>
      <c r="M17" t="inlineStr"/>
      <c r="N17" t="inlineStr">
        <is>
          <t>92,67,68,24,33,40,47,64,3</t>
        </is>
      </c>
      <c r="O17" t="inlineStr"/>
      <c r="P17" t="inlineStr">
        <is>
          <t>Ile-de-France</t>
        </is>
      </c>
      <c r="Q17" s="14" t="n">
        <v>46220</v>
      </c>
      <c r="R17" s="14" t="n">
        <v>46259</v>
      </c>
      <c r="S17" t="inlineStr"/>
      <c r="T17" t="inlineStr">
        <is>
          <t>A_VERIFIER_BUDGET</t>
        </is>
      </c>
      <c r="U17" t="inlineStr"/>
      <c r="V17" t="inlineStr">
        <is>
          <t>non</t>
        </is>
      </c>
      <c r="W17" t="inlineStr">
        <is>
          <t>Batiments</t>
        </is>
      </c>
      <c r="X17" t="inlineStr">
        <is>
          <t>Autre</t>
        </is>
      </c>
      <c r="Y17" t="inlineStr">
        <is>
          <t>SERVICES</t>
        </is>
      </c>
      <c r="Z17" t="inlineStr">
        <is>
          <t>Procédure Ouverte</t>
        </is>
      </c>
      <c r="AA17" t="inlineStr">
        <is>
          <t>Avis de marché</t>
        </is>
      </c>
      <c r="AB17" t="inlineStr">
        <is>
          <t>Nettoyage de locaux</t>
        </is>
      </c>
      <c r="AC17" t="inlineStr"/>
      <c r="AD17" s="10" t="inlineStr">
        <is>
          <t>https://www.boamp.fr/pages/avis/?q=idweb:26-70522</t>
        </is>
      </c>
      <c r="AE17" t="inlineStr">
        <is>
          <t>https://www.epide.fr/</t>
        </is>
      </c>
      <c r="AF17" t="inlineStr"/>
      <c r="AG17" t="inlineStr">
        <is>
          <t>nettoyage</t>
        </is>
      </c>
      <c r="AH17" t="inlineStr">
        <is>
          <t>3</t>
        </is>
      </c>
      <c r="AI17" t="inlineStr">
        <is>
          <t>68</t>
        </is>
      </c>
      <c r="AJ17" t="inlineStr">
        <is>
          <t>INFO_PARTIELLE</t>
        </is>
      </c>
      <c r="AK17" t="inlineStr">
        <is>
          <t>55</t>
        </is>
      </c>
      <c r="AL17" t="inlineStr">
        <is>
          <t>TIEDE</t>
        </is>
      </c>
      <c r="AM17">
        <f>MIN(100,MAX(0,IF(OR(ISNUMBER(SEARCH("nettoyage",C17)),ISNUMBER(SEARCH("proprete",C17)),ISNUMBER(SEARCH("entretien",C17)),ISNUMBER(SEARCH("hygiene",C17))),35,0)+IF(SUM(--(N17="75")+--(O17="75"),--(N17="77")+--(O17="77"),--(N17="78")+--(O17="78"),--(N17="91")+--(O17="91"),--(N17="92")+--(O17="92"),--(N17="93")+--(O17="93"),--(N17="94")+--(O17="94"),--(N17="95")+--(O17="95"))&gt;0,25,4)+IF(S17="",10,IF(S17&lt;=50000,25,IF(S17&lt;=100000,20,IF(S17&lt;=200000,5,IF(S17&lt;=500000,-10,-20)))))+IF(I17&lt;&gt;"",4,0)+IF(J17&lt;&gt;"",4,0)+IF(E17&lt;&gt;"",3,0)+IF(K17&lt;&gt;"",2,0)+IF(M17&lt;&gt;"",1,0)+IF(AD17&lt;&gt;"",1,0)+IF(R17="",0,IF(R17&lt;TODAY(),-30,IF(R17&lt;TODAY()+5,-15,IF(R17&lt;=TODAY()+15,5,10))))))</f>
        <v/>
      </c>
      <c r="AN17">
        <f>IF(AM17&gt;=65,"CHAUD",IF(AM17&gt;=40,"TIEDE","FROID"))</f>
        <v/>
      </c>
      <c r="AO17">
        <f>IF((IF(I17&lt;&gt;"",1,0)+IF(J17&lt;&gt;"",1,0)+IF(E17&lt;&gt;"",1,0)+IF(K17&lt;&gt;"",1,0))&gt;=4,"Complet",IF((IF(I17&lt;&gt;"",1,0)+IF(J17&lt;&gt;"",1,0)+IF(E17&lt;&gt;"",1,0)+IF(K17&lt;&gt;"",1,0))&gt;=2,"Partiel","Vide"))</f>
        <v/>
      </c>
      <c r="AP17">
        <f>IF(AJ17="DCE_A_TELECHARGER","Telecharger DCE",IF(T17="A_VERIFIER_BUDGET","Verifier budget",IF(AN17="CHAUD","Contacter maintenant",IF(AN17="TIEDE","Surveiller / relancer","Basse priorite"))))</f>
        <v/>
      </c>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delai confortable 28j</t>
        </is>
      </c>
      <c r="BC17" t="inlineStr">
        <is>
          <t>EPIDE publie un AO potentiellement pertinent pour CHRUTH : PRESTATIONS DE COACHING ET D’ACCOMPAGNEMENT DES MEMBRES D’UN CODIR AU PROFIT DE L’EPIDE. Zone : 92,67,68,24,33,40,47,64,3. Budget a verifier. Verifier le lien source avant contact.</t>
        </is>
      </c>
      <c r="BD17"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17"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2026-W29</t>
        </is>
      </c>
    </row>
    <row r="18">
      <c r="A18" t="inlineStr">
        <is>
          <t>BOAMP</t>
        </is>
      </c>
      <c r="B18" t="inlineStr">
        <is>
          <t>26-70503</t>
        </is>
      </c>
      <c r="C18" t="inlineStr">
        <is>
          <t>Prestations de nettoyage des locaux et de la vitrerie et prestations associées pour les sites du GHT Grand Paris Nord-Est</t>
        </is>
      </c>
      <c r="D18" t="inlineStr">
        <is>
          <t>GHT GPNE</t>
        </is>
      </c>
      <c r="E18" t="inlineStr">
        <is>
          <t>20001803400013</t>
        </is>
      </c>
      <c r="F18" t="inlineStr">
        <is>
          <t>200018034</t>
        </is>
      </c>
      <c r="G18" t="inlineStr"/>
      <c r="H18" t="inlineStr"/>
      <c r="I18" t="inlineStr">
        <is>
          <t>ght.cellule-des-marches@ght-gpne.fr</t>
        </is>
      </c>
      <c r="J18" t="inlineStr">
        <is>
          <t>0180340001</t>
        </is>
      </c>
      <c r="K18" t="inlineStr"/>
      <c r="L18" t="inlineStr"/>
      <c r="M18" t="inlineStr"/>
      <c r="N18" t="inlineStr">
        <is>
          <t>93</t>
        </is>
      </c>
      <c r="O18" t="inlineStr"/>
      <c r="P18" t="inlineStr">
        <is>
          <t>Ile-de-France</t>
        </is>
      </c>
      <c r="Q18" s="14" t="n">
        <v>46220</v>
      </c>
      <c r="R18" s="14" t="n">
        <v>46269</v>
      </c>
      <c r="S18" t="inlineStr"/>
      <c r="T18" t="inlineStr">
        <is>
          <t>A_VERIFIER_BUDGET</t>
        </is>
      </c>
      <c r="U18" t="inlineStr"/>
      <c r="V18" t="inlineStr">
        <is>
          <t>non</t>
        </is>
      </c>
      <c r="W18" t="inlineStr">
        <is>
          <t>Vitres</t>
        </is>
      </c>
      <c r="X18" t="inlineStr">
        <is>
          <t>Autre</t>
        </is>
      </c>
      <c r="Y18" t="inlineStr">
        <is>
          <t>SERVICES</t>
        </is>
      </c>
      <c r="Z18" t="inlineStr">
        <is>
          <t>Procédure Ouverte</t>
        </is>
      </c>
      <c r="AA18" t="inlineStr">
        <is>
          <t>Avis de marché</t>
        </is>
      </c>
      <c r="AB18" t="inlineStr">
        <is>
          <t>Nettoyage de locaux</t>
        </is>
      </c>
      <c r="AC18" t="inlineStr"/>
      <c r="AD18" s="10" t="inlineStr">
        <is>
          <t>https://www.boamp.fr/pages/avis/?q=idweb:26-70503</t>
        </is>
      </c>
      <c r="AE18" t="inlineStr">
        <is>
          <t>https://marches.maximilien.fr/entreprise/consultation/943277?orgAcronyme=a1j</t>
        </is>
      </c>
      <c r="AF18" t="inlineStr">
        <is>
          <t>https://marches.maximilien.fr/entreprise/consultation/943277?orgAcronyme=a1j</t>
        </is>
      </c>
      <c r="AG18" t="inlineStr">
        <is>
          <t>nettoyage</t>
        </is>
      </c>
      <c r="AH18" t="inlineStr">
        <is>
          <t>3</t>
        </is>
      </c>
      <c r="AI18" t="inlineStr">
        <is>
          <t>68</t>
        </is>
      </c>
      <c r="AJ18" t="inlineStr">
        <is>
          <t>INFO_PARTIELLE</t>
        </is>
      </c>
      <c r="AK18" t="inlineStr">
        <is>
          <t>55</t>
        </is>
      </c>
      <c r="AL18" t="inlineStr">
        <is>
          <t>TIEDE</t>
        </is>
      </c>
      <c r="AM18">
        <f>MIN(100,MAX(0,IF(OR(ISNUMBER(SEARCH("nettoyage",C18)),ISNUMBER(SEARCH("proprete",C18)),ISNUMBER(SEARCH("entretien",C18)),ISNUMBER(SEARCH("hygiene",C18))),35,0)+IF(SUM(--(N18="75")+--(O18="75"),--(N18="77")+--(O18="77"),--(N18="78")+--(O18="78"),--(N18="91")+--(O18="91"),--(N18="92")+--(O18="92"),--(N18="93")+--(O18="93"),--(N18="94")+--(O18="94"),--(N18="95")+--(O18="95"))&gt;0,25,4)+IF(S18="",10,IF(S18&lt;=50000,25,IF(S18&lt;=100000,20,IF(S18&lt;=200000,5,IF(S18&lt;=500000,-10,-20)))))+IF(I18&lt;&gt;"",4,0)+IF(J18&lt;&gt;"",4,0)+IF(E18&lt;&gt;"",3,0)+IF(K18&lt;&gt;"",2,0)+IF(M18&lt;&gt;"",1,0)+IF(AD18&lt;&gt;"",1,0)+IF(R18="",0,IF(R18&lt;TODAY(),-30,IF(R18&lt;TODAY()+5,-15,IF(R18&lt;=TODAY()+15,5,10))))))</f>
        <v/>
      </c>
      <c r="AN18">
        <f>IF(AM18&gt;=65,"CHAUD",IF(AM18&gt;=40,"TIEDE","FROID"))</f>
        <v/>
      </c>
      <c r="AO18">
        <f>IF((IF(I18&lt;&gt;"",1,0)+IF(J18&lt;&gt;"",1,0)+IF(E18&lt;&gt;"",1,0)+IF(K18&lt;&gt;"",1,0))&gt;=4,"Complet",IF((IF(I18&lt;&gt;"",1,0)+IF(J18&lt;&gt;"",1,0)+IF(E18&lt;&gt;"",1,0)+IF(K18&lt;&gt;"",1,0))&gt;=2,"Partiel","Vide"))</f>
        <v/>
      </c>
      <c r="AP18">
        <f>IF(AJ18="DCE_A_TELECHARGER","Telecharger DCE",IF(T18="A_VERIFIER_BUDGET","Verifier budget",IF(AN18="CHAUD","Contacter maintenant",IF(AN18="TIEDE","Surveiller / relancer","Basse priorite"))))</f>
        <v/>
      </c>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delai confortable 38j</t>
        </is>
      </c>
      <c r="BC18" t="inlineStr">
        <is>
          <t>GHT GPNE publie un AO potentiellement pertinent pour CHRUTH : Prestations de nettoyage des locaux et de la vitrerie et prestations associées pour les sites du GHT Grand Paris Nord-Est. Zone : 93. Budget a verifier. Verifier le lien source avant contact.</t>
        </is>
      </c>
      <c r="BD18"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18"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2026-W29</t>
        </is>
      </c>
    </row>
    <row r="19">
      <c r="A19" t="inlineStr">
        <is>
          <t>BOAMP</t>
        </is>
      </c>
      <c r="B19" t="inlineStr">
        <is>
          <t>26-72690</t>
        </is>
      </c>
      <c r="C19" t="inlineStr">
        <is>
          <t>Service de mise à disposition de personnel</t>
        </is>
      </c>
      <c r="D19" t="inlineStr">
        <is>
          <t>Mairie d&amp;#039;ANTONY</t>
        </is>
      </c>
      <c r="E19" t="inlineStr">
        <is>
          <t>21920002900011</t>
        </is>
      </c>
      <c r="F19" t="inlineStr">
        <is>
          <t>219200029</t>
        </is>
      </c>
      <c r="G19" t="inlineStr"/>
      <c r="H19" t="inlineStr"/>
      <c r="I19" t="inlineStr">
        <is>
          <t>marchespublics@ville-antony.fr</t>
        </is>
      </c>
      <c r="J19" t="inlineStr">
        <is>
          <t>+33 140966840</t>
        </is>
      </c>
      <c r="K19" t="inlineStr"/>
      <c r="L19" t="inlineStr"/>
      <c r="M19" t="inlineStr"/>
      <c r="N19" t="inlineStr">
        <is>
          <t>92</t>
        </is>
      </c>
      <c r="O19" t="inlineStr"/>
      <c r="P19" t="inlineStr">
        <is>
          <t>Ile-de-France</t>
        </is>
      </c>
      <c r="Q19" s="14" t="n">
        <v>46225</v>
      </c>
      <c r="R19" s="14" t="n">
        <v>46274</v>
      </c>
      <c r="S19" s="15" t="n">
        <v>150000</v>
      </c>
      <c r="T19" t="inlineStr">
        <is>
          <t>BUDGET_EXPLICITE_OK</t>
        </is>
      </c>
      <c r="U19" t="inlineStr">
        <is>
          <t>37500</t>
        </is>
      </c>
      <c r="V19" t="inlineStr">
        <is>
          <t>oui</t>
        </is>
      </c>
      <c r="W19" t="inlineStr">
        <is>
          <t>Personnel</t>
        </is>
      </c>
      <c r="X19" t="inlineStr">
        <is>
          <t>Mairie</t>
        </is>
      </c>
      <c r="Y19" t="inlineStr">
        <is>
          <t>SERVICES</t>
        </is>
      </c>
      <c r="Z19" t="inlineStr">
        <is>
          <t>Procédure Ouverte</t>
        </is>
      </c>
      <c r="AA19" t="inlineStr">
        <is>
          <t>Avis de marché</t>
        </is>
      </c>
      <c r="AB19" t="inlineStr">
        <is>
          <t>Mise à disposition de personnel</t>
        </is>
      </c>
      <c r="AC19" t="inlineStr"/>
      <c r="AD19" s="10" t="inlineStr">
        <is>
          <t>https://www.boamp.fr/pages/avis/?q=idweb:26-72690</t>
        </is>
      </c>
      <c r="AE19" t="inlineStr">
        <is>
          <t>https://marches.maximilien.fr/</t>
        </is>
      </c>
      <c r="AF19" t="inlineStr">
        <is>
          <t>https://marches.maximilien.fr/</t>
        </is>
      </c>
      <c r="AG19" t="inlineStr"/>
      <c r="AH19" t="inlineStr">
        <is>
          <t>3</t>
        </is>
      </c>
      <c r="AI19" t="inlineStr">
        <is>
          <t>60</t>
        </is>
      </c>
      <c r="AJ19" t="inlineStr">
        <is>
          <t>INFO_PARTIELLE</t>
        </is>
      </c>
      <c r="AK19" t="inlineStr">
        <is>
          <t>45</t>
        </is>
      </c>
      <c r="AL19" t="inlineStr">
        <is>
          <t>TIEDE</t>
        </is>
      </c>
      <c r="AM19">
        <f>MIN(100,MAX(0,IF(OR(ISNUMBER(SEARCH("nettoyage",C19)),ISNUMBER(SEARCH("proprete",C19)),ISNUMBER(SEARCH("entretien",C19)),ISNUMBER(SEARCH("hygiene",C19))),35,0)+IF(SUM(--(N19="75")+--(O19="75"),--(N19="77")+--(O19="77"),--(N19="78")+--(O19="78"),--(N19="91")+--(O19="91"),--(N19="92")+--(O19="92"),--(N19="93")+--(O19="93"),--(N19="94")+--(O19="94"),--(N19="95")+--(O19="95"))&gt;0,25,4)+IF(S19="",10,IF(S19&lt;=50000,25,IF(S19&lt;=100000,20,IF(S19&lt;=200000,5,IF(S19&lt;=500000,-10,-20)))))+IF(I19&lt;&gt;"",4,0)+IF(J19&lt;&gt;"",4,0)+IF(E19&lt;&gt;"",3,0)+IF(K19&lt;&gt;"",2,0)+IF(M19&lt;&gt;"",1,0)+IF(AD19&lt;&gt;"",1,0)+IF(R19="",0,IF(R19&lt;TODAY(),-30,IF(R19&lt;TODAY()+5,-15,IF(R19&lt;=TODAY()+15,5,10))))))</f>
        <v/>
      </c>
      <c r="AN19">
        <f>IF(AM19&gt;=65,"CHAUD",IF(AM19&gt;=40,"TIEDE","FROID"))</f>
        <v/>
      </c>
      <c r="AO19">
        <f>IF((IF(I19&lt;&gt;"",1,0)+IF(J19&lt;&gt;"",1,0)+IF(E19&lt;&gt;"",1,0)+IF(K19&lt;&gt;"",1,0))&gt;=4,"Complet",IF((IF(I19&lt;&gt;"",1,0)+IF(J19&lt;&gt;"",1,0)+IF(E19&lt;&gt;"",1,0)+IF(K19&lt;&gt;"",1,0))&gt;=2,"Partiel","Vide"))</f>
        <v/>
      </c>
      <c r="AP19">
        <f>IF(AJ19="DCE_A_TELECHARGER","Telecharger DCE",IF(T19="A_VERIFIER_BUDGET","Verifier budget",IF(AN19="CHAUD","Contacter maintenant",IF(AN19="TIEDE","Surveiller / relancer","Basse priorite"))))</f>
        <v/>
      </c>
      <c r="AQ19" t="inlineStr">
        <is>
          <t>IA_CONTACT_A_COMPLETER</t>
        </is>
      </c>
      <c r="AR19" t="inlineStr">
        <is>
          <t>Completer les champs manquants depuis l'avis source, le site acheteur ou le DCE.</t>
        </is>
      </c>
      <c r="AS19" t="inlineStr">
        <is>
          <t>adresse, ville</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19" t="inlineStr">
        <is>
          <t>Verifier url_avis et DCE si disponible</t>
        </is>
      </c>
      <c r="AV19" t="inlineStr"/>
      <c r="AW19" t="inlineStr"/>
      <c r="AX19" t="inlineStr"/>
      <c r="AY19" t="inlineStr"/>
      <c r="AZ19" t="inlineStr"/>
      <c r="BA19" t="inlineStr"/>
      <c r="BB19" t="inlineStr">
        <is>
          <t>0 pertinence metier faible | +25 budget annualise &lt;= 50 000 EUR | +10 secteur cible Mairie | +10 delai confortable 43j</t>
        </is>
      </c>
      <c r="BC19" t="inlineStr">
        <is>
          <t>Mairie d&amp;#039;ANTONY publie un AO potentiellement pertinent pour CHRUTH : Service de mise à disposition de personnel. Zone : 92. Budget detecte environ 150 000 EUR. Verifier le lien source avant contact.</t>
        </is>
      </c>
      <c r="BD19"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19"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2026-W30</t>
        </is>
      </c>
    </row>
    <row r="20">
      <c r="A20" t="inlineStr">
        <is>
          <t>BOAMP</t>
        </is>
      </c>
      <c r="B20" t="inlineStr">
        <is>
          <t>26-70805</t>
        </is>
      </c>
      <c r="C20" t="inlineStr">
        <is>
          <t>Prestation de paie externalisée</t>
        </is>
      </c>
      <c r="D20" t="inlineStr">
        <is>
          <t>Les Eaux de la Confluence</t>
        </is>
      </c>
      <c r="E20" t="inlineStr">
        <is>
          <t>10133050400016</t>
        </is>
      </c>
      <c r="F20" t="inlineStr">
        <is>
          <t>101330504</t>
        </is>
      </c>
      <c r="G20" t="inlineStr">
        <is>
          <t>Service achat</t>
        </is>
      </c>
      <c r="H20" t="inlineStr"/>
      <c r="I20" t="inlineStr">
        <is>
          <t>juliette.gontier@leseauxdelaconfluence.fr</t>
        </is>
      </c>
      <c r="J20" t="inlineStr">
        <is>
          <t>0133050400</t>
        </is>
      </c>
      <c r="K20" t="inlineStr">
        <is>
          <t>(95) Val-d'Oise</t>
        </is>
      </c>
      <c r="L20" t="inlineStr">
        <is>
          <t>95027</t>
        </is>
      </c>
      <c r="M20" t="inlineStr">
        <is>
          <t>Cergy-Pontoise</t>
        </is>
      </c>
      <c r="N20" t="inlineStr">
        <is>
          <t>95</t>
        </is>
      </c>
      <c r="O20" t="inlineStr"/>
      <c r="P20" t="inlineStr">
        <is>
          <t>Ile-de-France</t>
        </is>
      </c>
      <c r="Q20" s="14" t="n">
        <v>46219</v>
      </c>
      <c r="R20" s="14" t="n">
        <v>46240</v>
      </c>
      <c r="S20" s="15" t="n">
        <v>95027</v>
      </c>
      <c r="T20" t="inlineStr">
        <is>
          <t>BUDGET_SOUS_SEUIL</t>
        </is>
      </c>
      <c r="U20" t="inlineStr">
        <is>
          <t>190054</t>
        </is>
      </c>
      <c r="V20" t="inlineStr">
        <is>
          <t>oui</t>
        </is>
      </c>
      <c r="W20" t="inlineStr">
        <is>
          <t>Batiments</t>
        </is>
      </c>
      <c r="X20" t="inlineStr">
        <is>
          <t>Autre</t>
        </is>
      </c>
      <c r="Y20" t="inlineStr">
        <is>
          <t>SERVICES</t>
        </is>
      </c>
      <c r="Z20" t="inlineStr">
        <is>
          <t>Procédure Ouverte</t>
        </is>
      </c>
      <c r="AA20" t="inlineStr">
        <is>
          <t>Avis de marché</t>
        </is>
      </c>
      <c r="AB20" t="inlineStr">
        <is>
          <t>Nettoyage de locaux</t>
        </is>
      </c>
      <c r="AC20" t="inlineStr"/>
      <c r="AD20" s="10" t="inlineStr">
        <is>
          <t>https://www.boamp.fr/pages/avis/?q=idweb:26-70805</t>
        </is>
      </c>
      <c r="AE20" t="inlineStr">
        <is>
          <t>https://marches.maximilien.fr/entreprise/consultation/943427?orgAcronyme=a7q</t>
        </is>
      </c>
      <c r="AF20" t="inlineStr">
        <is>
          <t>https://marches.maximilien.fr/entreprise/consultation/943427?orgAcronyme=a7q</t>
        </is>
      </c>
      <c r="AG20" t="inlineStr">
        <is>
          <t>nettoyage</t>
        </is>
      </c>
      <c r="AH20" t="inlineStr">
        <is>
          <t>6</t>
        </is>
      </c>
      <c r="AI20" t="inlineStr">
        <is>
          <t>98</t>
        </is>
      </c>
      <c r="AJ20" t="inlineStr">
        <is>
          <t>INFO_PARTIELLE</t>
        </is>
      </c>
      <c r="AK20" t="inlineStr">
        <is>
          <t>45</t>
        </is>
      </c>
      <c r="AL20" t="inlineStr">
        <is>
          <t>TIEDE</t>
        </is>
      </c>
      <c r="AM20">
        <f>MIN(100,MAX(0,IF(OR(ISNUMBER(SEARCH("nettoyage",C20)),ISNUMBER(SEARCH("proprete",C20)),ISNUMBER(SEARCH("entretien",C20)),ISNUMBER(SEARCH("hygiene",C20))),35,0)+IF(SUM(--(N20="75")+--(O20="75"),--(N20="77")+--(O20="77"),--(N20="78")+--(O20="78"),--(N20="91")+--(O20="91"),--(N20="92")+--(O20="92"),--(N20="93")+--(O20="93"),--(N20="94")+--(O20="94"),--(N20="95")+--(O20="95"))&gt;0,25,4)+IF(S20="",10,IF(S20&lt;=50000,25,IF(S20&lt;=100000,20,IF(S20&lt;=200000,5,IF(S20&lt;=500000,-10,-20)))))+IF(I20&lt;&gt;"",4,0)+IF(J20&lt;&gt;"",4,0)+IF(E20&lt;&gt;"",3,0)+IF(K20&lt;&gt;"",2,0)+IF(M20&lt;&gt;"",1,0)+IF(AD20&lt;&gt;"",1,0)+IF(R20="",0,IF(R20&lt;TODAY(),-30,IF(R20&lt;TODAY()+5,-15,IF(R20&lt;=TODAY()+15,5,10))))))</f>
        <v/>
      </c>
      <c r="AN20">
        <f>IF(AM20&gt;=65,"CHAUD",IF(AM20&gt;=40,"TIEDE","FROID"))</f>
        <v/>
      </c>
      <c r="AO20">
        <f>IF((IF(I20&lt;&gt;"",1,0)+IF(J20&lt;&gt;"",1,0)+IF(E20&lt;&gt;"",1,0)+IF(K20&lt;&gt;"",1,0))&gt;=4,"Complet",IF((IF(I20&lt;&gt;"",1,0)+IF(J20&lt;&gt;"",1,0)+IF(E20&lt;&gt;"",1,0)+IF(K20&lt;&gt;"",1,0))&gt;=2,"Partiel","Vide"))</f>
        <v/>
      </c>
      <c r="AP20">
        <f>IF(AJ20="DCE_A_TELECHARGER","Telecharger DCE",IF(T20="A_VERIFIER_BUDGET","Verifier budget",IF(AN20="CHAUD","Contacter maintenant",IF(AN20="TIEDE","Surveiller / relancer","Basse priorite"))))</f>
        <v/>
      </c>
      <c r="AQ20" t="inlineStr">
        <is>
          <t>IA_CONTROLE_SOURCE</t>
        </is>
      </c>
      <c r="AR20" t="inlineStr">
        <is>
          <t>Verifier rapidement la source avant contact.</t>
        </is>
      </c>
      <c r="AS20" t="inlineStr">
        <is>
          <t>Aucun champ critique manquant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20" t="inlineStr">
        <is>
          <t>Verifier url_avis et DCE si disponible</t>
        </is>
      </c>
      <c r="AV20" t="inlineStr"/>
      <c r="AW20" t="inlineStr"/>
      <c r="AX20" t="inlineStr"/>
      <c r="AY20" t="inlineStr"/>
      <c r="AZ20" t="inlineStr"/>
      <c r="BA20" t="inlineStr"/>
      <c r="BB20" t="inlineStr">
        <is>
          <t>+35 nettoyage + categorie claire | +5 budget annualise &lt;= 200 000 EUR | +5 delai court 9j</t>
        </is>
      </c>
      <c r="BC20" t="inlineStr">
        <is>
          <t>Les Eaux de la Confluence publie un AO potentiellement pertinent pour CHRUTH : Prestation de paie externalisée. Zone : Cergy-Pontoise. Budget detecte environ 95 027 EUR. Verifier le lien source avant contact.</t>
        </is>
      </c>
      <c r="BD20"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20"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2026-W29</t>
        </is>
      </c>
    </row>
    <row r="21">
      <c r="A21" t="inlineStr">
        <is>
          <t>BOAMP</t>
        </is>
      </c>
      <c r="B21" t="inlineStr">
        <is>
          <t>26-70259</t>
        </is>
      </c>
      <c r="C21" t="inlineStr">
        <is>
          <t>Marché de prestations de gardiennage lors de manifestations sur sites
Le titulaire du présent marché sera capable d'assurer sa mission de gardiennage dans le cadre d'interventions planifiée</t>
        </is>
      </c>
      <c r="D21" t="inlineStr">
        <is>
          <t>Mairie de Sannois</t>
        </is>
      </c>
      <c r="E21" t="inlineStr"/>
      <c r="F21" t="inlineStr"/>
      <c r="G21" t="inlineStr"/>
      <c r="H21" t="inlineStr"/>
      <c r="I21" t="inlineStr">
        <is>
          <t>publications-joue@aws-france.com</t>
        </is>
      </c>
      <c r="J21" t="inlineStr">
        <is>
          <t>+33480041260</t>
        </is>
      </c>
      <c r="K21" t="inlineStr"/>
      <c r="L21" t="inlineStr"/>
      <c r="M21" t="inlineStr"/>
      <c r="N21" t="inlineStr">
        <is>
          <t>95</t>
        </is>
      </c>
      <c r="O21" t="inlineStr"/>
      <c r="P21" t="inlineStr">
        <is>
          <t>Ile-de-France</t>
        </is>
      </c>
      <c r="Q21" s="14" t="n">
        <v>46219</v>
      </c>
      <c r="R21" s="14" t="n">
        <v>46251</v>
      </c>
      <c r="S21" s="15" t="n">
        <v>55000</v>
      </c>
      <c r="T21" t="inlineStr">
        <is>
          <t>BUDGET_SOUS_SEUIL</t>
        </is>
      </c>
      <c r="U21" t="inlineStr">
        <is>
          <t>55000.0</t>
        </is>
      </c>
      <c r="V21" t="inlineStr">
        <is>
          <t>non</t>
        </is>
      </c>
      <c r="W21" t="inlineStr">
        <is>
          <t>Personnel</t>
        </is>
      </c>
      <c r="X21" t="inlineStr">
        <is>
          <t>Mairie</t>
        </is>
      </c>
      <c r="Y21" t="inlineStr">
        <is>
          <t>SERVICES</t>
        </is>
      </c>
      <c r="Z21" t="inlineStr">
        <is>
          <t>Procédure Ouverte</t>
        </is>
      </c>
      <c r="AA21" t="inlineStr">
        <is>
          <t>Avis de marché</t>
        </is>
      </c>
      <c r="AB21" t="inlineStr">
        <is>
          <t>Gardiennage, Prestations de services, Surveillance</t>
        </is>
      </c>
      <c r="AC21" t="inlineStr">
        <is>
          <t>['sociaux', 'environnementaux']</t>
        </is>
      </c>
      <c r="AD21" s="10" t="inlineStr">
        <is>
          <t>https://www.boamp.fr/pages/avis/?q=idweb:26-70259</t>
        </is>
      </c>
      <c r="AE21" t="inlineStr">
        <is>
          <t>https://www.achatpublic.com/</t>
        </is>
      </c>
      <c r="AF21" t="inlineStr">
        <is>
          <t>https://www.achatpublic.com/</t>
        </is>
      </c>
      <c r="AG21" t="inlineStr"/>
      <c r="AH21" t="inlineStr">
        <is>
          <t>2</t>
        </is>
      </c>
      <c r="AI21" t="inlineStr">
        <is>
          <t>50</t>
        </is>
      </c>
      <c r="AJ21" t="inlineStr">
        <is>
          <t>INFO_PARTIELLE</t>
        </is>
      </c>
      <c r="AK21" t="inlineStr">
        <is>
          <t>40</t>
        </is>
      </c>
      <c r="AL21" t="inlineStr">
        <is>
          <t>TIEDE</t>
        </is>
      </c>
      <c r="AM21">
        <f>MIN(100,MAX(0,IF(OR(ISNUMBER(SEARCH("nettoyage",C21)),ISNUMBER(SEARCH("proprete",C21)),ISNUMBER(SEARCH("entretien",C21)),ISNUMBER(SEARCH("hygiene",C21))),35,0)+IF(SUM(--(N21="75")+--(O21="75"),--(N21="77")+--(O21="77"),--(N21="78")+--(O21="78"),--(N21="91")+--(O21="91"),--(N21="92")+--(O21="92"),--(N21="93")+--(O21="93"),--(N21="94")+--(O21="94"),--(N21="95")+--(O21="95"))&gt;0,25,4)+IF(S21="",10,IF(S21&lt;=50000,25,IF(S21&lt;=100000,20,IF(S21&lt;=200000,5,IF(S21&lt;=500000,-10,-20)))))+IF(I21&lt;&gt;"",4,0)+IF(J21&lt;&gt;"",4,0)+IF(E21&lt;&gt;"",3,0)+IF(K21&lt;&gt;"",2,0)+IF(M21&lt;&gt;"",1,0)+IF(AD21&lt;&gt;"",1,0)+IF(R21="",0,IF(R21&lt;TODAY(),-30,IF(R21&lt;TODAY()+5,-15,IF(R21&lt;=TODAY()+15,5,10))))))</f>
        <v/>
      </c>
      <c r="AN21">
        <f>IF(AM21&gt;=65,"CHAUD",IF(AM21&gt;=40,"TIEDE","FROID"))</f>
        <v/>
      </c>
      <c r="AO21">
        <f>IF((IF(I21&lt;&gt;"",1,0)+IF(J21&lt;&gt;"",1,0)+IF(E21&lt;&gt;"",1,0)+IF(K21&lt;&gt;"",1,0))&gt;=4,"Complet",IF((IF(I21&lt;&gt;"",1,0)+IF(J21&lt;&gt;"",1,0)+IF(E21&lt;&gt;"",1,0)+IF(K21&lt;&gt;"",1,0))&gt;=2,"Partiel","Vide"))</f>
        <v/>
      </c>
      <c r="AP21">
        <f>IF(AJ21="DCE_A_TELECHARGER","Telecharger DCE",IF(T21="A_VERIFIER_BUDGET","Verifier budget",IF(AN21="CHAUD","Contacter maintenant",IF(AN21="TIEDE","Surveiller / relancer","Basse priorite"))))</f>
        <v/>
      </c>
      <c r="AQ21" t="inlineStr">
        <is>
          <t>IA_CONTACT_A_COMPLETER</t>
        </is>
      </c>
      <c r="AR21" t="inlineStr">
        <is>
          <t>Completer les champs manquants depuis l'avis source, le site acheteur ou le DCE.</t>
        </is>
      </c>
      <c r="AS21" t="inlineStr">
        <is>
          <t>SIRET, 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21" t="inlineStr">
        <is>
          <t>Verifier url_avis et DCE si disponible</t>
        </is>
      </c>
      <c r="AV21" t="inlineStr"/>
      <c r="AW21" t="inlineStr"/>
      <c r="AX21" t="inlineStr"/>
      <c r="AY21" t="inlineStr"/>
      <c r="AZ21" t="inlineStr"/>
      <c r="BA21" t="inlineStr"/>
      <c r="BB21" t="inlineStr">
        <is>
          <t>0 pertinence metier faible | +20 budget annualise &lt;= 100 000 EUR | +10 secteur cible Mairie | +10 delai confortable 20j</t>
        </is>
      </c>
      <c r="BC21"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21"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21"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26-74504</t>
        </is>
      </c>
      <c r="C22" t="inlineStr">
        <is>
          <t>chalet DGAC pour le salon du Bourget</t>
        </is>
      </c>
      <c r="D22" t="inlineStr">
        <is>
          <t>SG / SDF2</t>
        </is>
      </c>
      <c r="E22" t="inlineStr">
        <is>
          <t>12006401900074</t>
        </is>
      </c>
      <c r="F22" t="inlineStr">
        <is>
          <t>120064019</t>
        </is>
      </c>
      <c r="G22" t="inlineStr">
        <is>
          <t>SDF2 - Pole achats et marchés</t>
        </is>
      </c>
      <c r="H22" t="inlineStr"/>
      <c r="I22" t="inlineStr">
        <is>
          <t>pmi-dgac@aviation-civile.gouv.fr</t>
        </is>
      </c>
      <c r="J22" t="inlineStr">
        <is>
          <t>0640190007</t>
        </is>
      </c>
      <c r="K22" t="inlineStr">
        <is>
          <t>Le parc des expositions de Paris-Le Bourget, aéroport Paris-Le Bourget, 93 350 Le Bourget</t>
        </is>
      </c>
      <c r="L22" t="inlineStr">
        <is>
          <t>75720</t>
        </is>
      </c>
      <c r="M22" t="inlineStr">
        <is>
          <t>Paris Cedex 15</t>
        </is>
      </c>
      <c r="N22" t="inlineStr">
        <is>
          <t>75,93</t>
        </is>
      </c>
      <c r="O22" t="inlineStr"/>
      <c r="P22" t="inlineStr">
        <is>
          <t>Ile-de-France</t>
        </is>
      </c>
      <c r="Q22" s="14" t="n">
        <v>46227</v>
      </c>
      <c r="R22" s="14" t="n">
        <v>46279</v>
      </c>
      <c r="S22" s="15" t="n">
        <v>570000</v>
      </c>
      <c r="T22" t="inlineStr">
        <is>
          <t>BUDGET_EXPLICITE_OK</t>
        </is>
      </c>
      <c r="U22" t="inlineStr">
        <is>
          <t>285000</t>
        </is>
      </c>
      <c r="V22" t="inlineStr">
        <is>
          <t>oui</t>
        </is>
      </c>
      <c r="W22" t="inlineStr">
        <is>
          <t>Personnel</t>
        </is>
      </c>
      <c r="X22" t="inlineStr">
        <is>
          <t>Autre</t>
        </is>
      </c>
      <c r="Y22" t="inlineStr">
        <is>
          <t>TRAVAUX</t>
        </is>
      </c>
      <c r="Z22" t="inlineStr">
        <is>
          <t>Procédure Ouverte</t>
        </is>
      </c>
      <c r="AA22" t="inlineStr">
        <is>
          <t>Avis de marché</t>
        </is>
      </c>
      <c r="AB22" t="inlineStr">
        <is>
          <t>Stand, Evénementiel</t>
        </is>
      </c>
      <c r="AC22" t="inlineStr">
        <is>
          <t>['environnementaux']</t>
        </is>
      </c>
      <c r="AD22" s="10" t="inlineStr">
        <is>
          <t>https://www.boamp.fr/pages/avis/?q=idweb:26-74504</t>
        </is>
      </c>
      <c r="AE22" t="inlineStr">
        <is>
          <t>https://www.marches-publics.gouv.fr/entreprise/consultation/3043184?orgAcronyme=d4t</t>
        </is>
      </c>
      <c r="AF22" t="inlineStr">
        <is>
          <t>https://www.marches-publics.gouv.fr/entreprise/consultation/3043184?orgAcronyme=d4t</t>
        </is>
      </c>
      <c r="AG22" t="inlineStr">
        <is>
          <t>nettoyage</t>
        </is>
      </c>
      <c r="AH22" t="inlineStr">
        <is>
          <t>6</t>
        </is>
      </c>
      <c r="AI22" t="inlineStr">
        <is>
          <t>98</t>
        </is>
      </c>
      <c r="AJ22" t="inlineStr">
        <is>
          <t>INFO_COMPLETE</t>
        </is>
      </c>
      <c r="AK22" t="inlineStr">
        <is>
          <t>35</t>
        </is>
      </c>
      <c r="AL22" s="16" t="inlineStr">
        <is>
          <t>FROID</t>
        </is>
      </c>
      <c r="AM22">
        <f>MIN(100,MAX(0,IF(OR(ISNUMBER(SEARCH("nettoyage",C22)),ISNUMBER(SEARCH("proprete",C22)),ISNUMBER(SEARCH("entretien",C22)),ISNUMBER(SEARCH("hygiene",C22))),35,0)+IF(SUM(--(N22="75")+--(O22="75"),--(N22="77")+--(O22="77"),--(N22="78")+--(O22="78"),--(N22="91")+--(O22="91"),--(N22="92")+--(O22="92"),--(N22="93")+--(O22="93"),--(N22="94")+--(O22="94"),--(N22="95")+--(O22="95"))&gt;0,25,4)+IF(S22="",10,IF(S22&lt;=50000,25,IF(S22&lt;=100000,20,IF(S22&lt;=200000,5,IF(S22&lt;=500000,-10,-20)))))+IF(I22&lt;&gt;"",4,0)+IF(J22&lt;&gt;"",4,0)+IF(E22&lt;&gt;"",3,0)+IF(K22&lt;&gt;"",2,0)+IF(M22&lt;&gt;"",1,0)+IF(AD22&lt;&gt;"",1,0)+IF(R22="",0,IF(R22&lt;TODAY(),-30,IF(R22&lt;TODAY()+5,-15,IF(R22&lt;=TODAY()+15,5,10))))))</f>
        <v/>
      </c>
      <c r="AN22">
        <f>IF(AM22&gt;=65,"CHAUD",IF(AM22&gt;=40,"TIEDE","FROID"))</f>
        <v/>
      </c>
      <c r="AO22">
        <f>IF((IF(I22&lt;&gt;"",1,0)+IF(J22&lt;&gt;"",1,0)+IF(E22&lt;&gt;"",1,0)+IF(K22&lt;&gt;"",1,0))&gt;=4,"Complet",IF((IF(I22&lt;&gt;"",1,0)+IF(J22&lt;&gt;"",1,0)+IF(E22&lt;&gt;"",1,0)+IF(K22&lt;&gt;"",1,0))&gt;=2,"Partiel","Vide"))</f>
        <v/>
      </c>
      <c r="AP22">
        <f>IF(AJ22="DCE_A_TELECHARGER","Telecharger DCE",IF(T22="A_VERIFIER_BUDGET","Verifier budget",IF(AN22="CHAUD","Contacter maintenant",IF(AN22="TIEDE","Surveiller / relancer","Basse priorite"))))</f>
        <v/>
      </c>
      <c r="AQ22" t="inlineStr">
        <is>
          <t>IA_CONTROLE_SOURCE</t>
        </is>
      </c>
      <c r="AR22" t="inlineStr">
        <is>
          <t>Verifier rapidement la source avant contact.</t>
        </is>
      </c>
      <c r="AS22" t="inlineStr">
        <is>
          <t>Aucun champ critique manquant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26-74504. Objet: chalet DGAC pour le salon du Bourget. Acheteur: SG / SDF2. Lien: https://www.boamp.fr/pages/avis/?q=idweb:26-74504.</t>
        </is>
      </c>
      <c r="AU22" t="inlineStr">
        <is>
          <t>Verifier url_avis et DCE si disponible</t>
        </is>
      </c>
      <c r="AV22" t="inlineStr"/>
      <c r="AW22" t="inlineStr"/>
      <c r="AX22" t="inlineStr"/>
      <c r="AY22" t="inlineStr"/>
      <c r="AZ22" t="inlineStr"/>
      <c r="BA22" t="inlineStr"/>
      <c r="BB22" t="inlineStr">
        <is>
          <t>+35 nettoyage + categorie claire | -10 budget annualise &lt;= 500 000 EUR | +10 delai confortable 48j</t>
        </is>
      </c>
      <c r="BC22" t="inlineStr">
        <is>
          <t>SG / SDF2 publie un AO potentiellement pertinent pour CHRUTH : chalet DGAC pour le salon du Bourget. Zone : Paris Cedex 15. Budget detecte environ 570 000 EUR. Verifier le lien source avant contact.</t>
        </is>
      </c>
      <c r="BD22" t="inlineStr">
        <is>
          <t>Bonjour,
Je me permets de vous contacter au sujet de votre appel d'offres : chalet DGAC pour le salon du Bourget.
CHRUTH accompagne les structures publiques et privées sur les besoins de nettoyage, d'entretien des locaux et d'organisation de prestations de service.
Serait-il possible d'échanger rapidement afin de vérifier les modalités de réponse et les attentes de SG / SDF2 ?
Cordialement,</t>
        </is>
      </c>
      <c r="BE22" t="inlineStr">
        <is>
          <t>Bonjour, je vous appelle concernant un appel d'offres publié par SG / SDF2.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2026-W30</t>
        </is>
      </c>
    </row>
    <row r="23">
      <c r="A23" t="inlineStr">
        <is>
          <t>BOAMP</t>
        </is>
      </c>
      <c r="B23" t="inlineStr">
        <is>
          <t>26-73442</t>
        </is>
      </c>
      <c r="C23" t="inlineStr">
        <is>
          <t>Travaux de menuiseries extérieures et de vitrerie dans les bâtiments communaux</t>
        </is>
      </c>
      <c r="D23" t="inlineStr">
        <is>
          <t>Ville de Montrouge
Direction des bâtiments, énergie et propreté 
43 avenue de la République
92120 MONTROUGE</t>
        </is>
      </c>
      <c r="E23" t="inlineStr">
        <is>
          <t>21920049000015</t>
        </is>
      </c>
      <c r="F23" t="inlineStr">
        <is>
          <t>219200490</t>
        </is>
      </c>
      <c r="G23" t="inlineStr"/>
      <c r="H23" t="inlineStr"/>
      <c r="I23" t="inlineStr">
        <is>
          <t>o.satouri@ville-montrouge.fr</t>
        </is>
      </c>
      <c r="J23" t="inlineStr">
        <is>
          <t>0146127540</t>
        </is>
      </c>
      <c r="K23" t="inlineStr"/>
      <c r="L23" t="inlineStr"/>
      <c r="M23" t="inlineStr"/>
      <c r="N23" t="inlineStr">
        <is>
          <t>92,75</t>
        </is>
      </c>
      <c r="O23" t="inlineStr"/>
      <c r="P23" t="inlineStr">
        <is>
          <t>Ile-de-France</t>
        </is>
      </c>
      <c r="Q23" s="14" t="n">
        <v>46227</v>
      </c>
      <c r="R23" s="14" t="n">
        <v>46293</v>
      </c>
      <c r="S23" s="15" t="n">
        <v>3200000</v>
      </c>
      <c r="T23" t="inlineStr">
        <is>
          <t>BUDGET_EXPLICITE_OK</t>
        </is>
      </c>
      <c r="U23" t="inlineStr">
        <is>
          <t>3200000.0</t>
        </is>
      </c>
      <c r="V23" t="inlineStr">
        <is>
          <t>non</t>
        </is>
      </c>
      <c r="W23" t="inlineStr">
        <is>
          <t>Vitres</t>
        </is>
      </c>
      <c r="X23" t="inlineStr">
        <is>
          <t>Mairie</t>
        </is>
      </c>
      <c r="Y23" t="inlineStr">
        <is>
          <t>TRAVAUX</t>
        </is>
      </c>
      <c r="Z23" t="inlineStr">
        <is>
          <t>Procédure Ouverte</t>
        </is>
      </c>
      <c r="AA23" t="inlineStr">
        <is>
          <t>Avis de marché</t>
        </is>
      </c>
      <c r="AB23" t="inlineStr">
        <is>
          <t>Menuiserie</t>
        </is>
      </c>
      <c r="AC23" t="inlineStr">
        <is>
          <t>['environnementaux']</t>
        </is>
      </c>
      <c r="AD23" s="10" t="inlineStr">
        <is>
          <t>https://www.boamp.fr/pages/avis/?q=idweb:26-73442</t>
        </is>
      </c>
      <c r="AE23" t="inlineStr">
        <is>
          <t>https://www.achatpublic.com/sdm/ent/gen/ent_detail.do?PCSLID=CSL_2026_YLyiWdUZqH</t>
        </is>
      </c>
      <c r="AF23" t="inlineStr">
        <is>
          <t>https://www.achatpublic.com/sdm/ent/gen/ent_detail.do?PCSLID=CSL_2026_YLyiWdUZqH</t>
        </is>
      </c>
      <c r="AG23" t="inlineStr">
        <is>
          <t>proprete</t>
        </is>
      </c>
      <c r="AH23" t="inlineStr">
        <is>
          <t>3</t>
        </is>
      </c>
      <c r="AI23" t="inlineStr">
        <is>
          <t>68</t>
        </is>
      </c>
      <c r="AJ23" t="inlineStr">
        <is>
          <t>INFO_PARTIELLE</t>
        </is>
      </c>
      <c r="AK23" t="inlineStr">
        <is>
          <t>35</t>
        </is>
      </c>
      <c r="AL23" s="16" t="inlineStr">
        <is>
          <t>FROID</t>
        </is>
      </c>
      <c r="AM23">
        <f>MIN(100,MAX(0,IF(OR(ISNUMBER(SEARCH("nettoyage",C23)),ISNUMBER(SEARCH("proprete",C23)),ISNUMBER(SEARCH("entretien",C23)),ISNUMBER(SEARCH("hygiene",C23))),35,0)+IF(SUM(--(N23="75")+--(O23="75"),--(N23="77")+--(O23="77"),--(N23="78")+--(O23="78"),--(N23="91")+--(O23="91"),--(N23="92")+--(O23="92"),--(N23="93")+--(O23="93"),--(N23="94")+--(O23="94"),--(N23="95")+--(O23="95"))&gt;0,25,4)+IF(S23="",10,IF(S23&lt;=50000,25,IF(S23&lt;=100000,20,IF(S23&lt;=200000,5,IF(S23&lt;=500000,-10,-20)))))+IF(I23&lt;&gt;"",4,0)+IF(J23&lt;&gt;"",4,0)+IF(E23&lt;&gt;"",3,0)+IF(K23&lt;&gt;"",2,0)+IF(M23&lt;&gt;"",1,0)+IF(AD23&lt;&gt;"",1,0)+IF(R23="",0,IF(R23&lt;TODAY(),-30,IF(R23&lt;TODAY()+5,-15,IF(R23&lt;=TODAY()+15,5,10))))))</f>
        <v/>
      </c>
      <c r="AN23">
        <f>IF(AM23&gt;=65,"CHAUD",IF(AM23&gt;=40,"TIEDE","FROID"))</f>
        <v/>
      </c>
      <c r="AO23">
        <f>IF((IF(I23&lt;&gt;"",1,0)+IF(J23&lt;&gt;"",1,0)+IF(E23&lt;&gt;"",1,0)+IF(K23&lt;&gt;"",1,0))&gt;=4,"Complet",IF((IF(I23&lt;&gt;"",1,0)+IF(J23&lt;&gt;"",1,0)+IF(E23&lt;&gt;"",1,0)+IF(K23&lt;&gt;"",1,0))&gt;=2,"Partiel","Vide"))</f>
        <v/>
      </c>
      <c r="AP23">
        <f>IF(AJ23="DCE_A_TELECHARGER","Telecharger DCE",IF(T23="A_VERIFIER_BUDGET","Verifier budget",IF(AN23="CHAUD","Contacter maintenant",IF(AN23="TIEDE","Surveiller / relancer","Basse priorite"))))</f>
        <v/>
      </c>
      <c r="AQ23" t="inlineStr">
        <is>
          <t>IA_CONTACT_A_COMPLETER</t>
        </is>
      </c>
      <c r="AR23" t="inlineStr">
        <is>
          <t>Completer les champs manquants depuis l'avis source, le site acheteur ou le DCE.</t>
        </is>
      </c>
      <c r="AS23" t="inlineStr">
        <is>
          <t>adresse, ville</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26-73442. Objet: Travaux de menuiseries extérieures et de vitrerie dans les bâtiments communaux. Acheteur: Ville de Montrouge
Direction des bâtiments, énergie et propreté 
43 avenue de la République
92120 MONTROUGE. Lien: https://www.boamp.fr/pages/avis/?q=idweb:26-73442.</t>
        </is>
      </c>
      <c r="AU23" t="inlineStr">
        <is>
          <t>Verifier url_avis et DCE si disponible</t>
        </is>
      </c>
      <c r="AV23" t="inlineStr"/>
      <c r="AW23" t="inlineStr"/>
      <c r="AX23" t="inlineStr"/>
      <c r="AY23" t="inlineStr"/>
      <c r="AZ23" t="inlineStr"/>
      <c r="BA23" t="inlineStr"/>
      <c r="BB23" t="inlineStr">
        <is>
          <t>+35 nettoyage + categorie claire | -20 gros budget (&gt; 500 000 EUR) | +10 secteur cible Mairie | +10 delai confortable 62j</t>
        </is>
      </c>
      <c r="BC23" t="inlineStr">
        <is>
          <t>Ville de Montrouge
Direction des bâtiments, énergie et propreté 
43 avenue de la République
92120 MONTROUGE publie un AO potentiellement pertinent pour CHRUTH : Travaux de menuiseries extérieures et de vitrerie dans les bâtiments communaux. Zone : 92,75. Budget detecte environ 3 200 000 EUR. Verifier le lien source avant contact.</t>
        </is>
      </c>
      <c r="BD23" t="inlineStr">
        <is>
          <t>Bonjour,
Je me permets de vous contacter au sujet de votre appel d'offres : Travaux de menuiseries extérieures et de vitrerie dans les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Montrouge
Direction des bâtiments, énergie et propreté 
43 avenue de la République
92120 MONTROUGE ?
Cordialement,</t>
        </is>
      </c>
      <c r="BE23" t="inlineStr">
        <is>
          <t>Bonjour, je vous appelle concernant un appel d'offres publié par Ville de Montrouge
Direction des bâtiments, énergie et propreté 
43 avenue de la République
92120 MONTROUGE.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2026-W30</t>
        </is>
      </c>
    </row>
    <row r="24">
      <c r="A24" t="inlineStr">
        <is>
          <t>BOAMP</t>
        </is>
      </c>
      <c r="B24" t="inlineStr">
        <is>
          <t>26-73389</t>
        </is>
      </c>
      <c r="C24" t="inlineStr">
        <is>
          <t>PRESTATIONS DE SECURITE, GARDIENNAGE ET SURETE DES ARENES DE GRAND PARIS SUD</t>
        </is>
      </c>
      <c r="D24" t="inlineStr">
        <is>
          <t>CA GRAND PARIS SUD SEINE ESSONNE SENART</t>
        </is>
      </c>
      <c r="E24" t="inlineStr">
        <is>
          <t>20005922800011</t>
        </is>
      </c>
      <c r="F24" t="inlineStr">
        <is>
          <t>200059228</t>
        </is>
      </c>
      <c r="G24" t="inlineStr"/>
      <c r="H24" t="inlineStr"/>
      <c r="I24" t="inlineStr">
        <is>
          <t>commande.publique@grandparissud.fr</t>
        </is>
      </c>
      <c r="J24" t="inlineStr">
        <is>
          <t>0592280001</t>
        </is>
      </c>
      <c r="K24" t="inlineStr"/>
      <c r="L24" t="inlineStr"/>
      <c r="M24" t="inlineStr"/>
      <c r="N24" t="inlineStr">
        <is>
          <t>91,77</t>
        </is>
      </c>
      <c r="O24" t="inlineStr"/>
      <c r="P24" t="inlineStr">
        <is>
          <t>Ile-de-France</t>
        </is>
      </c>
      <c r="Q24" s="14" t="n">
        <v>46227</v>
      </c>
      <c r="R24" s="14" t="n">
        <v>46293</v>
      </c>
      <c r="S24" s="15" t="n">
        <v>300000</v>
      </c>
      <c r="T24" t="inlineStr">
        <is>
          <t>BUDGET_EXPLICITE_OK</t>
        </is>
      </c>
      <c r="U24" t="inlineStr">
        <is>
          <t>75000</t>
        </is>
      </c>
      <c r="V24" t="inlineStr">
        <is>
          <t>oui</t>
        </is>
      </c>
      <c r="W24" t="inlineStr">
        <is>
          <t>Personnel</t>
        </is>
      </c>
      <c r="X24" t="inlineStr">
        <is>
          <t>Autre</t>
        </is>
      </c>
      <c r="Y24" t="inlineStr">
        <is>
          <t>SERVICES</t>
        </is>
      </c>
      <c r="Z24" t="inlineStr">
        <is>
          <t>Procédure Ouverte</t>
        </is>
      </c>
      <c r="AA24" t="inlineStr">
        <is>
          <t>Avis de marché</t>
        </is>
      </c>
      <c r="AB24" t="inlineStr">
        <is>
          <t>Surveillance</t>
        </is>
      </c>
      <c r="AC24" t="inlineStr">
        <is>
          <t>['sociaux', 'environnementaux']</t>
        </is>
      </c>
      <c r="AD24" s="10" t="inlineStr">
        <is>
          <t>https://www.boamp.fr/pages/avis/?q=idweb:26-73389</t>
        </is>
      </c>
      <c r="AE24" t="inlineStr">
        <is>
          <t>https://www.achatpublic.com/sdm/ent/gen/ent_detail.do?PCSLID=CSL_2026_drUDYVSvmp</t>
        </is>
      </c>
      <c r="AF24" t="inlineStr">
        <is>
          <t>https://www.achatpublic.com/sdm/ent/gen/ent_detail.do?PCSLID=CSL_2026_drUDYVSvmp</t>
        </is>
      </c>
      <c r="AG24" t="inlineStr"/>
      <c r="AH24" t="inlineStr">
        <is>
          <t>3</t>
        </is>
      </c>
      <c r="AI24" t="inlineStr">
        <is>
          <t>60</t>
        </is>
      </c>
      <c r="AJ24" t="inlineStr">
        <is>
          <t>INFO_PARTIELLE</t>
        </is>
      </c>
      <c r="AK24" t="inlineStr">
        <is>
          <t>30</t>
        </is>
      </c>
      <c r="AL24" s="16" t="inlineStr">
        <is>
          <t>FROID</t>
        </is>
      </c>
      <c r="AM24">
        <f>MIN(100,MAX(0,IF(OR(ISNUMBER(SEARCH("nettoyage",C24)),ISNUMBER(SEARCH("proprete",C24)),ISNUMBER(SEARCH("entretien",C24)),ISNUMBER(SEARCH("hygiene",C24))),35,0)+IF(SUM(--(N24="75")+--(O24="75"),--(N24="77")+--(O24="77"),--(N24="78")+--(O24="78"),--(N24="91")+--(O24="91"),--(N24="92")+--(O24="92"),--(N24="93")+--(O24="93"),--(N24="94")+--(O24="94"),--(N24="95")+--(O24="95"))&gt;0,25,4)+IF(S24="",10,IF(S24&lt;=50000,25,IF(S24&lt;=100000,20,IF(S24&lt;=200000,5,IF(S24&lt;=500000,-10,-20)))))+IF(I24&lt;&gt;"",4,0)+IF(J24&lt;&gt;"",4,0)+IF(E24&lt;&gt;"",3,0)+IF(K24&lt;&gt;"",2,0)+IF(M24&lt;&gt;"",1,0)+IF(AD24&lt;&gt;"",1,0)+IF(R24="",0,IF(R24&lt;TODAY(),-30,IF(R24&lt;TODAY()+5,-15,IF(R24&lt;=TODAY()+15,5,10))))))</f>
        <v/>
      </c>
      <c r="AN24">
        <f>IF(AM24&gt;=65,"CHAUD",IF(AM24&gt;=40,"TIEDE","FROID"))</f>
        <v/>
      </c>
      <c r="AO24">
        <f>IF((IF(I24&lt;&gt;"",1,0)+IF(J24&lt;&gt;"",1,0)+IF(E24&lt;&gt;"",1,0)+IF(K24&lt;&gt;"",1,0))&gt;=4,"Complet",IF((IF(I24&lt;&gt;"",1,0)+IF(J24&lt;&gt;"",1,0)+IF(E24&lt;&gt;"",1,0)+IF(K24&lt;&gt;"",1,0))&gt;=2,"Partiel","Vide"))</f>
        <v/>
      </c>
      <c r="AP24">
        <f>IF(AJ24="DCE_A_TELECHARGER","Telecharger DCE",IF(T24="A_VERIFIER_BUDGET","Verifier budget",IF(AN24="CHAUD","Contacter maintenant",IF(AN24="TIEDE","Surveiller / relancer","Basse priorite"))))</f>
        <v/>
      </c>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26-73389. Objet: PRESTATIONS DE SECURITE, GARDIENNAGE ET SURETE DES ARENES DE GRAND PARIS SUD. Acheteur: CA GRAND PARIS SUD SEINE ESSONNE SENART. Lien: https://www.boamp.fr/pages/avis/?q=idweb:26-73389.</t>
        </is>
      </c>
      <c r="AU24" t="inlineStr">
        <is>
          <t>Verifier url_avis et DCE si disponible</t>
        </is>
      </c>
      <c r="AV24" t="inlineStr"/>
      <c r="AW24" t="inlineStr"/>
      <c r="AX24" t="inlineStr"/>
      <c r="AY24" t="inlineStr"/>
      <c r="AZ24" t="inlineStr"/>
      <c r="BA24" t="inlineStr"/>
      <c r="BB24" t="inlineStr">
        <is>
          <t>0 pertinence metier faible | +20 budget annualise &lt;= 100 000 EUR | +10 delai confortable 62j</t>
        </is>
      </c>
      <c r="BC24" t="inlineStr">
        <is>
          <t>CA GRAND PARIS SUD SEINE ESSONNE SENART publie un AO potentiellement pertinent pour CHRUTH : PRESTATIONS DE SECURITE, GARDIENNAGE ET SURETE DES ARENES DE GRAND PARIS SUD. Zone : 91,77. Budget detecte environ 300 000 EUR. Verifier le lien source avant contact.</t>
        </is>
      </c>
      <c r="BD24" t="inlineStr">
        <is>
          <t>Bonjour,
Je me permets de vous contacter au sujet de votre appel d'offres : PRESTATIONS DE SECURITE, GARDIENNAGE ET SURETE DES ARENES DE GRAND PARIS SUD.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24"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2026-W30</t>
        </is>
      </c>
    </row>
    <row r="25">
      <c r="A25" t="inlineStr">
        <is>
          <t>BOAMP</t>
        </is>
      </c>
      <c r="B25" t="inlineStr">
        <is>
          <t>26-74661</t>
        </is>
      </c>
      <c r="C25" t="inlineStr">
        <is>
          <t>Services de mise à disposition de personnels temporaires pour le Ccca-Btp</t>
        </is>
      </c>
      <c r="D25" t="inlineStr">
        <is>
          <t>Comité de concertation et de coordination de l'apprentissage du Btp</t>
        </is>
      </c>
      <c r="E25" t="inlineStr">
        <is>
          <t>77568322000104</t>
        </is>
      </c>
      <c r="F25" t="inlineStr">
        <is>
          <t>775683220</t>
        </is>
      </c>
      <c r="G25" t="inlineStr">
        <is>
          <t>cm.pragma9@ccca-btp.fr</t>
        </is>
      </c>
      <c r="H25" t="inlineStr"/>
      <c r="I25" t="inlineStr">
        <is>
          <t>cm.pragma9@ccca-btp.fr</t>
        </is>
      </c>
      <c r="J25" t="inlineStr">
        <is>
          <t>07-24 2026-09</t>
        </is>
      </c>
      <c r="K25" t="inlineStr">
        <is>
          <t>rue du Père Corentin 75014 - PARIS</t>
        </is>
      </c>
      <c r="L25" t="inlineStr">
        <is>
          <t>75014</t>
        </is>
      </c>
      <c r="M25" t="inlineStr">
        <is>
          <t>Paris</t>
        </is>
      </c>
      <c r="N25" t="inlineStr">
        <is>
          <t>75</t>
        </is>
      </c>
      <c r="O25" t="inlineStr"/>
      <c r="P25" t="inlineStr">
        <is>
          <t>Ile-de-France</t>
        </is>
      </c>
      <c r="Q25" s="14" t="n">
        <v>46227</v>
      </c>
      <c r="R25" s="14" t="n">
        <v>46269</v>
      </c>
      <c r="S25" s="15" t="n">
        <v>75014</v>
      </c>
      <c r="T25" t="inlineStr">
        <is>
          <t>BUDGET_SOUS_SEUIL</t>
        </is>
      </c>
      <c r="U25" t="inlineStr">
        <is>
          <t>75014.0</t>
        </is>
      </c>
      <c r="V25" t="inlineStr">
        <is>
          <t>non</t>
        </is>
      </c>
      <c r="W25" t="inlineStr">
        <is>
          <t>Personnel</t>
        </is>
      </c>
      <c r="X25" t="inlineStr">
        <is>
          <t>Autre</t>
        </is>
      </c>
      <c r="Y25" t="inlineStr">
        <is>
          <t>SERVICES</t>
        </is>
      </c>
      <c r="Z25" t="inlineStr">
        <is>
          <t>Procédure Ouverte</t>
        </is>
      </c>
      <c r="AA25" t="inlineStr">
        <is>
          <t>Avis de marché</t>
        </is>
      </c>
      <c r="AB25" t="inlineStr">
        <is>
          <t>Mise à disposition de personnel</t>
        </is>
      </c>
      <c r="AC25" t="inlineStr">
        <is>
          <t>['environnementaux']</t>
        </is>
      </c>
      <c r="AD25" s="10" t="inlineStr">
        <is>
          <t>https://www.boamp.fr/pages/avis/?q=idweb:26-74661</t>
        </is>
      </c>
      <c r="AE25" t="inlineStr">
        <is>
          <t>https://www.marches-publics.info/mpiaws/index.cfm?fuseaction=dematent.login&amp;type=Dce&amp;Idm=1855311</t>
        </is>
      </c>
      <c r="AF25" t="inlineStr">
        <is>
          <t>https://www.marches-publics.info/mpiaws/index.cfm?fuseaction=dematent.login&amp;type=Dce&amp;Idm=1855311</t>
        </is>
      </c>
      <c r="AG25" t="inlineStr"/>
      <c r="AH25" t="inlineStr">
        <is>
          <t>6</t>
        </is>
      </c>
      <c r="AI25" t="inlineStr">
        <is>
          <t>90</t>
        </is>
      </c>
      <c r="AJ25" t="inlineStr">
        <is>
          <t>INFO_PARTIELLE</t>
        </is>
      </c>
      <c r="AK25" t="inlineStr">
        <is>
          <t>30</t>
        </is>
      </c>
      <c r="AL25" s="16" t="inlineStr">
        <is>
          <t>FROID</t>
        </is>
      </c>
      <c r="AM25">
        <f>MIN(100,MAX(0,IF(OR(ISNUMBER(SEARCH("nettoyage",C25)),ISNUMBER(SEARCH("proprete",C25)),ISNUMBER(SEARCH("entretien",C25)),ISNUMBER(SEARCH("hygiene",C25))),35,0)+IF(SUM(--(N25="75")+--(O25="75"),--(N25="77")+--(O25="77"),--(N25="78")+--(O25="78"),--(N25="91")+--(O25="91"),--(N25="92")+--(O25="92"),--(N25="93")+--(O25="93"),--(N25="94")+--(O25="94"),--(N25="95")+--(O25="95"))&gt;0,25,4)+IF(S25="",10,IF(S25&lt;=50000,25,IF(S25&lt;=100000,20,IF(S25&lt;=200000,5,IF(S25&lt;=500000,-10,-20)))))+IF(I25&lt;&gt;"",4,0)+IF(J25&lt;&gt;"",4,0)+IF(E25&lt;&gt;"",3,0)+IF(K25&lt;&gt;"",2,0)+IF(M25&lt;&gt;"",1,0)+IF(AD25&lt;&gt;"",1,0)+IF(R25="",0,IF(R25&lt;TODAY(),-30,IF(R25&lt;TODAY()+5,-15,IF(R25&lt;=TODAY()+15,5,10))))))</f>
        <v/>
      </c>
      <c r="AN25">
        <f>IF(AM25&gt;=65,"CHAUD",IF(AM25&gt;=40,"TIEDE","FROID"))</f>
        <v/>
      </c>
      <c r="AO25">
        <f>IF((IF(I25&lt;&gt;"",1,0)+IF(J25&lt;&gt;"",1,0)+IF(E25&lt;&gt;"",1,0)+IF(K25&lt;&gt;"",1,0))&gt;=4,"Complet",IF((IF(I25&lt;&gt;"",1,0)+IF(J25&lt;&gt;"",1,0)+IF(E25&lt;&gt;"",1,0)+IF(K25&lt;&gt;"",1,0))&gt;=2,"Partiel","Vide"))</f>
        <v/>
      </c>
      <c r="AP25">
        <f>IF(AJ25="DCE_A_TELECHARGER","Telecharger DCE",IF(T25="A_VERIFIER_BUDGET","Verifier budget",IF(AN25="CHAUD","Contacter maintenant",IF(AN25="TIEDE","Surveiller / relancer","Basse priorite"))))</f>
        <v/>
      </c>
      <c r="AQ25" t="inlineStr">
        <is>
          <t>IA_CONTROLE_SOURCE</t>
        </is>
      </c>
      <c r="AR25" t="inlineStr">
        <is>
          <t>Verifier rapidement la source avant contact.</t>
        </is>
      </c>
      <c r="AS25" t="inlineStr">
        <is>
          <t>Aucun champ critique manquant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26-74661. Objet: Services de mise à disposition de personnels temporaires pour le Ccca-Btp. Acheteur: Comité de concertation et de coordination de l'apprentissage du Btp. Lien: https://www.boamp.fr/pages/avis/?q=idweb:26-74661.</t>
        </is>
      </c>
      <c r="AU25" t="inlineStr">
        <is>
          <t>Verifier url_avis et DCE si disponible</t>
        </is>
      </c>
      <c r="AV25" t="inlineStr"/>
      <c r="AW25" t="inlineStr"/>
      <c r="AX25" t="inlineStr"/>
      <c r="AY25" t="inlineStr"/>
      <c r="AZ25" t="inlineStr"/>
      <c r="BA25" t="inlineStr"/>
      <c r="BB25" t="inlineStr">
        <is>
          <t>0 pertinence metier faible | +20 budget annualise &lt;= 100 000 EUR | +10 delai confortable 38j</t>
        </is>
      </c>
      <c r="BC25" t="inlineStr">
        <is>
          <t>Comité de concertation et de coordination de l'apprentissage du Btp publie un AO potentiellement pertinent pour CHRUTH : Services de mise à disposition de personnels temporaires pour le Ccca-Btp. Zone : Paris. Budget detecte environ 75 014 EUR. Verifier le lien source avant contact.</t>
        </is>
      </c>
      <c r="BD25" t="inlineStr">
        <is>
          <t>Bonjour,
Je me permets de vous contacter au sujet de votre appel d'offres : Services de mise à disposition de personnels temporaires pour le Ccca-Btp.
CHRUTH accompagne les structures publiques et privées sur les besoins de nettoyage, d'entretien des locaux et d'organisation de prestations de service.
Serait-il possible d'échanger rapidement afin de vérifier les modalités de réponse et les attentes de Comité de concertation et de coordination de l'apprentissage du Btp ?
Cordialement,</t>
        </is>
      </c>
      <c r="BE25" t="inlineStr">
        <is>
          <t>Bonjour, je vous appelle concernant un appel d'offres publié par Comité de concertation et de coordination de l'apprentissage du Btp.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2026-W30</t>
        </is>
      </c>
    </row>
    <row r="26">
      <c r="A26" t="inlineStr">
        <is>
          <t>BOAMP</t>
        </is>
      </c>
      <c r="B26" t="inlineStr">
        <is>
          <t>26-74239</t>
        </is>
      </c>
      <c r="C26" t="inlineStr">
        <is>
          <t>Prestations de nettoyage des loacux et de la vitrerie de la grande chancellerie de la Légion d'honneur et de la maison d'éducation de Saint-Denis</t>
        </is>
      </c>
      <c r="D26" t="inlineStr">
        <is>
          <t>GCLH.</t>
        </is>
      </c>
      <c r="E26" t="inlineStr">
        <is>
          <t>18000001000017</t>
        </is>
      </c>
      <c r="F26" t="inlineStr">
        <is>
          <t>180000010</t>
        </is>
      </c>
      <c r="G26" t="inlineStr"/>
      <c r="H26" t="inlineStr"/>
      <c r="I26" t="inlineStr">
        <is>
          <t>marches@legiondhonneur.fr</t>
        </is>
      </c>
      <c r="J26" t="inlineStr">
        <is>
          <t>0140628348</t>
        </is>
      </c>
      <c r="K26" t="inlineStr"/>
      <c r="L26" t="inlineStr"/>
      <c r="M26" t="inlineStr"/>
      <c r="N26" t="inlineStr">
        <is>
          <t>75,93,78</t>
        </is>
      </c>
      <c r="O26" t="inlineStr"/>
      <c r="P26" t="inlineStr">
        <is>
          <t>Ile-de-France</t>
        </is>
      </c>
      <c r="Q26" s="14" t="n">
        <v>46229</v>
      </c>
      <c r="R26" s="14" t="n">
        <v>46280</v>
      </c>
      <c r="S26" s="15" t="n">
        <v>17750005500013</v>
      </c>
      <c r="T26" t="inlineStr">
        <is>
          <t>BUDGET_EXPLICITE_OK</t>
        </is>
      </c>
      <c r="U26" t="inlineStr">
        <is>
          <t>17750005500013.0</t>
        </is>
      </c>
      <c r="V26" t="inlineStr">
        <is>
          <t>non</t>
        </is>
      </c>
      <c r="W26" t="inlineStr">
        <is>
          <t>Vitres</t>
        </is>
      </c>
      <c r="X26" t="inlineStr">
        <is>
          <t>Autre</t>
        </is>
      </c>
      <c r="Y26" t="inlineStr">
        <is>
          <t>SERVICES</t>
        </is>
      </c>
      <c r="Z26" t="inlineStr">
        <is>
          <t>Procédure Ouverte</t>
        </is>
      </c>
      <c r="AA26" t="inlineStr">
        <is>
          <t>Avis de marché</t>
        </is>
      </c>
      <c r="AB26" t="inlineStr">
        <is>
          <t>Nettoyage de locaux, Vitrerie</t>
        </is>
      </c>
      <c r="AC26" t="inlineStr"/>
      <c r="AD26" s="10" t="inlineStr">
        <is>
          <t>https://www.boamp.fr/pages/avis/?q=idweb:26-74239</t>
        </is>
      </c>
      <c r="AE26" t="inlineStr">
        <is>
          <t>https://www.marches-publics.gouv.fr/entreprise</t>
        </is>
      </c>
      <c r="AF26" t="inlineStr">
        <is>
          <t>https://www.marches-publics.gouv.fr/entreprise</t>
        </is>
      </c>
      <c r="AG26" t="inlineStr">
        <is>
          <t>nettoyage, entretien des locaux</t>
        </is>
      </c>
      <c r="AH26" t="inlineStr">
        <is>
          <t>3</t>
        </is>
      </c>
      <c r="AI26" t="inlineStr">
        <is>
          <t>76</t>
        </is>
      </c>
      <c r="AJ26" t="inlineStr">
        <is>
          <t>INFO_PARTIELLE</t>
        </is>
      </c>
      <c r="AK26" t="inlineStr">
        <is>
          <t>25</t>
        </is>
      </c>
      <c r="AL26" s="16" t="inlineStr">
        <is>
          <t>FROID</t>
        </is>
      </c>
      <c r="AM26">
        <f>MIN(100,MAX(0,IF(OR(ISNUMBER(SEARCH("nettoyage",C26)),ISNUMBER(SEARCH("proprete",C26)),ISNUMBER(SEARCH("entretien",C26)),ISNUMBER(SEARCH("hygiene",C26))),35,0)+IF(SUM(--(N26="75")+--(O26="75"),--(N26="77")+--(O26="77"),--(N26="78")+--(O26="78"),--(N26="91")+--(O26="91"),--(N26="92")+--(O26="92"),--(N26="93")+--(O26="93"),--(N26="94")+--(O26="94"),--(N26="95")+--(O26="95"))&gt;0,25,4)+IF(S26="",10,IF(S26&lt;=50000,25,IF(S26&lt;=100000,20,IF(S26&lt;=200000,5,IF(S26&lt;=500000,-10,-20)))))+IF(I26&lt;&gt;"",4,0)+IF(J26&lt;&gt;"",4,0)+IF(E26&lt;&gt;"",3,0)+IF(K26&lt;&gt;"",2,0)+IF(M26&lt;&gt;"",1,0)+IF(AD26&lt;&gt;"",1,0)+IF(R26="",0,IF(R26&lt;TODAY(),-30,IF(R26&lt;TODAY()+5,-15,IF(R26&lt;=TODAY()+15,5,10))))))</f>
        <v/>
      </c>
      <c r="AN26">
        <f>IF(AM26&gt;=65,"CHAUD",IF(AM26&gt;=40,"TIEDE","FROID"))</f>
        <v/>
      </c>
      <c r="AO26">
        <f>IF((IF(I26&lt;&gt;"",1,0)+IF(J26&lt;&gt;"",1,0)+IF(E26&lt;&gt;"",1,0)+IF(K26&lt;&gt;"",1,0))&gt;=4,"Complet",IF((IF(I26&lt;&gt;"",1,0)+IF(J26&lt;&gt;"",1,0)+IF(E26&lt;&gt;"",1,0)+IF(K26&lt;&gt;"",1,0))&gt;=2,"Partiel","Vide"))</f>
        <v/>
      </c>
      <c r="AP26">
        <f>IF(AJ26="DCE_A_TELECHARGER","Telecharger DCE",IF(T26="A_VERIFIER_BUDGET","Verifier budget",IF(AN26="CHAUD","Contacter maintenant",IF(AN26="TIEDE","Surveiller / relancer","Basse priorite"))))</f>
        <v/>
      </c>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26-74239. Objet: Prestations de nettoyage des loacux et de la vitrerie de la grande chancellerie de la Légion d'honneur et de la maison d'éducation de Saint-Denis. Acheteur: GCLH.. Lien: https://www.boamp.fr/pages/avis/?q=idweb:26-74239.</t>
        </is>
      </c>
      <c r="AU26" t="inlineStr">
        <is>
          <t>Verifier url_avis et DCE si disponible</t>
        </is>
      </c>
      <c r="AV26" t="inlineStr"/>
      <c r="AW26" t="inlineStr"/>
      <c r="AX26" t="inlineStr"/>
      <c r="AY26" t="inlineStr"/>
      <c r="AZ26" t="inlineStr"/>
      <c r="BA26" t="inlineStr"/>
      <c r="BB26" t="inlineStr">
        <is>
          <t>+35 nettoyage + categorie claire | -20 gros budget (&gt; 500 000 EUR) | +10 delai confortable 49j</t>
        </is>
      </c>
      <c r="BC26" t="inlineStr">
        <is>
          <t>GCLH. publie un AO potentiellement pertinent pour CHRUTH : Prestations de nettoyage des loacux et de la vitrerie de la grande chancellerie de la Légion d'honneur et de la maison d'éducation de Saint-Denis. Zone : 75,93,78. Budget detecte environ 17 750 005 500 013 EUR. Verifier le lien source avant contact.</t>
        </is>
      </c>
      <c r="BD26" t="inlineStr">
        <is>
          <t>Bonjour,
Je me permets de vous contacter au sujet de votre appel d'offres : Prestations de nettoyage des loacux et de la vitrerie de la grande chancellerie de la Légion d'honneur et de la maison d'éducation de Saint-Denis.
CHRUTH accompagne les structures publiques et privées sur les besoins de nettoyage, d'entretien des locaux et d'organisation de prestations de service.
Serait-il possible d'échanger rapidement afin de vérifier les modalités de réponse et les attentes de GCLH. ?
Cordialement,</t>
        </is>
      </c>
      <c r="BE26" t="inlineStr">
        <is>
          <t>Bonjour, je vous appelle concernant un appel d'offres publié par GCLH..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2026-W30</t>
        </is>
      </c>
    </row>
    <row r="27">
      <c r="A27" t="inlineStr">
        <is>
          <t>BOAMP</t>
        </is>
      </c>
      <c r="B27" t="inlineStr">
        <is>
          <t>26-73266</t>
        </is>
      </c>
      <c r="C27" t="inlineStr">
        <is>
          <t>PRESTATIONS DE NETTOYAGE DES SITES DE L'ENFANCE</t>
        </is>
      </c>
      <c r="D27" t="inlineStr">
        <is>
          <t>Département du Val-de-Marne</t>
        </is>
      </c>
      <c r="E27" t="inlineStr">
        <is>
          <t>22940028800010</t>
        </is>
      </c>
      <c r="F27" t="inlineStr">
        <is>
          <t>229400288</t>
        </is>
      </c>
      <c r="G27" t="inlineStr"/>
      <c r="H27" t="inlineStr"/>
      <c r="I27" t="inlineStr">
        <is>
          <t>dl@valdemarne.fr</t>
        </is>
      </c>
      <c r="J27" t="inlineStr">
        <is>
          <t>0704900017</t>
        </is>
      </c>
      <c r="K27" t="inlineStr"/>
      <c r="L27" t="inlineStr"/>
      <c r="M27" t="inlineStr"/>
      <c r="N27" t="inlineStr">
        <is>
          <t>94</t>
        </is>
      </c>
      <c r="O27" t="inlineStr"/>
      <c r="P27" t="inlineStr">
        <is>
          <t>Ile-de-France</t>
        </is>
      </c>
      <c r="Q27" s="14" t="n">
        <v>46227</v>
      </c>
      <c r="R27" s="14" t="n">
        <v>46289</v>
      </c>
      <c r="S27" s="15" t="n">
        <v>15520000</v>
      </c>
      <c r="T27" t="inlineStr">
        <is>
          <t>BUDGET_EXPLICITE_OK</t>
        </is>
      </c>
      <c r="U27" t="inlineStr">
        <is>
          <t>93120000</t>
        </is>
      </c>
      <c r="V27" t="inlineStr">
        <is>
          <t>oui</t>
        </is>
      </c>
      <c r="W27" t="inlineStr">
        <is>
          <t>Batiments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0" t="inlineStr">
        <is>
          <t>https://www.boamp.fr/pages/avis/?q=idweb:26-73266</t>
        </is>
      </c>
      <c r="AE27" t="inlineStr">
        <is>
          <t>http://www.maximilien.fr</t>
        </is>
      </c>
      <c r="AF27" t="inlineStr">
        <is>
          <t>http://www.maximilien.fr</t>
        </is>
      </c>
      <c r="AG27" t="inlineStr">
        <is>
          <t>nettoyage, proprete, proprete des locaux</t>
        </is>
      </c>
      <c r="AH27" t="inlineStr">
        <is>
          <t>3</t>
        </is>
      </c>
      <c r="AI27" t="inlineStr">
        <is>
          <t>80</t>
        </is>
      </c>
      <c r="AJ27" t="inlineStr">
        <is>
          <t>INFO_PARTIELLE</t>
        </is>
      </c>
      <c r="AK27" t="inlineStr">
        <is>
          <t>25</t>
        </is>
      </c>
      <c r="AL27" s="16" t="inlineStr">
        <is>
          <t>FROID</t>
        </is>
      </c>
      <c r="AM27">
        <f>MIN(100,MAX(0,IF(OR(ISNUMBER(SEARCH("nettoyage",C27)),ISNUMBER(SEARCH("proprete",C27)),ISNUMBER(SEARCH("entretien",C27)),ISNUMBER(SEARCH("hygiene",C27))),35,0)+IF(SUM(--(N27="75")+--(O27="75"),--(N27="77")+--(O27="77"),--(N27="78")+--(O27="78"),--(N27="91")+--(O27="91"),--(N27="92")+--(O27="92"),--(N27="93")+--(O27="93"),--(N27="94")+--(O27="94"),--(N27="95")+--(O27="95"))&gt;0,25,4)+IF(S27="",10,IF(S27&lt;=50000,25,IF(S27&lt;=100000,20,IF(S27&lt;=200000,5,IF(S27&lt;=500000,-10,-20)))))+IF(I27&lt;&gt;"",4,0)+IF(J27&lt;&gt;"",4,0)+IF(E27&lt;&gt;"",3,0)+IF(K27&lt;&gt;"",2,0)+IF(M27&lt;&gt;"",1,0)+IF(AD27&lt;&gt;"",1,0)+IF(R27="",0,IF(R27&lt;TODAY(),-30,IF(R27&lt;TODAY()+5,-15,IF(R27&lt;=TODAY()+15,5,10))))))</f>
        <v/>
      </c>
      <c r="AN27">
        <f>IF(AM27&gt;=65,"CHAUD",IF(AM27&gt;=40,"TIEDE","FROID"))</f>
        <v/>
      </c>
      <c r="AO27">
        <f>IF((IF(I27&lt;&gt;"",1,0)+IF(J27&lt;&gt;"",1,0)+IF(E27&lt;&gt;"",1,0)+IF(K27&lt;&gt;"",1,0))&gt;=4,"Complet",IF((IF(I27&lt;&gt;"",1,0)+IF(J27&lt;&gt;"",1,0)+IF(E27&lt;&gt;"",1,0)+IF(K27&lt;&gt;"",1,0))&gt;=2,"Partiel","Vide"))</f>
        <v/>
      </c>
      <c r="AP27">
        <f>IF(AJ27="DCE_A_TELECHARGER","Telecharger DCE",IF(T27="A_VERIFIER_BUDGET","Verifier budget",IF(AN27="CHAUD","Contacter maintenant",IF(AN27="TIEDE","Surveiller / relancer","Basse priorite"))))</f>
        <v/>
      </c>
      <c r="AQ27" t="inlineStr">
        <is>
          <t>IA_CONTACT_A_COMPLETER</t>
        </is>
      </c>
      <c r="AR27" t="inlineStr">
        <is>
          <t>Completer les champs manquants depuis l'avis source, le site acheteur ou le DCE.</t>
        </is>
      </c>
      <c r="AS27" t="inlineStr">
        <is>
          <t>adresse, ville</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26-73266. Objet: PRESTATIONS DE NETTOYAGE DES SITES DE L'ENFANCE. Acheteur: Département du Val-de-Marne. Lien: https://www.boamp.fr/pages/avis/?q=idweb:26-73266.</t>
        </is>
      </c>
      <c r="AU27" t="inlineStr">
        <is>
          <t>Verifier url_avis et DCE si disponible</t>
        </is>
      </c>
      <c r="AV27" t="inlineStr"/>
      <c r="AW27" t="inlineStr"/>
      <c r="AX27" t="inlineStr"/>
      <c r="AY27" t="inlineStr"/>
      <c r="AZ27" t="inlineStr"/>
      <c r="BA27" t="inlineStr"/>
      <c r="BB27" t="inlineStr">
        <is>
          <t>+35 nettoyage + categorie claire | -20 gros budget (&gt; 500 000 EUR) | +10 delai confortable 58j</t>
        </is>
      </c>
      <c r="BC27" t="inlineStr">
        <is>
          <t>Département du Val-de-Marne publie un AO potentiellement pertinent pour CHRUTH : PRESTATIONS DE NETTOYAGE DES SITES DE L'ENFANCE. Zone : 94. Budget detecte environ 15 520 000 EUR. Verifier le lien source avant contact.</t>
        </is>
      </c>
      <c r="BD27" t="inlineStr">
        <is>
          <t>Bonjour,
Je me permets de vous contacter au sujet de votre appel d'offres : PRESTATIONS DE NETTOYAGE DES SITES DE L'ENFANCE.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27"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26-70752</t>
        </is>
      </c>
      <c r="C28" t="inlineStr">
        <is>
          <t>Nettoyage des locaux et de la vitrerie des bâtiments intercommunaux de l'agglomération Roissy Pays de France</t>
        </is>
      </c>
      <c r="D28" t="inlineStr">
        <is>
          <t>Agglomération Roissy Pays de France</t>
        </is>
      </c>
      <c r="E28" t="inlineStr"/>
      <c r="F28" t="inlineStr"/>
      <c r="G28" t="inlineStr"/>
      <c r="H28" t="inlineStr"/>
      <c r="I28" t="inlineStr">
        <is>
          <t>publications-joue@aws-france.com</t>
        </is>
      </c>
      <c r="J28" t="inlineStr">
        <is>
          <t>+33480041260</t>
        </is>
      </c>
      <c r="K28" t="inlineStr"/>
      <c r="L28" t="inlineStr"/>
      <c r="M28" t="inlineStr"/>
      <c r="N28" t="inlineStr">
        <is>
          <t>95</t>
        </is>
      </c>
      <c r="O28" t="inlineStr"/>
      <c r="P28" t="inlineStr">
        <is>
          <t>Ile-de-France</t>
        </is>
      </c>
      <c r="Q28" s="14" t="n">
        <v>46220</v>
      </c>
      <c r="R28" s="14" t="n">
        <v>46280</v>
      </c>
      <c r="S28" s="15" t="n">
        <v>4000000</v>
      </c>
      <c r="T28" t="inlineStr">
        <is>
          <t>BUDGET_EXPLICITE_OK</t>
        </is>
      </c>
      <c r="U28" t="inlineStr">
        <is>
          <t>1333333</t>
        </is>
      </c>
      <c r="V28" t="inlineStr">
        <is>
          <t>oui</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0" t="inlineStr">
        <is>
          <t>https://www.boamp.fr/pages/avis/?q=idweb:26-70752</t>
        </is>
      </c>
      <c r="AE28" t="inlineStr">
        <is>
          <t>https://www.marches-publics.info/mpiaws/index.cfm?fuseaction=dematEnt.login&amp;amp;type=DCE&amp;amp;IDM=1850945</t>
        </is>
      </c>
      <c r="AF28" t="inlineStr">
        <is>
          <t>https://www.marches-publics.info/mpiaws/index.cfm?fuseaction=dematEnt.login&amp;amp;type=DCE&amp;amp;IDM=1850945</t>
        </is>
      </c>
      <c r="AG28" t="inlineStr">
        <is>
          <t>nettoyage</t>
        </is>
      </c>
      <c r="AH28" t="inlineStr">
        <is>
          <t>2</t>
        </is>
      </c>
      <c r="AI28" t="inlineStr">
        <is>
          <t>58</t>
        </is>
      </c>
      <c r="AJ28" t="inlineStr">
        <is>
          <t>INFO_PARTIELLE</t>
        </is>
      </c>
      <c r="AK28" t="inlineStr">
        <is>
          <t>25</t>
        </is>
      </c>
      <c r="AL28" s="16" t="inlineStr">
        <is>
          <t>FROID</t>
        </is>
      </c>
      <c r="AM28">
        <f>MIN(100,MAX(0,IF(OR(ISNUMBER(SEARCH("nettoyage",C28)),ISNUMBER(SEARCH("proprete",C28)),ISNUMBER(SEARCH("entretien",C28)),ISNUMBER(SEARCH("hygiene",C28))),35,0)+IF(SUM(--(N28="75")+--(O28="75"),--(N28="77")+--(O28="77"),--(N28="78")+--(O28="78"),--(N28="91")+--(O28="91"),--(N28="92")+--(O28="92"),--(N28="93")+--(O28="93"),--(N28="94")+--(O28="94"),--(N28="95")+--(O28="95"))&gt;0,25,4)+IF(S28="",10,IF(S28&lt;=50000,25,IF(S28&lt;=100000,20,IF(S28&lt;=200000,5,IF(S28&lt;=500000,-10,-20)))))+IF(I28&lt;&gt;"",4,0)+IF(J28&lt;&gt;"",4,0)+IF(E28&lt;&gt;"",3,0)+IF(K28&lt;&gt;"",2,0)+IF(M28&lt;&gt;"",1,0)+IF(AD28&lt;&gt;"",1,0)+IF(R28="",0,IF(R28&lt;TODAY(),-30,IF(R28&lt;TODAY()+5,-15,IF(R28&lt;=TODAY()+15,5,10))))))</f>
        <v/>
      </c>
      <c r="AN28">
        <f>IF(AM28&gt;=65,"CHAUD",IF(AM28&gt;=40,"TIEDE","FROID"))</f>
        <v/>
      </c>
      <c r="AO28">
        <f>IF((IF(I28&lt;&gt;"",1,0)+IF(J28&lt;&gt;"",1,0)+IF(E28&lt;&gt;"",1,0)+IF(K28&lt;&gt;"",1,0))&gt;=4,"Complet",IF((IF(I28&lt;&gt;"",1,0)+IF(J28&lt;&gt;"",1,0)+IF(E28&lt;&gt;"",1,0)+IF(K28&lt;&gt;"",1,0))&gt;=2,"Partiel","Vide"))</f>
        <v/>
      </c>
      <c r="AP28">
        <f>IF(AJ28="DCE_A_TELECHARGER","Telecharger DCE",IF(T28="A_VERIFIER_BUDGET","Verifier budget",IF(AN28="CHAUD","Contacter maintenant",IF(AN28="TIEDE","Surveiller / relancer","Basse priorite"))))</f>
        <v/>
      </c>
      <c r="AQ28" t="inlineStr">
        <is>
          <t>IA_CONTACT_A_COMPLETER</t>
        </is>
      </c>
      <c r="AR28" t="inlineStr">
        <is>
          <t>Completer les champs manquants depuis l'avis source, le site acheteur ou le DCE.</t>
        </is>
      </c>
      <c r="AS28" t="inlineStr">
        <is>
          <t>SIRET, adresse, ville</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26-70752. Objet: Nettoyage des locaux et de la vitrerie des bâtiments intercommunaux de l'agglomération Roissy Pays de France. Acheteur: Agglomération Roissy Pays de France. Lien: https://www.boamp.fr/pages/avis/?q=idweb:26-70752.</t>
        </is>
      </c>
      <c r="AU28" t="inlineStr">
        <is>
          <t>Verifier url_avis et DCE si disponible</t>
        </is>
      </c>
      <c r="AV28" t="inlineStr"/>
      <c r="AW28" t="inlineStr"/>
      <c r="AX28" t="inlineStr"/>
      <c r="AY28" t="inlineStr"/>
      <c r="AZ28" t="inlineStr"/>
      <c r="BA28" t="inlineStr"/>
      <c r="BB28" t="inlineStr">
        <is>
          <t>+35 nettoyage + categorie claire | -20 gros budget (&gt; 500 000 EUR) | +10 delai confortable 49j</t>
        </is>
      </c>
      <c r="BC28" t="inlineStr">
        <is>
          <t>Agglomération Roissy Pays de France publie un AO potentiellement pertinent pour CHRUTH : Nettoyage des locaux et de la vitrerie des bâtiments intercommunaux de l'agglomération Roissy Pays de France. Zone : 95. Budget detecte environ 4 000 000 EUR. Verifier le lien source avant contact.</t>
        </is>
      </c>
      <c r="BD28" t="inlineStr">
        <is>
          <t>Bonjour,
Je me permets de vous contacter au sujet de votre appel d'offres : Nettoyage des locaux et de la vitrerie des bâtiments intercommunaux de l'agglomération Roissy Pays de France.
CHRUTH accompagne les structures publiques et privées sur les besoins de nettoyage, d'entretien des locaux et d'organisation de prestations de service.
Serait-il possible d'échanger rapidement afin de vérifier les modalités de réponse et les attentes de Agglomération Roissy Pays de France ?
Cordialement,</t>
        </is>
      </c>
      <c r="BE28" t="inlineStr">
        <is>
          <t>Bonjour, je vous appelle concernant un appel d'offres publié par Agglomération Roissy Pays de France.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2026-W29</t>
        </is>
      </c>
    </row>
    <row r="29">
      <c r="A29" t="inlineStr">
        <is>
          <t>BOAMP</t>
        </is>
      </c>
      <c r="B29" t="inlineStr">
        <is>
          <t>26-70841</t>
        </is>
      </c>
      <c r="C29" t="inlineStr">
        <is>
          <t>Prestations d'hébergement de l'Espace d'exposition faisant partie du pavillon Occitanie pour le 56e Salon International de l'Aéronautique et de l'Espace Paris - Relance consultation 26OCC09L</t>
        </is>
      </c>
      <c r="D29" t="inlineStr">
        <is>
          <t>CCI OCCITANIE PYRENEES-MEDITERRANEE</t>
        </is>
      </c>
      <c r="E29" t="inlineStr"/>
      <c r="F29" t="inlineStr"/>
      <c r="G29" t="inlineStr"/>
      <c r="H29" t="inlineStr"/>
      <c r="I29" t="inlineStr">
        <is>
          <t>publications-joue@aws-france.com</t>
        </is>
      </c>
      <c r="J29" t="inlineStr">
        <is>
          <t>+33480041260</t>
        </is>
      </c>
      <c r="K29" t="inlineStr"/>
      <c r="L29" t="inlineStr"/>
      <c r="M29" t="inlineStr"/>
      <c r="N29" t="inlineStr">
        <is>
          <t>75</t>
        </is>
      </c>
      <c r="O29" t="inlineStr"/>
      <c r="P29" t="inlineStr">
        <is>
          <t>Ile-de-France</t>
        </is>
      </c>
      <c r="Q29" s="14" t="n">
        <v>46220</v>
      </c>
      <c r="R29" s="14" t="n">
        <v>46251</v>
      </c>
      <c r="S29" t="inlineStr"/>
      <c r="T29" t="inlineStr">
        <is>
          <t>A_VERIFIER_BUDGET</t>
        </is>
      </c>
      <c r="U29" t="inlineStr"/>
      <c r="V29" t="inlineStr">
        <is>
          <t>non</t>
        </is>
      </c>
      <c r="W29" t="inlineStr">
        <is>
          <t>Personnel</t>
        </is>
      </c>
      <c r="X29" t="inlineStr">
        <is>
          <t>Autre</t>
        </is>
      </c>
      <c r="Y29" t="inlineStr">
        <is>
          <t>SERVICES</t>
        </is>
      </c>
      <c r="Z29" t="inlineStr">
        <is>
          <t>Procédure Ouverte</t>
        </is>
      </c>
      <c r="AA29" t="inlineStr">
        <is>
          <t>Avis de marché</t>
        </is>
      </c>
      <c r="AB29" t="inlineStr">
        <is>
          <t>Evénementiel</t>
        </is>
      </c>
      <c r="AC29" t="inlineStr"/>
      <c r="AD29" s="10" t="inlineStr">
        <is>
          <t>https://www.boamp.fr/pages/avis/?q=idweb:26-70841</t>
        </is>
      </c>
      <c r="AE29" t="inlineStr">
        <is>
          <t>https://www.marches-publics.gouv.fr/entreprise</t>
        </is>
      </c>
      <c r="AF29" t="inlineStr">
        <is>
          <t>https://www.marches-publics.gouv.fr/entreprise</t>
        </is>
      </c>
      <c r="AG29" t="inlineStr"/>
      <c r="AH29" t="inlineStr">
        <is>
          <t>2</t>
        </is>
      </c>
      <c r="AI29" t="inlineStr">
        <is>
          <t>50</t>
        </is>
      </c>
      <c r="AJ29" t="inlineStr">
        <is>
          <t>INFO_PARTIELLE</t>
        </is>
      </c>
      <c r="AK29" t="inlineStr">
        <is>
          <t>20</t>
        </is>
      </c>
      <c r="AL29" s="16" t="inlineStr">
        <is>
          <t>FROID</t>
        </is>
      </c>
      <c r="AM29">
        <f>MIN(100,MAX(0,IF(OR(ISNUMBER(SEARCH("nettoyage",C29)),ISNUMBER(SEARCH("proprete",C29)),ISNUMBER(SEARCH("entretien",C29)),ISNUMBER(SEARCH("hygiene",C29))),35,0)+IF(SUM(--(N29="75")+--(O29="75"),--(N29="77")+--(O29="77"),--(N29="78")+--(O29="78"),--(N29="91")+--(O29="91"),--(N29="92")+--(O29="92"),--(N29="93")+--(O29="93"),--(N29="94")+--(O29="94"),--(N29="95")+--(O29="95"))&gt;0,25,4)+IF(S29="",10,IF(S29&lt;=50000,25,IF(S29&lt;=100000,20,IF(S29&lt;=200000,5,IF(S29&lt;=500000,-10,-20)))))+IF(I29&lt;&gt;"",4,0)+IF(J29&lt;&gt;"",4,0)+IF(E29&lt;&gt;"",3,0)+IF(K29&lt;&gt;"",2,0)+IF(M29&lt;&gt;"",1,0)+IF(AD29&lt;&gt;"",1,0)+IF(R29="",0,IF(R29&lt;TODAY(),-30,IF(R29&lt;TODAY()+5,-15,IF(R29&lt;=TODAY()+15,5,10))))))</f>
        <v/>
      </c>
      <c r="AN29">
        <f>IF(AM29&gt;=65,"CHAUD",IF(AM29&gt;=40,"TIEDE","FROID"))</f>
        <v/>
      </c>
      <c r="AO29">
        <f>IF((IF(I29&lt;&gt;"",1,0)+IF(J29&lt;&gt;"",1,0)+IF(E29&lt;&gt;"",1,0)+IF(K29&lt;&gt;"",1,0))&gt;=4,"Complet",IF((IF(I29&lt;&gt;"",1,0)+IF(J29&lt;&gt;"",1,0)+IF(E29&lt;&gt;"",1,0)+IF(K29&lt;&gt;"",1,0))&gt;=2,"Partiel","Vide"))</f>
        <v/>
      </c>
      <c r="AP29">
        <f>IF(AJ29="DCE_A_TELECHARGER","Telecharger DCE",IF(T29="A_VERIFIER_BUDGET","Verifier budget",IF(AN29="CHAUD","Contacter maintenant",IF(AN29="TIEDE","Surveiller / relancer","Basse priorite"))))</f>
        <v/>
      </c>
      <c r="AQ29" t="inlineStr">
        <is>
          <t>IA_BUDGET_A_VERIFIER</t>
        </is>
      </c>
      <c r="AR29" t="inlineStr">
        <is>
          <t>Verifier le budget dans l'avis source ou le DCE avant decision commerciale.</t>
        </is>
      </c>
      <c r="AS29" t="inlineStr">
        <is>
          <t>SIRET, 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29" t="inlineStr">
        <is>
          <t>Verifier url_avis et DCE si disponible</t>
        </is>
      </c>
      <c r="AV29" t="inlineStr">
        <is>
          <t>LIEN_SEUL</t>
        </is>
      </c>
      <c r="AW29" t="inlineStr"/>
      <c r="AX29" t="inlineStr"/>
      <c r="AY29" t="inlineStr"/>
      <c r="AZ29" t="inlineStr"/>
      <c r="BA29" t="inlineStr"/>
      <c r="BB29" t="inlineStr">
        <is>
          <t>0 pertinence metier faible | +10 budget non affiche (a verifier) | +10 delai confortable 20j</t>
        </is>
      </c>
      <c r="BC29"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29"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29"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26-70040</t>
        </is>
      </c>
      <c r="C30" t="inlineStr">
        <is>
          <t>Prestations de gardiennage et sécurité incendie pour le campus HEC Paris</t>
        </is>
      </c>
      <c r="D30" t="inlineStr">
        <is>
          <t>HEC Paris</t>
        </is>
      </c>
      <c r="E30" t="inlineStr"/>
      <c r="F30" t="inlineStr"/>
      <c r="G30" t="inlineStr"/>
      <c r="H30" t="inlineStr"/>
      <c r="I30" t="inlineStr">
        <is>
          <t>publications-joue@aws-france.com</t>
        </is>
      </c>
      <c r="J30" t="inlineStr">
        <is>
          <t>+33480041260</t>
        </is>
      </c>
      <c r="K30" t="inlineStr"/>
      <c r="L30" t="inlineStr"/>
      <c r="M30" t="inlineStr"/>
      <c r="N30" t="inlineStr">
        <is>
          <t>78</t>
        </is>
      </c>
      <c r="O30" t="inlineStr"/>
      <c r="P30" t="inlineStr">
        <is>
          <t>Ile-de-France</t>
        </is>
      </c>
      <c r="Q30" s="14" t="n">
        <v>46218</v>
      </c>
      <c r="R30" s="14" t="n">
        <v>46282</v>
      </c>
      <c r="S30" t="inlineStr"/>
      <c r="T30" t="inlineStr">
        <is>
          <t>A_VERIFIER_BUDGET</t>
        </is>
      </c>
      <c r="U30" t="inlineStr"/>
      <c r="V30" t="inlineStr">
        <is>
          <t>non</t>
        </is>
      </c>
      <c r="W30" t="inlineStr">
        <is>
          <t>Personnel</t>
        </is>
      </c>
      <c r="X30" t="inlineStr">
        <is>
          <t>Autre</t>
        </is>
      </c>
      <c r="Y30" t="inlineStr">
        <is>
          <t>SERVICES</t>
        </is>
      </c>
      <c r="Z30" t="inlineStr">
        <is>
          <t>Procédure Ouverte</t>
        </is>
      </c>
      <c r="AA30" t="inlineStr">
        <is>
          <t>Avis de marché</t>
        </is>
      </c>
      <c r="AB30" t="inlineStr">
        <is>
          <t>Sécurité incendie, Gardiennage</t>
        </is>
      </c>
      <c r="AC30" t="inlineStr">
        <is>
          <t>['sociaux', 'environnementaux']</t>
        </is>
      </c>
      <c r="AD30" s="10" t="inlineStr">
        <is>
          <t>https://www.boamp.fr/pages/avis/?q=idweb:26-70040</t>
        </is>
      </c>
      <c r="AE30" t="inlineStr">
        <is>
          <t>https://www.marches-publics.info/mpiaws/index.cfm?fuseaction=dematEnt.login&amp;amp;type=DCE&amp;amp;IDM=1850314</t>
        </is>
      </c>
      <c r="AF30" t="inlineStr">
        <is>
          <t>https://www.marches-publics.info/mpiaws/index.cfm?fuseaction=dematEnt.login&amp;amp;type=DCE&amp;amp;IDM=1850314</t>
        </is>
      </c>
      <c r="AG30" t="inlineStr"/>
      <c r="AH30" t="inlineStr">
        <is>
          <t>2</t>
        </is>
      </c>
      <c r="AI30" t="inlineStr">
        <is>
          <t>50</t>
        </is>
      </c>
      <c r="AJ30" t="inlineStr">
        <is>
          <t>INFO_PARTIELLE</t>
        </is>
      </c>
      <c r="AK30" t="inlineStr">
        <is>
          <t>20</t>
        </is>
      </c>
      <c r="AL30" s="16" t="inlineStr">
        <is>
          <t>FROID</t>
        </is>
      </c>
      <c r="AM30">
        <f>MIN(100,MAX(0,IF(OR(ISNUMBER(SEARCH("nettoyage",C30)),ISNUMBER(SEARCH("proprete",C30)),ISNUMBER(SEARCH("entretien",C30)),ISNUMBER(SEARCH("hygiene",C30))),35,0)+IF(SUM(--(N30="75")+--(O30="75"),--(N30="77")+--(O30="77"),--(N30="78")+--(O30="78"),--(N30="91")+--(O30="91"),--(N30="92")+--(O30="92"),--(N30="93")+--(O30="93"),--(N30="94")+--(O30="94"),--(N30="95")+--(O30="95"))&gt;0,25,4)+IF(S30="",10,IF(S30&lt;=50000,25,IF(S30&lt;=100000,20,IF(S30&lt;=200000,5,IF(S30&lt;=500000,-10,-20)))))+IF(I30&lt;&gt;"",4,0)+IF(J30&lt;&gt;"",4,0)+IF(E30&lt;&gt;"",3,0)+IF(K30&lt;&gt;"",2,0)+IF(M30&lt;&gt;"",1,0)+IF(AD30&lt;&gt;"",1,0)+IF(R30="",0,IF(R30&lt;TODAY(),-30,IF(R30&lt;TODAY()+5,-15,IF(R30&lt;=TODAY()+15,5,10))))))</f>
        <v/>
      </c>
      <c r="AN30">
        <f>IF(AM30&gt;=65,"CHAUD",IF(AM30&gt;=40,"TIEDE","FROID"))</f>
        <v/>
      </c>
      <c r="AO30">
        <f>IF((IF(I30&lt;&gt;"",1,0)+IF(J30&lt;&gt;"",1,0)+IF(E30&lt;&gt;"",1,0)+IF(K30&lt;&gt;"",1,0))&gt;=4,"Complet",IF((IF(I30&lt;&gt;"",1,0)+IF(J30&lt;&gt;"",1,0)+IF(E30&lt;&gt;"",1,0)+IF(K30&lt;&gt;"",1,0))&gt;=2,"Partiel","Vide"))</f>
        <v/>
      </c>
      <c r="AP30">
        <f>IF(AJ30="DCE_A_TELECHARGER","Telecharger DCE",IF(T30="A_VERIFIER_BUDGET","Verifier budget",IF(AN30="CHAUD","Contacter maintenant",IF(AN30="TIEDE","Surveiller / relancer","Basse priorite"))))</f>
        <v/>
      </c>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30" t="inlineStr">
        <is>
          <t>Verifier url_avis et DCE si disponible</t>
        </is>
      </c>
      <c r="AV30" t="inlineStr">
        <is>
          <t>LIEN_SEUL</t>
        </is>
      </c>
      <c r="AW30" t="inlineStr"/>
      <c r="AX30" t="inlineStr"/>
      <c r="AY30" t="inlineStr"/>
      <c r="AZ30" t="inlineStr"/>
      <c r="BA30" t="inlineStr"/>
      <c r="BB30" t="inlineStr">
        <is>
          <t>0 pertinence metier faible | +10 budget non affiche (a verifier) | +10 delai confortable 51j</t>
        </is>
      </c>
      <c r="BC30" t="inlineStr">
        <is>
          <t>HEC Paris publie un AO potentiellement pertinent pour CHRUTH : Prestations de gardiennage et sécurité incendie pour le campus HEC Paris. Zone : 78. Budget a verifier. Verifier le lien source avant contact.</t>
        </is>
      </c>
      <c r="BD30"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30"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2026-W29</t>
        </is>
      </c>
    </row>
    <row r="31">
      <c r="A31" t="inlineStr">
        <is>
          <t>BOAMP</t>
        </is>
      </c>
      <c r="B31" t="inlineStr">
        <is>
          <t>26-74389</t>
        </is>
      </c>
      <c r="C31" t="inlineStr">
        <is>
          <t>Prestations de conseil et assistance en UX/UI, en développement, intégration et maintenance des projets numériques en 2 lots</t>
        </is>
      </c>
      <c r="D31" t="inlineStr">
        <is>
          <t>VILLE de PARIS - DFA - SDA</t>
        </is>
      </c>
      <c r="E31" t="inlineStr">
        <is>
          <t>21750001600019</t>
        </is>
      </c>
      <c r="F31" t="inlineStr">
        <is>
          <t>217500016</t>
        </is>
      </c>
      <c r="G31" t="inlineStr"/>
      <c r="H31" t="inlineStr"/>
      <c r="I31" t="inlineStr">
        <is>
          <t>dfa-bm1@paris.fr</t>
        </is>
      </c>
      <c r="J31" t="inlineStr">
        <is>
          <t>+33 171270264</t>
        </is>
      </c>
      <c r="K31" t="inlineStr"/>
      <c r="L31" t="inlineStr"/>
      <c r="M31" t="inlineStr"/>
      <c r="N31" t="inlineStr">
        <is>
          <t>75</t>
        </is>
      </c>
      <c r="O31" t="inlineStr"/>
      <c r="P31" t="inlineStr">
        <is>
          <t>Ile-de-France</t>
        </is>
      </c>
      <c r="Q31" s="14" t="n">
        <v>46229</v>
      </c>
      <c r="R31" s="14" t="n">
        <v>46287</v>
      </c>
      <c r="S31" s="15" t="n">
        <v>600000</v>
      </c>
      <c r="T31" t="inlineStr">
        <is>
          <t>BUDGET_EXPLICITE_OK</t>
        </is>
      </c>
      <c r="U31" t="inlineStr">
        <is>
          <t>1028571</t>
        </is>
      </c>
      <c r="V31" t="inlineStr">
        <is>
          <t>oui</t>
        </is>
      </c>
      <c r="W31" t="inlineStr">
        <is>
          <t>Personnel</t>
        </is>
      </c>
      <c r="X31" t="inlineStr">
        <is>
          <t>Mairie</t>
        </is>
      </c>
      <c r="Y31" t="inlineStr">
        <is>
          <t>SERVICES</t>
        </is>
      </c>
      <c r="Z31" t="inlineStr">
        <is>
          <t>Procédure Ouverte</t>
        </is>
      </c>
      <c r="AA31" t="inlineStr">
        <is>
          <t>Avis de marché</t>
        </is>
      </c>
      <c r="AB31" t="inlineStr">
        <is>
          <t>Gardiennage</t>
        </is>
      </c>
      <c r="AC31" t="inlineStr"/>
      <c r="AD31" s="10" t="inlineStr">
        <is>
          <t>https://www.boamp.fr/pages/avis/?q=idweb:26-74389</t>
        </is>
      </c>
      <c r="AE31" t="inlineStr">
        <is>
          <t>https://marches.maximilien.fr/entreprise/consultation/943956?orgAcronyme=r8t</t>
        </is>
      </c>
      <c r="AF31" t="inlineStr">
        <is>
          <t>https://marches.maximilien.fr/entreprise/consultation/943956?orgAcronyme=r8t</t>
        </is>
      </c>
      <c r="AG31" t="inlineStr"/>
      <c r="AH31" t="inlineStr">
        <is>
          <t>3</t>
        </is>
      </c>
      <c r="AI31" t="inlineStr">
        <is>
          <t>60</t>
        </is>
      </c>
      <c r="AJ31" t="inlineStr">
        <is>
          <t>INFO_PARTIELLE</t>
        </is>
      </c>
      <c r="AK31" t="inlineStr">
        <is>
          <t>15</t>
        </is>
      </c>
      <c r="AL31" s="16" t="inlineStr">
        <is>
          <t>FROID</t>
        </is>
      </c>
      <c r="AM31">
        <f>MIN(100,MAX(0,IF(OR(ISNUMBER(SEARCH("nettoyage",C31)),ISNUMBER(SEARCH("proprete",C31)),ISNUMBER(SEARCH("entretien",C31)),ISNUMBER(SEARCH("hygiene",C31))),35,0)+IF(SUM(--(N31="75")+--(O31="75"),--(N31="77")+--(O31="77"),--(N31="78")+--(O31="78"),--(N31="91")+--(O31="91"),--(N31="92")+--(O31="92"),--(N31="93")+--(O31="93"),--(N31="94")+--(O31="94"),--(N31="95")+--(O31="95"))&gt;0,25,4)+IF(S31="",10,IF(S31&lt;=50000,25,IF(S31&lt;=100000,20,IF(S31&lt;=200000,5,IF(S31&lt;=500000,-10,-20)))))+IF(I31&lt;&gt;"",4,0)+IF(J31&lt;&gt;"",4,0)+IF(E31&lt;&gt;"",3,0)+IF(K31&lt;&gt;"",2,0)+IF(M31&lt;&gt;"",1,0)+IF(AD31&lt;&gt;"",1,0)+IF(R31="",0,IF(R31&lt;TODAY(),-30,IF(R31&lt;TODAY()+5,-15,IF(R31&lt;=TODAY()+15,5,10))))))</f>
        <v/>
      </c>
      <c r="AN31">
        <f>IF(AM31&gt;=65,"CHAUD",IF(AM31&gt;=40,"TIEDE","FROID"))</f>
        <v/>
      </c>
      <c r="AO31">
        <f>IF((IF(I31&lt;&gt;"",1,0)+IF(J31&lt;&gt;"",1,0)+IF(E31&lt;&gt;"",1,0)+IF(K31&lt;&gt;"",1,0))&gt;=4,"Complet",IF((IF(I31&lt;&gt;"",1,0)+IF(J31&lt;&gt;"",1,0)+IF(E31&lt;&gt;"",1,0)+IF(K31&lt;&gt;"",1,0))&gt;=2,"Partiel","Vide"))</f>
        <v/>
      </c>
      <c r="AP31">
        <f>IF(AJ31="DCE_A_TELECHARGER","Telecharger DCE",IF(T31="A_VERIFIER_BUDGET","Verifier budget",IF(AN31="CHAUD","Contacter maintenant",IF(AN31="TIEDE","Surveiller / relancer","Basse priorite"))))</f>
        <v/>
      </c>
      <c r="AQ31" t="inlineStr">
        <is>
          <t>IA_CONTACT_A_COMPLETER</t>
        </is>
      </c>
      <c r="AR31" t="inlineStr">
        <is>
          <t>Completer les champs manquants depuis l'avis source, le site acheteur ou le DCE.</t>
        </is>
      </c>
      <c r="AS31" t="inlineStr">
        <is>
          <t>adresse, ville</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26-74389. Objet: Prestations de conseil et assistance en UX/UI, en développement, intégration et maintenance des projets numériques en 2 lots. Acheteur: VILLE de PARIS - DFA - SDA. Lien: https://www.boamp.fr/pages/avis/?q=idweb:26-74389.</t>
        </is>
      </c>
      <c r="AU31" t="inlineStr">
        <is>
          <t>Verifier url_avis et DCE si disponible</t>
        </is>
      </c>
      <c r="AV31" t="inlineStr"/>
      <c r="AW31" t="inlineStr"/>
      <c r="AX31" t="inlineStr"/>
      <c r="AY31" t="inlineStr"/>
      <c r="AZ31" t="inlineStr"/>
      <c r="BA31" t="inlineStr"/>
      <c r="BB31" t="inlineStr">
        <is>
          <t>0 pertinence metier faible | -20 gros budget (&gt; 500 000 EUR) | +15 procedure adaptee / MAPA / allotissement | +10 secteur cible Mairie | +10 delai confortable 56j</t>
        </is>
      </c>
      <c r="BC31" t="inlineStr">
        <is>
          <t>VILLE de PARIS - DFA - SDA publie un AO potentiellement pertinent pour CHRUTH : Prestations de conseil et assistance en UX/UI, en développement, intégration et maintenance des projets numériques en 2 lots. Zone : 75. Budget detecte environ 600 000 EUR. Verifier le lien source avant contact.</t>
        </is>
      </c>
      <c r="BD31" t="inlineStr">
        <is>
          <t>Bonjour,
Je me permets de vous contacter au sujet de votre appel d'offres : Prestations de conseil et assistance en UX/UI, en développement, intégration et maintenance des projets numériques en 2 lots.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31"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2026-W30</t>
        </is>
      </c>
    </row>
    <row r="32">
      <c r="A32" t="inlineStr">
        <is>
          <t>BOAMP</t>
        </is>
      </c>
      <c r="B32" t="inlineStr">
        <is>
          <t>26-73883</t>
        </is>
      </c>
      <c r="C32" t="inlineStr">
        <is>
          <t>Marché n°26.AO.MG.050 - Renfort de personnel au sein du télé-accueil de l'EPT Est Ensemble</t>
        </is>
      </c>
      <c r="D32" t="inlineStr">
        <is>
          <t>Est Ensemble</t>
        </is>
      </c>
      <c r="E32" t="inlineStr">
        <is>
          <t>20005787500011</t>
        </is>
      </c>
      <c r="F32" t="inlineStr">
        <is>
          <t>200057875</t>
        </is>
      </c>
      <c r="G32" t="inlineStr"/>
      <c r="H32" t="inlineStr"/>
      <c r="I32" t="inlineStr">
        <is>
          <t>marchespublics@est-ensemble.fr</t>
        </is>
      </c>
      <c r="J32" t="inlineStr">
        <is>
          <t>0578750001</t>
        </is>
      </c>
      <c r="K32" t="inlineStr"/>
      <c r="L32" t="inlineStr"/>
      <c r="M32" t="inlineStr"/>
      <c r="N32" t="inlineStr">
        <is>
          <t>93,75</t>
        </is>
      </c>
      <c r="O32" t="inlineStr"/>
      <c r="P32" t="inlineStr">
        <is>
          <t>Ile-de-France</t>
        </is>
      </c>
      <c r="Q32" s="14" t="n">
        <v>46228</v>
      </c>
      <c r="R32" s="14" t="n">
        <v>46283</v>
      </c>
      <c r="S32" s="15" t="n">
        <v>600000</v>
      </c>
      <c r="T32" t="inlineStr">
        <is>
          <t>BUDGET_EXPLICITE_OK</t>
        </is>
      </c>
      <c r="U32" t="inlineStr">
        <is>
          <t>150000</t>
        </is>
      </c>
      <c r="V32" t="inlineStr">
        <is>
          <t>oui</t>
        </is>
      </c>
      <c r="W32" t="inlineStr">
        <is>
          <t>Personnel</t>
        </is>
      </c>
      <c r="X32" t="inlineStr">
        <is>
          <t>Autre</t>
        </is>
      </c>
      <c r="Y32" t="inlineStr">
        <is>
          <t>SERVICES</t>
        </is>
      </c>
      <c r="Z32" t="inlineStr">
        <is>
          <t>Procédure Ouverte</t>
        </is>
      </c>
      <c r="AA32" t="inlineStr">
        <is>
          <t>Avis de marché</t>
        </is>
      </c>
      <c r="AB32" t="inlineStr">
        <is>
          <t>Télécommunications, Mise à disposition de personnel</t>
        </is>
      </c>
      <c r="AC32" t="inlineStr"/>
      <c r="AD32" s="10" t="inlineStr">
        <is>
          <t>https://www.boamp.fr/pages/avis/?q=idweb:26-73883</t>
        </is>
      </c>
      <c r="AE32" t="inlineStr">
        <is>
          <t>https://marches.maximilien.fr/?page=Entreprise.EntrepriseAdvancedSearch&amp;AllCons&amp;id=944029&amp;orgAcronyme=v8x</t>
        </is>
      </c>
      <c r="AF32" t="inlineStr">
        <is>
          <t>https://marches.maximilien.fr/?page=Entreprise.EntrepriseAdvancedSearch&amp;AllCons&amp;id=944029&amp;orgAcronyme=v8x</t>
        </is>
      </c>
      <c r="AG32" t="inlineStr"/>
      <c r="AH32" t="inlineStr">
        <is>
          <t>3</t>
        </is>
      </c>
      <c r="AI32" t="inlineStr">
        <is>
          <t>60</t>
        </is>
      </c>
      <c r="AJ32" t="inlineStr">
        <is>
          <t>INFO_PARTIELLE</t>
        </is>
      </c>
      <c r="AK32" t="inlineStr">
        <is>
          <t>15</t>
        </is>
      </c>
      <c r="AL32" s="16" t="inlineStr">
        <is>
          <t>FROID</t>
        </is>
      </c>
      <c r="AM32">
        <f>MIN(100,MAX(0,IF(OR(ISNUMBER(SEARCH("nettoyage",C32)),ISNUMBER(SEARCH("proprete",C32)),ISNUMBER(SEARCH("entretien",C32)),ISNUMBER(SEARCH("hygiene",C32))),35,0)+IF(SUM(--(N32="75")+--(O32="75"),--(N32="77")+--(O32="77"),--(N32="78")+--(O32="78"),--(N32="91")+--(O32="91"),--(N32="92")+--(O32="92"),--(N32="93")+--(O32="93"),--(N32="94")+--(O32="94"),--(N32="95")+--(O32="95"))&gt;0,25,4)+IF(S32="",10,IF(S32&lt;=50000,25,IF(S32&lt;=100000,20,IF(S32&lt;=200000,5,IF(S32&lt;=500000,-10,-20)))))+IF(I32&lt;&gt;"",4,0)+IF(J32&lt;&gt;"",4,0)+IF(E32&lt;&gt;"",3,0)+IF(K32&lt;&gt;"",2,0)+IF(M32&lt;&gt;"",1,0)+IF(AD32&lt;&gt;"",1,0)+IF(R32="",0,IF(R32&lt;TODAY(),-30,IF(R32&lt;TODAY()+5,-15,IF(R32&lt;=TODAY()+15,5,10))))))</f>
        <v/>
      </c>
      <c r="AN32">
        <f>IF(AM32&gt;=65,"CHAUD",IF(AM32&gt;=40,"TIEDE","FROID"))</f>
        <v/>
      </c>
      <c r="AO32">
        <f>IF((IF(I32&lt;&gt;"",1,0)+IF(J32&lt;&gt;"",1,0)+IF(E32&lt;&gt;"",1,0)+IF(K32&lt;&gt;"",1,0))&gt;=4,"Complet",IF((IF(I32&lt;&gt;"",1,0)+IF(J32&lt;&gt;"",1,0)+IF(E32&lt;&gt;"",1,0)+IF(K32&lt;&gt;"",1,0))&gt;=2,"Partiel","Vide"))</f>
        <v/>
      </c>
      <c r="AP32">
        <f>IF(AJ32="DCE_A_TELECHARGER","Telecharger DCE",IF(T32="A_VERIFIER_BUDGET","Verifier budget",IF(AN32="CHAUD","Contacter maintenant",IF(AN32="TIEDE","Surveiller / relancer","Basse priorite"))))</f>
        <v/>
      </c>
      <c r="AQ32" t="inlineStr">
        <is>
          <t>IA_CONTACT_A_COMPLETER</t>
        </is>
      </c>
      <c r="AR32" t="inlineStr">
        <is>
          <t>Completer les champs manquants depuis l'avis source, le site acheteur ou le DCE.</t>
        </is>
      </c>
      <c r="AS32" t="inlineStr">
        <is>
          <t>adresse, ville</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26-73883. Objet: Marché n°26.AO.MG.050 - Renfort de personnel au sein du télé-accueil de l'EPT Est Ensemble. Acheteur: Est Ensemble. Lien: https://www.boamp.fr/pages/avis/?q=idweb:26-73883.</t>
        </is>
      </c>
      <c r="AU32" t="inlineStr">
        <is>
          <t>Verifier url_avis et DCE si disponible</t>
        </is>
      </c>
      <c r="AV32" t="inlineStr"/>
      <c r="AW32" t="inlineStr"/>
      <c r="AX32" t="inlineStr"/>
      <c r="AY32" t="inlineStr"/>
      <c r="AZ32" t="inlineStr"/>
      <c r="BA32" t="inlineStr"/>
      <c r="BB32" t="inlineStr">
        <is>
          <t>0 pertinence metier faible | +5 budget annualise &lt;= 200 000 EUR | +10 delai confortable 52j</t>
        </is>
      </c>
      <c r="BC32" t="inlineStr">
        <is>
          <t>Est Ensemble publie un AO potentiellement pertinent pour CHRUTH : Marché n°26.AO.MG.050 - Renfort de personnel au sein du télé-accueil de l'EPT Est Ensemble. Zone : 93,75. Budget detecte environ 600 000 EUR. Verifier le lien source avant contact.</t>
        </is>
      </c>
      <c r="BD32" t="inlineStr">
        <is>
          <t>Bonjour,
Je me permets de vous contacter au sujet de votre appel d'offres : Marché n°26.AO.MG.050 - Renfort de personnel au sein du télé-accueil de l'EPT Est Ensemble.
CHRUTH accompagne les structures publiques et privées sur les besoins de nettoyage, d'entretien des locaux et d'organisation de prestations de service.
Serait-il possible d'échanger rapidement afin de vérifier les modalités de réponse et les attentes de Est Ensemble ?
Cordialement,</t>
        </is>
      </c>
      <c r="BE32" t="inlineStr">
        <is>
          <t>Bonjour, je vous appelle concernant un appel d'offres publié par Est Ensemble.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26-70598</t>
        </is>
      </c>
      <c r="C33" t="inlineStr">
        <is>
          <t>Location et entretien de linge de restauration et de maison pour le compte des Ministères sociaux</t>
        </is>
      </c>
      <c r="D33" t="inlineStr">
        <is>
          <t>Ministères sociaux, DFAS/SDADD</t>
        </is>
      </c>
      <c r="E33" t="inlineStr">
        <is>
          <t>11000201100044</t>
        </is>
      </c>
      <c r="F33" t="inlineStr">
        <is>
          <t>110002011</t>
        </is>
      </c>
      <c r="G33" t="inlineStr"/>
      <c r="H33" t="inlineStr"/>
      <c r="I33" t="inlineStr">
        <is>
          <t>maxime.peyronnet@sg.social.gouv.fr</t>
        </is>
      </c>
      <c r="J33" t="inlineStr">
        <is>
          <t>0201100044</t>
        </is>
      </c>
      <c r="K33" t="inlineStr"/>
      <c r="L33" t="inlineStr"/>
      <c r="M33" t="inlineStr"/>
      <c r="N33" t="inlineStr">
        <is>
          <t>75,77,78,91,92,93,94,95</t>
        </is>
      </c>
      <c r="O33" t="inlineStr"/>
      <c r="P33" t="inlineStr">
        <is>
          <t>Ile-de-France</t>
        </is>
      </c>
      <c r="Q33" s="14" t="n">
        <v>46220</v>
      </c>
      <c r="R33" s="14" t="n">
        <v>46241</v>
      </c>
      <c r="S33" s="15" t="n">
        <v>852000</v>
      </c>
      <c r="T33" t="inlineStr">
        <is>
          <t>BUDGET_EXPLICITE_OK</t>
        </is>
      </c>
      <c r="U33" t="inlineStr">
        <is>
          <t>5112000</t>
        </is>
      </c>
      <c r="V33" t="inlineStr">
        <is>
          <t>oui</t>
        </is>
      </c>
      <c r="W33" t="inlineStr">
        <is>
          <t>Mixte/Autre</t>
        </is>
      </c>
      <c r="X33" t="inlineStr">
        <is>
          <t>Autre</t>
        </is>
      </c>
      <c r="Y33" t="inlineStr">
        <is>
          <t>SERVICES</t>
        </is>
      </c>
      <c r="Z33" t="inlineStr">
        <is>
          <t>Procédure Ouverte</t>
        </is>
      </c>
      <c r="AA33" t="inlineStr">
        <is>
          <t>Avis de marché</t>
        </is>
      </c>
      <c r="AB33" t="inlineStr">
        <is>
          <t>Location (matériels), Blanchissage</t>
        </is>
      </c>
      <c r="AC33" t="inlineStr">
        <is>
          <t>['sociaux', 'environnementaux']</t>
        </is>
      </c>
      <c r="AD33" s="10" t="inlineStr">
        <is>
          <t>https://www.boamp.fr/pages/avis/?q=idweb:26-70598</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15</t>
        </is>
      </c>
      <c r="AL33" s="16" t="inlineStr">
        <is>
          <t>FROID</t>
        </is>
      </c>
      <c r="AM33">
        <f>MIN(100,MAX(0,IF(OR(ISNUMBER(SEARCH("nettoyage",C33)),ISNUMBER(SEARCH("proprete",C33)),ISNUMBER(SEARCH("entretien",C33)),ISNUMBER(SEARCH("hygiene",C33))),35,0)+IF(SUM(--(N33="75")+--(O33="75"),--(N33="77")+--(O33="77"),--(N33="78")+--(O33="78"),--(N33="91")+--(O33="91"),--(N33="92")+--(O33="92"),--(N33="93")+--(O33="93"),--(N33="94")+--(O33="94"),--(N33="95")+--(O33="95"))&gt;0,25,4)+IF(S33="",10,IF(S33&lt;=50000,25,IF(S33&lt;=100000,20,IF(S33&lt;=200000,5,IF(S33&lt;=500000,-10,-20)))))+IF(I33&lt;&gt;"",4,0)+IF(J33&lt;&gt;"",4,0)+IF(E33&lt;&gt;"",3,0)+IF(K33&lt;&gt;"",2,0)+IF(M33&lt;&gt;"",1,0)+IF(AD33&lt;&gt;"",1,0)+IF(R33="",0,IF(R33&lt;TODAY(),-30,IF(R33&lt;TODAY()+5,-15,IF(R33&lt;=TODAY()+15,5,10))))))</f>
        <v/>
      </c>
      <c r="AN33">
        <f>IF(AM33&gt;=65,"CHAUD",IF(AM33&gt;=40,"TIEDE","FROID"))</f>
        <v/>
      </c>
      <c r="AO33">
        <f>IF((IF(I33&lt;&gt;"",1,0)+IF(J33&lt;&gt;"",1,0)+IF(E33&lt;&gt;"",1,0)+IF(K33&lt;&gt;"",1,0))&gt;=4,"Complet",IF((IF(I33&lt;&gt;"",1,0)+IF(J33&lt;&gt;"",1,0)+IF(E33&lt;&gt;"",1,0)+IF(K33&lt;&gt;"",1,0))&gt;=2,"Partiel","Vide"))</f>
        <v/>
      </c>
      <c r="AP33">
        <f>IF(AJ33="DCE_A_TELECHARGER","Telecharger DCE",IF(T33="A_VERIFIER_BUDGET","Verifier budget",IF(AN33="CHAUD","Contacter maintenant",IF(AN33="TIEDE","Surveiller / relancer","Basse priorite"))))</f>
        <v/>
      </c>
      <c r="AQ33" t="inlineStr">
        <is>
          <t>IA_CONTACT_A_COMPLETER</t>
        </is>
      </c>
      <c r="AR33" t="inlineStr">
        <is>
          <t>Completer les champs manquants depuis l'avis source, le site acheteur ou le DCE.</t>
        </is>
      </c>
      <c r="AS33" t="inlineStr">
        <is>
          <t>adresse, ville</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26-70598. Objet: Location et entretien de linge de restauration et de maison pour le compte des Ministères sociaux. Acheteur: Ministères sociaux, DFAS/SDADD. Lien: https://www.boamp.fr/pages/avis/?q=idweb:26-70598.</t>
        </is>
      </c>
      <c r="AU33" t="inlineStr">
        <is>
          <t>Verifier url_avis et DCE si disponible</t>
        </is>
      </c>
      <c r="AV33" t="inlineStr"/>
      <c r="AW33" t="inlineStr"/>
      <c r="AX33" t="inlineStr"/>
      <c r="AY33" t="inlineStr"/>
      <c r="AZ33" t="inlineStr"/>
      <c r="BA33" t="inlineStr"/>
      <c r="BB33" t="inlineStr">
        <is>
          <t>+30 mots-cles nettoyage forts | -20 gros budget (&gt; 500 000 EUR) | +5 delai court 10j</t>
        </is>
      </c>
      <c r="BC33" t="inlineStr">
        <is>
          <t>Ministères sociaux, DFAS/SDADD publie un AO potentiellement pertinent pour CHRUTH : Location et entretien de linge de restauration et de maison pour le compte des Ministères sociaux. Zone : 75,77,78,91,92,93,94,95. Budget detecte environ 852 000 EUR. Verifier le lien source avant contact.</t>
        </is>
      </c>
      <c r="BD33" t="inlineStr">
        <is>
          <t>Bonjour,
Je me permets de vous contacter au sujet de votre appel d'offres : Location et entretien de linge de restauration et de maison pour le compte des Ministères sociaux.
CHRUTH accompagne les structures publiques et privées sur les besoins de nettoyage, d'entretien des locaux et d'organisation de prestations de service.
Serait-il possible d'échanger rapidement afin de vérifier les modalités de réponse et les attentes de Ministères sociaux, DFAS/SDADD ?
Cordialement,</t>
        </is>
      </c>
      <c r="BE33" t="inlineStr">
        <is>
          <t>Bonjour, je vous appelle concernant un appel d'offres publié par Ministères sociaux, DFAS/SDADD.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2026-W29</t>
        </is>
      </c>
    </row>
    <row r="34">
      <c r="A34" t="inlineStr">
        <is>
          <t>BOAMP</t>
        </is>
      </c>
      <c r="B34" t="inlineStr">
        <is>
          <t>26-72867</t>
        </is>
      </c>
      <c r="C34" t="inlineStr">
        <is>
          <t>La présente consultation a pour objet des prestations de sécurité incendie, de gardiennage des locaux et d’assistance aux personnels et usagers de l’arrondissement judiciaire de Paris.</t>
        </is>
      </c>
      <c r="D34" t="inlineStr">
        <is>
          <t>Cour d'appel de Paris - SAR</t>
        </is>
      </c>
      <c r="E34" t="inlineStr"/>
      <c r="F34" t="inlineStr"/>
      <c r="G34" t="inlineStr"/>
      <c r="H34" t="inlineStr"/>
      <c r="I34" t="inlineStr">
        <is>
          <t>mp.sar.ca-paris@justice.fr</t>
        </is>
      </c>
      <c r="J34" t="inlineStr">
        <is>
          <t>0144325084</t>
        </is>
      </c>
      <c r="K34" t="inlineStr"/>
      <c r="L34" t="inlineStr"/>
      <c r="M34" t="inlineStr"/>
      <c r="N34" t="inlineStr">
        <is>
          <t>75,77,89,91,93,94,95</t>
        </is>
      </c>
      <c r="O34" t="inlineStr"/>
      <c r="P34" t="inlineStr">
        <is>
          <t>Ile-de-France</t>
        </is>
      </c>
      <c r="Q34" s="14" t="n">
        <v>46226</v>
      </c>
      <c r="R34" t="inlineStr"/>
      <c r="S34" t="inlineStr"/>
      <c r="T34" t="inlineStr">
        <is>
          <t>A_VERIFIER_BUDGET</t>
        </is>
      </c>
      <c r="U34" t="inlineStr"/>
      <c r="V34" t="inlineStr">
        <is>
          <t>non</t>
        </is>
      </c>
      <c r="W34" t="inlineStr">
        <is>
          <t>Personnel</t>
        </is>
      </c>
      <c r="X34" t="inlineStr">
        <is>
          <t>Autre</t>
        </is>
      </c>
      <c r="Y34" t="inlineStr">
        <is>
          <t>SERVICES</t>
        </is>
      </c>
      <c r="Z34" t="inlineStr">
        <is>
          <t>Procédure Restreinte</t>
        </is>
      </c>
      <c r="AA34" t="inlineStr">
        <is>
          <t>Avis de marché</t>
        </is>
      </c>
      <c r="AB34" t="inlineStr">
        <is>
          <t>Gardiennage, Sécurité incendie</t>
        </is>
      </c>
      <c r="AC34" t="inlineStr"/>
      <c r="AD34" s="10" t="inlineStr">
        <is>
          <t>https://www.boamp.fr/pages/avis/?q=idweb:26-72867</t>
        </is>
      </c>
      <c r="AE34" t="inlineStr">
        <is>
          <t>https://www.marches-publics.gouv.fr/entreprise</t>
        </is>
      </c>
      <c r="AF34" t="inlineStr">
        <is>
          <t>https://www.marches-publics.gouv.fr/entreprise</t>
        </is>
      </c>
      <c r="AG34" t="inlineStr"/>
      <c r="AH34" t="inlineStr">
        <is>
          <t>2</t>
        </is>
      </c>
      <c r="AI34" t="inlineStr">
        <is>
          <t>50</t>
        </is>
      </c>
      <c r="AJ34" t="inlineStr">
        <is>
          <t>INFO_PARTIELLE</t>
        </is>
      </c>
      <c r="AK34" t="inlineStr">
        <is>
          <t>10</t>
        </is>
      </c>
      <c r="AL34" s="16" t="inlineStr">
        <is>
          <t>FROID</t>
        </is>
      </c>
      <c r="AM34">
        <f>MIN(100,MAX(0,IF(OR(ISNUMBER(SEARCH("nettoyage",C34)),ISNUMBER(SEARCH("proprete",C34)),ISNUMBER(SEARCH("entretien",C34)),ISNUMBER(SEARCH("hygiene",C34))),35,0)+IF(SUM(--(N34="75")+--(O34="75"),--(N34="77")+--(O34="77"),--(N34="78")+--(O34="78"),--(N34="91")+--(O34="91"),--(N34="92")+--(O34="92"),--(N34="93")+--(O34="93"),--(N34="94")+--(O34="94"),--(N34="95")+--(O34="95"))&gt;0,25,4)+IF(S34="",10,IF(S34&lt;=50000,25,IF(S34&lt;=100000,20,IF(S34&lt;=200000,5,IF(S34&lt;=500000,-10,-20)))))+IF(I34&lt;&gt;"",4,0)+IF(J34&lt;&gt;"",4,0)+IF(E34&lt;&gt;"",3,0)+IF(K34&lt;&gt;"",2,0)+IF(M34&lt;&gt;"",1,0)+IF(AD34&lt;&gt;"",1,0)+IF(R34="",0,IF(R34&lt;TODAY(),-30,IF(R34&lt;TODAY()+5,-15,IF(R34&lt;=TODAY()+15,5,10))))))</f>
        <v/>
      </c>
      <c r="AN34">
        <f>IF(AM34&gt;=65,"CHAUD",IF(AM34&gt;=40,"TIEDE","FROID"))</f>
        <v/>
      </c>
      <c r="AO34">
        <f>IF((IF(I34&lt;&gt;"",1,0)+IF(J34&lt;&gt;"",1,0)+IF(E34&lt;&gt;"",1,0)+IF(K34&lt;&gt;"",1,0))&gt;=4,"Complet",IF((IF(I34&lt;&gt;"",1,0)+IF(J34&lt;&gt;"",1,0)+IF(E34&lt;&gt;"",1,0)+IF(K34&lt;&gt;"",1,0))&gt;=2,"Partiel","Vide"))</f>
        <v/>
      </c>
      <c r="AP34">
        <f>IF(AJ34="DCE_A_TELECHARGER","Telecharger DCE",IF(T34="A_VERIFIER_BUDGET","Verifier budget",IF(AN34="CHAUD","Contacter maintenant",IF(AN34="TIEDE","Surveiller / relancer","Basse priorite"))))</f>
        <v/>
      </c>
      <c r="AQ34" t="inlineStr">
        <is>
          <t>IA_BUDGET_A_VERIFIER</t>
        </is>
      </c>
      <c r="AR34" t="inlineStr">
        <is>
          <t>Verifier le budget dans l'avis source ou le DCE avant decision commerciale.</t>
        </is>
      </c>
      <c r="AS34" t="inlineStr">
        <is>
          <t>SIRET, 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34" t="inlineStr">
        <is>
          <t>Verifier url_avis et DCE si disponible</t>
        </is>
      </c>
      <c r="AV34" t="inlineStr">
        <is>
          <t>LIEN_SEUL</t>
        </is>
      </c>
      <c r="AW34" t="inlineStr"/>
      <c r="AX34" t="inlineStr"/>
      <c r="AY34" t="inlineStr"/>
      <c r="AZ34" t="inlineStr"/>
      <c r="BA34" t="inlineStr"/>
      <c r="BB34" t="inlineStr">
        <is>
          <t>0 pertinence metier faible | +10 budget non affiche (a verifier) | 0 date limite absente</t>
        </is>
      </c>
      <c r="BC34"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34"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34"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26-73122</t>
        </is>
      </c>
      <c r="C35" t="inlineStr">
        <is>
          <t>Mise à disposition de professionnels paramédicaux et éducatifs pour la Direction de la protection de l'enfance et de la jeunesse.</t>
        </is>
      </c>
      <c r="D35" t="inlineStr">
        <is>
          <t>Département du Val-de-Marne</t>
        </is>
      </c>
      <c r="E35" t="inlineStr">
        <is>
          <t>22940028800010</t>
        </is>
      </c>
      <c r="F35" t="inlineStr">
        <is>
          <t>229400288</t>
        </is>
      </c>
      <c r="G35" t="inlineStr"/>
      <c r="H35" t="inlineStr"/>
      <c r="I35" t="inlineStr">
        <is>
          <t>dapm@valdemarne.fr</t>
        </is>
      </c>
      <c r="J35" t="inlineStr">
        <is>
          <t>0704900017</t>
        </is>
      </c>
      <c r="K35" t="inlineStr"/>
      <c r="L35" t="inlineStr"/>
      <c r="M35" t="inlineStr"/>
      <c r="N35" t="inlineStr">
        <is>
          <t>94</t>
        </is>
      </c>
      <c r="O35" t="inlineStr"/>
      <c r="P35" t="inlineStr">
        <is>
          <t>Ile-de-France</t>
        </is>
      </c>
      <c r="Q35" s="14" t="n">
        <v>46226</v>
      </c>
      <c r="R35" s="14" t="n">
        <v>46276</v>
      </c>
      <c r="S35" s="15" t="n">
        <v>2800000</v>
      </c>
      <c r="T35" t="inlineStr">
        <is>
          <t>BUDGET_EXPLICITE_OK</t>
        </is>
      </c>
      <c r="U35" t="inlineStr">
        <is>
          <t>2800000</t>
        </is>
      </c>
      <c r="V35" t="inlineStr">
        <is>
          <t>oui</t>
        </is>
      </c>
      <c r="W35" t="inlineStr">
        <is>
          <t>Personnel</t>
        </is>
      </c>
      <c r="X35" t="inlineStr">
        <is>
          <t>Autre</t>
        </is>
      </c>
      <c r="Y35" t="inlineStr">
        <is>
          <t>SERVICES</t>
        </is>
      </c>
      <c r="Z35" t="inlineStr">
        <is>
          <t>Procédure Ouverte</t>
        </is>
      </c>
      <c r="AA35" t="inlineStr">
        <is>
          <t>Avis de marché</t>
        </is>
      </c>
      <c r="AB35" t="inlineStr">
        <is>
          <t>Mise à disposition de personnel</t>
        </is>
      </c>
      <c r="AC35" t="inlineStr">
        <is>
          <t>['environnementaux']</t>
        </is>
      </c>
      <c r="AD35" s="10" t="inlineStr">
        <is>
          <t>https://www.boamp.fr/pages/avis/?q=idweb:26-73122</t>
        </is>
      </c>
      <c r="AE35" t="inlineStr">
        <is>
          <t>https://marches.maximilien.fr/?page=Entreprise.EntrepriseAdvancedSearch&amp;AllCons&amp;id=943156&amp;orgAcronyme=a8z</t>
        </is>
      </c>
      <c r="AF35" t="inlineStr">
        <is>
          <t>https://marches.maximilien.fr/?page=Entreprise.EntrepriseAdvancedSearch&amp;AllCons&amp;id=943156&amp;orgAcronyme=a8z</t>
        </is>
      </c>
      <c r="AG35" t="inlineStr"/>
      <c r="AH35" t="inlineStr">
        <is>
          <t>3</t>
        </is>
      </c>
      <c r="AI35" t="inlineStr">
        <is>
          <t>60</t>
        </is>
      </c>
      <c r="AJ35" t="inlineStr">
        <is>
          <t>INFO_PARTIELLE</t>
        </is>
      </c>
      <c r="AK35" t="inlineStr">
        <is>
          <t>0</t>
        </is>
      </c>
      <c r="AL35" s="16" t="inlineStr">
        <is>
          <t>FROID</t>
        </is>
      </c>
      <c r="AM35">
        <f>MIN(100,MAX(0,IF(OR(ISNUMBER(SEARCH("nettoyage",C35)),ISNUMBER(SEARCH("proprete",C35)),ISNUMBER(SEARCH("entretien",C35)),ISNUMBER(SEARCH("hygiene",C35))),35,0)+IF(SUM(--(N35="75")+--(O35="75"),--(N35="77")+--(O35="77"),--(N35="78")+--(O35="78"),--(N35="91")+--(O35="91"),--(N35="92")+--(O35="92"),--(N35="93")+--(O35="93"),--(N35="94")+--(O35="94"),--(N35="95")+--(O35="95"))&gt;0,25,4)+IF(S35="",10,IF(S35&lt;=50000,25,IF(S35&lt;=100000,20,IF(S35&lt;=200000,5,IF(S35&lt;=500000,-10,-20)))))+IF(I35&lt;&gt;"",4,0)+IF(J35&lt;&gt;"",4,0)+IF(E35&lt;&gt;"",3,0)+IF(K35&lt;&gt;"",2,0)+IF(M35&lt;&gt;"",1,0)+IF(AD35&lt;&gt;"",1,0)+IF(R35="",0,IF(R35&lt;TODAY(),-30,IF(R35&lt;TODAY()+5,-15,IF(R35&lt;=TODAY()+15,5,10))))))</f>
        <v/>
      </c>
      <c r="AN35">
        <f>IF(AM35&gt;=65,"CHAUD",IF(AM35&gt;=40,"TIEDE","FROID"))</f>
        <v/>
      </c>
      <c r="AO35">
        <f>IF((IF(I35&lt;&gt;"",1,0)+IF(J35&lt;&gt;"",1,0)+IF(E35&lt;&gt;"",1,0)+IF(K35&lt;&gt;"",1,0))&gt;=4,"Complet",IF((IF(I35&lt;&gt;"",1,0)+IF(J35&lt;&gt;"",1,0)+IF(E35&lt;&gt;"",1,0)+IF(K35&lt;&gt;"",1,0))&gt;=2,"Partiel","Vide"))</f>
        <v/>
      </c>
      <c r="AP35">
        <f>IF(AJ35="DCE_A_TELECHARGER","Telecharger DCE",IF(T35="A_VERIFIER_BUDGET","Verifier budget",IF(AN35="CHAUD","Contacter maintenant",IF(AN35="TIEDE","Surveiller / relancer","Basse priorite"))))</f>
        <v/>
      </c>
      <c r="AQ35" t="inlineStr">
        <is>
          <t>IA_CONTACT_A_COMPLETER</t>
        </is>
      </c>
      <c r="AR35" t="inlineStr">
        <is>
          <t>Completer les champs manquants depuis l'avis source, le site acheteur ou le DCE.</t>
        </is>
      </c>
      <c r="AS35" t="inlineStr">
        <is>
          <t>adresse, ville</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26-73122. Objet: Mise à disposition de professionnels paramédicaux et éducatifs pour la Direction de la protection de l'enfance et de la jeunesse.. Acheteur: Département du Val-de-Marne. Lien: https://www.boamp.fr/pages/avis/?q=idweb:26-73122.</t>
        </is>
      </c>
      <c r="AU35" t="inlineStr">
        <is>
          <t>Verifier url_avis et DCE si disponible</t>
        </is>
      </c>
      <c r="AV35" t="inlineStr"/>
      <c r="AW35" t="inlineStr"/>
      <c r="AX35" t="inlineStr"/>
      <c r="AY35" t="inlineStr"/>
      <c r="AZ35" t="inlineStr"/>
      <c r="BA35" t="inlineStr"/>
      <c r="BB35" t="inlineStr">
        <is>
          <t>0 pertinence metier faible | -20 gros budget (&gt; 500 000 EUR) | +10 delai confortable 45j</t>
        </is>
      </c>
      <c r="BC35" t="inlineStr">
        <is>
          <t>Département du Val-de-Marne publie un AO potentiellement pertinent pour CHRUTH : Mise à disposition de professionnels paramédicaux et éducatifs pour la Direction de la protection de l'enfance et de la jeunesse.. Zone : 94. Budget detecte environ 2 800 000 EUR. Verifier le lien source avant contact.</t>
        </is>
      </c>
      <c r="BD35" t="inlineStr">
        <is>
          <t>Bonjour,
Je me permets de vous contacter au sujet de votre appel d'offres : Mise à disposition de professionnels paramédicaux et éducatifs pour la Direction de la protection de l'enfance et de la jeunesse..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35"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2026-W30</t>
        </is>
      </c>
    </row>
    <row r="36">
      <c r="A36" t="inlineStr">
        <is>
          <t>BOAMP</t>
        </is>
      </c>
      <c r="B36" t="inlineStr">
        <is>
          <t>26-70414</t>
        </is>
      </c>
      <c r="C36" t="inlineStr">
        <is>
          <t>prestations de gestion de l'entretien et des réparations des flottes de véhicules terrestres d’un PTAC ≤ 3,5 tonnes et des prestations d’assistance pour les véhicules en auto assurance</t>
        </is>
      </c>
      <c r="D36" t="inlineStr">
        <is>
          <t>Direction des Achats de l'Etat (DAE)</t>
        </is>
      </c>
      <c r="E36" t="inlineStr">
        <is>
          <t>13002220500012</t>
        </is>
      </c>
      <c r="F36" t="inlineStr">
        <is>
          <t>130022205</t>
        </is>
      </c>
      <c r="G36" t="inlineStr"/>
      <c r="H36" t="inlineStr"/>
      <c r="I36" t="inlineStr">
        <is>
          <t>mobilite.dae@finances.gouv.fr</t>
        </is>
      </c>
      <c r="J36" t="inlineStr">
        <is>
          <t>0222050001</t>
        </is>
      </c>
      <c r="K36" t="inlineStr"/>
      <c r="L36" t="inlineStr"/>
      <c r="M36" t="inlineStr"/>
      <c r="N36" t="inlineStr">
        <is>
          <t>75</t>
        </is>
      </c>
      <c r="O36" t="inlineStr"/>
      <c r="P36" t="inlineStr">
        <is>
          <t>Ile-de-France</t>
        </is>
      </c>
      <c r="Q36" s="14" t="n">
        <v>46220</v>
      </c>
      <c r="R36" s="14" t="n">
        <v>46233</v>
      </c>
      <c r="S36" s="15" t="n">
        <v>580000000</v>
      </c>
      <c r="T36" t="inlineStr">
        <is>
          <t>BUDGET_EXPLICITE_OK</t>
        </is>
      </c>
      <c r="U36" t="inlineStr">
        <is>
          <t>1160000000</t>
        </is>
      </c>
      <c r="V36" t="inlineStr">
        <is>
          <t>oui</t>
        </is>
      </c>
      <c r="W36" t="inlineStr">
        <is>
          <t>Personnel</t>
        </is>
      </c>
      <c r="X36" t="inlineStr">
        <is>
          <t>Autre</t>
        </is>
      </c>
      <c r="Y36" t="inlineStr">
        <is>
          <t>SERVICES</t>
        </is>
      </c>
      <c r="Z36" t="inlineStr">
        <is>
          <t>Procédure Ouverte</t>
        </is>
      </c>
      <c r="AA36" t="inlineStr">
        <is>
          <t>Avis de marché</t>
        </is>
      </c>
      <c r="AB36" t="inlineStr">
        <is>
          <t>Prestations de services</t>
        </is>
      </c>
      <c r="AC36" t="inlineStr">
        <is>
          <t>['sociaux', 'environnementaux']</t>
        </is>
      </c>
      <c r="AD36" s="10" t="inlineStr">
        <is>
          <t>https://www.boamp.fr/pages/avis/?q=idweb:26-70414</t>
        </is>
      </c>
      <c r="AE36" t="inlineStr">
        <is>
          <t>https://www.marches-publics.gouv.fr</t>
        </is>
      </c>
      <c r="AF36" t="inlineStr">
        <is>
          <t>https://www.marches-publics.gouv.fr</t>
        </is>
      </c>
      <c r="AG36" t="inlineStr"/>
      <c r="AH36" t="inlineStr">
        <is>
          <t>3</t>
        </is>
      </c>
      <c r="AI36" t="inlineStr">
        <is>
          <t>60</t>
        </is>
      </c>
      <c r="AJ36" t="inlineStr">
        <is>
          <t>INFO_PARTIELLE</t>
        </is>
      </c>
      <c r="AK36" t="inlineStr">
        <is>
          <t>0</t>
        </is>
      </c>
      <c r="AL36" s="16" t="inlineStr">
        <is>
          <t>FROID</t>
        </is>
      </c>
      <c r="AM36">
        <f>MIN(100,MAX(0,IF(OR(ISNUMBER(SEARCH("nettoyage",C36)),ISNUMBER(SEARCH("proprete",C36)),ISNUMBER(SEARCH("entretien",C36)),ISNUMBER(SEARCH("hygiene",C36))),35,0)+IF(SUM(--(N36="75")+--(O36="75"),--(N36="77")+--(O36="77"),--(N36="78")+--(O36="78"),--(N36="91")+--(O36="91"),--(N36="92")+--(O36="92"),--(N36="93")+--(O36="93"),--(N36="94")+--(O36="94"),--(N36="95")+--(O36="95"))&gt;0,25,4)+IF(S36="",10,IF(S36&lt;=50000,25,IF(S36&lt;=100000,20,IF(S36&lt;=200000,5,IF(S36&lt;=500000,-10,-20)))))+IF(I36&lt;&gt;"",4,0)+IF(J36&lt;&gt;"",4,0)+IF(E36&lt;&gt;"",3,0)+IF(K36&lt;&gt;"",2,0)+IF(M36&lt;&gt;"",1,0)+IF(AD36&lt;&gt;"",1,0)+IF(R36="",0,IF(R36&lt;TODAY(),-30,IF(R36&lt;TODAY()+5,-15,IF(R36&lt;=TODAY()+15,5,10))))))</f>
        <v/>
      </c>
      <c r="AN36">
        <f>IF(AM36&gt;=65,"CHAUD",IF(AM36&gt;=40,"TIEDE","FROID"))</f>
        <v/>
      </c>
      <c r="AO36">
        <f>IF((IF(I36&lt;&gt;"",1,0)+IF(J36&lt;&gt;"",1,0)+IF(E36&lt;&gt;"",1,0)+IF(K36&lt;&gt;"",1,0))&gt;=4,"Complet",IF((IF(I36&lt;&gt;"",1,0)+IF(J36&lt;&gt;"",1,0)+IF(E36&lt;&gt;"",1,0)+IF(K36&lt;&gt;"",1,0))&gt;=2,"Partiel","Vide"))</f>
        <v/>
      </c>
      <c r="AP36">
        <f>IF(AJ36="DCE_A_TELECHARGER","Telecharger DCE",IF(T36="A_VERIFIER_BUDGET","Verifier budget",IF(AN36="CHAUD","Contacter maintenant",IF(AN36="TIEDE","Surveiller / relancer","Basse priorite"))))</f>
        <v/>
      </c>
      <c r="AQ36" t="inlineStr">
        <is>
          <t>IA_CONTACT_A_COMPLETER</t>
        </is>
      </c>
      <c r="AR36" t="inlineStr">
        <is>
          <t>Completer les champs manquants depuis l'avis source, le site acheteur ou le DCE.</t>
        </is>
      </c>
      <c r="AS36" t="inlineStr">
        <is>
          <t>adresse, ville</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26-70414. Objet: prestations de gestion de l'entretien et des réparations des flottes de véhicules terrestres d’un PTAC ≤ 3,5 tonnes et des prestations d’assistance pour les véhicules en auto assurance. Acheteur: Direction des Achats de l'Etat (DAE). Lien: https://www.boamp.fr/pages/avis/?q=idweb:26-70414.</t>
        </is>
      </c>
      <c r="AU36" t="inlineStr">
        <is>
          <t>Verifier url_avis et DCE si disponible</t>
        </is>
      </c>
      <c r="AV36" t="inlineStr"/>
      <c r="AW36" t="inlineStr"/>
      <c r="AX36" t="inlineStr"/>
      <c r="AY36" t="inlineStr"/>
      <c r="AZ36" t="inlineStr"/>
      <c r="BA36" t="inlineStr"/>
      <c r="BB36" t="inlineStr">
        <is>
          <t>0 pertinence metier faible | -20 gros budget (&gt; 500 000 EUR) | -15 delai critique 2j</t>
        </is>
      </c>
      <c r="BC36" t="inlineStr">
        <is>
          <t>Direction des Achats de l'Etat (DAE) publie un AO potentiellement pertinent pour CHRUTH : prestations de gestion de l'entretien et des réparations des flottes de véhicules terrestres d’un PTAC ≤ 3,5 tonnes et des prestations d’assistance pour les véhicules en auto assurance. Zone : 75. Budget detecte environ 580 000 000 EUR. Verifier le lien source avant contact.</t>
        </is>
      </c>
      <c r="BD36" t="inlineStr">
        <is>
          <t>Bonjour,
Je me permets de vous contacter au sujet de votre appel d'offres : prestations de gestion de l'entretien et des réparations des flottes de véhicules terrestres d’un PTAC ≤ 3,5 tonnes et des prestations d’assistance pour les véhicules en auto assurance.
CHRUTH accompagne les structures publiques et privées sur les besoins de nettoyage, d'entretien des locaux et d'organisation de prestations de service.
Serait-il possible d'échanger rapidement afin de vérifier les modalités de réponse et les attentes de Direction des Achats de l'Etat (DAE) ?
Cordialement,</t>
        </is>
      </c>
      <c r="BE36" t="inlineStr">
        <is>
          <t>Bonjour, je vous appelle concernant un appel d'offres publié par Direction des Achats de l'Etat (DAE).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26-70509</t>
        </is>
      </c>
      <c r="C37" t="inlineStr">
        <is>
          <t>GARDIENNAGE ET SURVEILLANCE DU CENTRE DE FORMATION DE GURCY-LE-CHATEL</t>
        </is>
      </c>
      <c r="D37" t="inlineStr">
        <is>
          <t>SDIS 77 de Seine-et-Marne</t>
        </is>
      </c>
      <c r="E37" t="inlineStr">
        <is>
          <t>28770831700014</t>
        </is>
      </c>
      <c r="F37" t="inlineStr">
        <is>
          <t>287708317</t>
        </is>
      </c>
      <c r="G37" t="inlineStr"/>
      <c r="H37" t="inlineStr"/>
      <c r="I37" t="inlineStr">
        <is>
          <t>marchespublics@sdis77.fr</t>
        </is>
      </c>
      <c r="J37" t="inlineStr">
        <is>
          <t>0831700014</t>
        </is>
      </c>
      <c r="K37" t="inlineStr"/>
      <c r="L37" t="inlineStr"/>
      <c r="M37" t="inlineStr"/>
      <c r="N37" t="inlineStr">
        <is>
          <t>77,91</t>
        </is>
      </c>
      <c r="O37" t="inlineStr"/>
      <c r="P37" t="inlineStr">
        <is>
          <t>Ile-de-France</t>
        </is>
      </c>
      <c r="Q37" s="14" t="n">
        <v>46220</v>
      </c>
      <c r="R37" t="inlineStr"/>
      <c r="S37" s="15" t="n">
        <v>250000</v>
      </c>
      <c r="T37" t="inlineStr">
        <is>
          <t>BUDGET_EXPLICITE_OK</t>
        </is>
      </c>
      <c r="U37" t="inlineStr">
        <is>
          <t>500000</t>
        </is>
      </c>
      <c r="V37" t="inlineStr">
        <is>
          <t>oui</t>
        </is>
      </c>
      <c r="W37" t="inlineStr">
        <is>
          <t>Personnel</t>
        </is>
      </c>
      <c r="X37" t="inlineStr">
        <is>
          <t>Autre</t>
        </is>
      </c>
      <c r="Y37" t="inlineStr">
        <is>
          <t>SERVICES</t>
        </is>
      </c>
      <c r="Z37" t="inlineStr">
        <is>
          <t>Procédure Restreinte</t>
        </is>
      </c>
      <c r="AA37" t="inlineStr">
        <is>
          <t>Avis de marché</t>
        </is>
      </c>
      <c r="AB37" t="inlineStr">
        <is>
          <t>Gardiennage</t>
        </is>
      </c>
      <c r="AC37" t="inlineStr">
        <is>
          <t>['environnementaux']</t>
        </is>
      </c>
      <c r="AD37" s="10" t="inlineStr">
        <is>
          <t>https://www.boamp.fr/pages/avis/?q=idweb:26-70509</t>
        </is>
      </c>
      <c r="AE37" t="inlineStr">
        <is>
          <t>http://melun.tribunal-administratif.fr</t>
        </is>
      </c>
      <c r="AF37" t="inlineStr"/>
      <c r="AG37" t="inlineStr"/>
      <c r="AH37" t="inlineStr">
        <is>
          <t>3</t>
        </is>
      </c>
      <c r="AI37" t="inlineStr">
        <is>
          <t>60</t>
        </is>
      </c>
      <c r="AJ37" t="inlineStr">
        <is>
          <t>INFO_PARTIELLE</t>
        </is>
      </c>
      <c r="AK37" t="inlineStr">
        <is>
          <t>0</t>
        </is>
      </c>
      <c r="AL37" s="16" t="inlineStr">
        <is>
          <t>FROID</t>
        </is>
      </c>
      <c r="AM37">
        <f>MIN(100,MAX(0,IF(OR(ISNUMBER(SEARCH("nettoyage",C37)),ISNUMBER(SEARCH("proprete",C37)),ISNUMBER(SEARCH("entretien",C37)),ISNUMBER(SEARCH("hygiene",C37))),35,0)+IF(SUM(--(N37="75")+--(O37="75"),--(N37="77")+--(O37="77"),--(N37="78")+--(O37="78"),--(N37="91")+--(O37="91"),--(N37="92")+--(O37="92"),--(N37="93")+--(O37="93"),--(N37="94")+--(O37="94"),--(N37="95")+--(O37="95"))&gt;0,25,4)+IF(S37="",10,IF(S37&lt;=50000,25,IF(S37&lt;=100000,20,IF(S37&lt;=200000,5,IF(S37&lt;=500000,-10,-20)))))+IF(I37&lt;&gt;"",4,0)+IF(J37&lt;&gt;"",4,0)+IF(E37&lt;&gt;"",3,0)+IF(K37&lt;&gt;"",2,0)+IF(M37&lt;&gt;"",1,0)+IF(AD37&lt;&gt;"",1,0)+IF(R37="",0,IF(R37&lt;TODAY(),-30,IF(R37&lt;TODAY()+5,-15,IF(R37&lt;=TODAY()+15,5,10))))))</f>
        <v/>
      </c>
      <c r="AN37">
        <f>IF(AM37&gt;=65,"CHAUD",IF(AM37&gt;=40,"TIEDE","FROID"))</f>
        <v/>
      </c>
      <c r="AO37">
        <f>IF((IF(I37&lt;&gt;"",1,0)+IF(J37&lt;&gt;"",1,0)+IF(E37&lt;&gt;"",1,0)+IF(K37&lt;&gt;"",1,0))&gt;=4,"Complet",IF((IF(I37&lt;&gt;"",1,0)+IF(J37&lt;&gt;"",1,0)+IF(E37&lt;&gt;"",1,0)+IF(K37&lt;&gt;"",1,0))&gt;=2,"Partiel","Vide"))</f>
        <v/>
      </c>
      <c r="AP37">
        <f>IF(AJ37="DCE_A_TELECHARGER","Telecharger DCE",IF(T37="A_VERIFIER_BUDGET","Verifier budget",IF(AN37="CHAUD","Contacter maintenant",IF(AN37="TIEDE","Surveiller / relancer","Basse priorite"))))</f>
        <v/>
      </c>
      <c r="AQ37" t="inlineStr">
        <is>
          <t>IA_CONTACT_A_COMPLETER</t>
        </is>
      </c>
      <c r="AR37" t="inlineStr">
        <is>
          <t>Completer les champs manquants depuis l'avis source, le site acheteur ou le DCE.</t>
        </is>
      </c>
      <c r="AS37" t="inlineStr">
        <is>
          <t>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26-70509. Objet: GARDIENNAGE ET SURVEILLANCE DU CENTRE DE FORMATION DE GURCY-LE-CHATEL. Acheteur: SDIS 77 de Seine-et-Marne. Lien: https://www.boamp.fr/pages/avis/?q=idweb:26-70509.</t>
        </is>
      </c>
      <c r="AU37" t="inlineStr">
        <is>
          <t>Verifier url_avis et DCE si disponible</t>
        </is>
      </c>
      <c r="AV37" t="inlineStr"/>
      <c r="AW37" t="inlineStr"/>
      <c r="AX37" t="inlineStr"/>
      <c r="AY37" t="inlineStr"/>
      <c r="AZ37" t="inlineStr"/>
      <c r="BA37" t="inlineStr"/>
      <c r="BB37" t="inlineStr">
        <is>
          <t>0 pertinence metier faible | -10 budget annualise &lt;= 500 000 EUR | 0 date limite absente</t>
        </is>
      </c>
      <c r="BC37" t="inlineStr">
        <is>
          <t>SDIS 77 de Seine-et-Marne publie un AO potentiellement pertinent pour CHRUTH : GARDIENNAGE ET SURVEILLANCE DU CENTRE DE FORMATION DE GURCY-LE-CHATEL. Zone : 77,91. Budget detecte environ 250 000 EUR. Verifier le lien source avant contact.</t>
        </is>
      </c>
      <c r="BD37" t="inlineStr">
        <is>
          <t>Bonjour,
Je me permets de vous contacter au sujet de votre appel d'offres : GARDIENNAGE ET SURVEILLANCE DU CENTRE DE FORMATION DE GURCY-LE-CHATEL.
CHRUTH accompagne les structures publiques et privées sur les besoins de nettoyage, d'entretien des locaux et d'organisation de prestations de service.
Serait-il possible d'échanger rapidement afin de vérifier les modalités de réponse et les attentes de SDIS 77 de Seine-et-Marne ?
Cordialement,</t>
        </is>
      </c>
      <c r="BE37" t="inlineStr">
        <is>
          <t>Bonjour, je vous appelle concernant un appel d'offres publié par SDIS 77 de Seine-et-Marne.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2026-W29</t>
        </is>
      </c>
    </row>
    <row r="38">
      <c r="A38" t="inlineStr">
        <is>
          <t>BOAMP</t>
        </is>
      </c>
      <c r="B38" t="inlineStr">
        <is>
          <t>26-70374</t>
        </is>
      </c>
      <c r="C38" t="inlineStr">
        <is>
          <t>Mise en propreté des abords du site principal du Centre National d’Art et de Culture Georges Pompidou et des bâtiments annexes (CNAC-GP) (2 lots) - Vague 2 : lot 2 (26-CP04-044-AC)</t>
        </is>
      </c>
      <c r="D38" t="inlineStr">
        <is>
          <t>CENTRE POMPIDOU</t>
        </is>
      </c>
      <c r="E38" t="inlineStr">
        <is>
          <t>18004602100028</t>
        </is>
      </c>
      <c r="F38" t="inlineStr">
        <is>
          <t>180046021</t>
        </is>
      </c>
      <c r="G38" t="inlineStr"/>
      <c r="H38" t="inlineStr"/>
      <c r="I38" t="inlineStr">
        <is>
          <t>achat@centrepompidou.fr</t>
        </is>
      </c>
      <c r="J38" t="inlineStr">
        <is>
          <t>0460210002</t>
        </is>
      </c>
      <c r="K38" t="inlineStr"/>
      <c r="L38" t="inlineStr"/>
      <c r="M38" t="inlineStr"/>
      <c r="N38" t="inlineStr">
        <is>
          <t>75</t>
        </is>
      </c>
      <c r="O38" t="inlineStr"/>
      <c r="P38" t="inlineStr">
        <is>
          <t>Ile-de-France</t>
        </is>
      </c>
      <c r="Q38" s="14" t="n">
        <v>46220</v>
      </c>
      <c r="R38" s="14" t="n">
        <v>46223</v>
      </c>
      <c r="S38" s="15" t="n">
        <v>600000</v>
      </c>
      <c r="T38" t="inlineStr">
        <is>
          <t>BUDGET_EXPLICITE_OK</t>
        </is>
      </c>
      <c r="U38" t="inlineStr">
        <is>
          <t>600000.0</t>
        </is>
      </c>
      <c r="V38" t="inlineStr">
        <is>
          <t>non</t>
        </is>
      </c>
      <c r="W38" t="inlineStr">
        <is>
          <t>Batiments</t>
        </is>
      </c>
      <c r="X38" t="inlineStr">
        <is>
          <t>Autre</t>
        </is>
      </c>
      <c r="Y38" t="inlineStr">
        <is>
          <t>SERVICES</t>
        </is>
      </c>
      <c r="Z38" t="inlineStr">
        <is>
          <t>Procédure Ouverte</t>
        </is>
      </c>
      <c r="AA38" t="inlineStr">
        <is>
          <t>Avis de marché</t>
        </is>
      </c>
      <c r="AB38" t="inlineStr">
        <is>
          <t>Nettoyage de locaux</t>
        </is>
      </c>
      <c r="AC38" t="inlineStr">
        <is>
          <t>['environnementaux']</t>
        </is>
      </c>
      <c r="AD38" s="10" t="inlineStr">
        <is>
          <t>https://www.boamp.fr/pages/avis/?q=idweb:26-70374</t>
        </is>
      </c>
      <c r="AE38" t="inlineStr">
        <is>
          <t>https://www.marches-publics.gouv.fr/</t>
        </is>
      </c>
      <c r="AF38" t="inlineStr">
        <is>
          <t>https://www.marches-publics.gouv.fr/</t>
        </is>
      </c>
      <c r="AG38" t="inlineStr">
        <is>
          <t>nettoyage, proprete</t>
        </is>
      </c>
      <c r="AH38" t="inlineStr">
        <is>
          <t>3</t>
        </is>
      </c>
      <c r="AI38" t="inlineStr">
        <is>
          <t>76</t>
        </is>
      </c>
      <c r="AJ38" t="inlineStr">
        <is>
          <t>INFO_PARTIELLE</t>
        </is>
      </c>
      <c r="AK38" t="inlineStr">
        <is>
          <t>0</t>
        </is>
      </c>
      <c r="AL38" s="16" t="inlineStr">
        <is>
          <t>FROID</t>
        </is>
      </c>
      <c r="AM38">
        <f>MIN(100,MAX(0,IF(OR(ISNUMBER(SEARCH("nettoyage",C38)),ISNUMBER(SEARCH("proprete",C38)),ISNUMBER(SEARCH("entretien",C38)),ISNUMBER(SEARCH("hygiene",C38))),35,0)+IF(SUM(--(N38="75")+--(O38="75"),--(N38="77")+--(O38="77"),--(N38="78")+--(O38="78"),--(N38="91")+--(O38="91"),--(N38="92")+--(O38="92"),--(N38="93")+--(O38="93"),--(N38="94")+--(O38="94"),--(N38="95")+--(O38="95"))&gt;0,25,4)+IF(S38="",10,IF(S38&lt;=50000,25,IF(S38&lt;=100000,20,IF(S38&lt;=200000,5,IF(S38&lt;=500000,-10,-20)))))+IF(I38&lt;&gt;"",4,0)+IF(J38&lt;&gt;"",4,0)+IF(E38&lt;&gt;"",3,0)+IF(K38&lt;&gt;"",2,0)+IF(M38&lt;&gt;"",1,0)+IF(AD38&lt;&gt;"",1,0)+IF(R38="",0,IF(R38&lt;TODAY(),-30,IF(R38&lt;TODAY()+5,-15,IF(R38&lt;=TODAY()+15,5,10))))))</f>
        <v/>
      </c>
      <c r="AN38">
        <f>IF(AM38&gt;=65,"CHAUD",IF(AM38&gt;=40,"TIEDE","FROID"))</f>
        <v/>
      </c>
      <c r="AO38">
        <f>IF((IF(I38&lt;&gt;"",1,0)+IF(J38&lt;&gt;"",1,0)+IF(E38&lt;&gt;"",1,0)+IF(K38&lt;&gt;"",1,0))&gt;=4,"Complet",IF((IF(I38&lt;&gt;"",1,0)+IF(J38&lt;&gt;"",1,0)+IF(E38&lt;&gt;"",1,0)+IF(K38&lt;&gt;"",1,0))&gt;=2,"Partiel","Vide"))</f>
        <v/>
      </c>
      <c r="AP38">
        <f>IF(AJ38="DCE_A_TELECHARGER","Telecharger DCE",IF(T38="A_VERIFIER_BUDGET","Verifier budget",IF(AN38="CHAUD","Contacter maintenant",IF(AN38="TIEDE","Surveiller / relancer","Basse priorite"))))</f>
        <v/>
      </c>
      <c r="AQ38" t="inlineStr">
        <is>
          <t>IA_CONTACT_A_COMPLETER</t>
        </is>
      </c>
      <c r="AR38" t="inlineStr">
        <is>
          <t>Completer les champs manquants depuis l'avis source, le site acheteur ou le DCE.</t>
        </is>
      </c>
      <c r="AS38" t="inlineStr">
        <is>
          <t>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26-70374. Objet: Mise en propreté des abords du site principal du Centre National d’Art et de Culture Georges Pompidou et des bâtiments annexes (CNAC-GP) (2 lots) - Vague 2 : lot 2 (26-CP04-044-AC). Acheteur: CENTRE POMPIDOU. Lien: https://www.boamp.fr/pages/avis/?q=idweb:26-70374.</t>
        </is>
      </c>
      <c r="AU38" t="inlineStr">
        <is>
          <t>Verifier url_avis et DCE si disponible</t>
        </is>
      </c>
      <c r="AV38" t="inlineStr"/>
      <c r="AW38" t="inlineStr"/>
      <c r="AX38" t="inlineStr"/>
      <c r="AY38" t="inlineStr"/>
      <c r="AZ38" t="inlineStr"/>
      <c r="BA38" t="inlineStr"/>
      <c r="BB38" t="inlineStr">
        <is>
          <t>+35 nettoyage + categorie claire | -20 gros budget (&gt; 500 000 EUR) | +15 procedure adaptee / MAPA / allotissement | -30 AO expire</t>
        </is>
      </c>
      <c r="BC38"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38"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38"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s>
  <pageMargins left="0.75" right="0.75" top="1" bottom="1" header="0.5" footer="0.5"/>
  <tableParts count="1">
    <tablePart xmlns:r="http://schemas.openxmlformats.org/officeDocument/2006/relationships" r:id="rId38"/>
  </tableParts>
</worksheet>
</file>

<file path=xl/worksheets/sheet5.xml><?xml version="1.0" encoding="utf-8"?>
<worksheet xmlns="http://schemas.openxmlformats.org/spreadsheetml/2006/main">
  <sheetPr>
    <outlinePr summaryBelow="1" summaryRight="1"/>
    <pageSetUpPr/>
  </sheetPr>
  <dimension ref="A1:BM3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3" customWidth="1" min="9" max="9"/>
    <col width="15" customWidth="1" min="10" max="10"/>
    <col width="55" customWidth="1" min="11" max="11"/>
    <col width="13" customWidth="1" min="12" max="12"/>
    <col width="17"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22" customWidth="1" min="26" max="26"/>
    <col width="16" customWidth="1" min="27" max="27"/>
    <col width="55" customWidth="1" min="28" max="28"/>
    <col width="33" customWidth="1" min="29" max="29"/>
    <col width="51"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4" t="n">
        <v>46227</v>
      </c>
      <c r="R2" s="14"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0"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26-74949</t>
        </is>
      </c>
      <c r="C3" t="inlineStr">
        <is>
          <t>Prestations D'Entretien Ménager Des Gymnases De La Ville De Roissy-En-Brie</t>
        </is>
      </c>
      <c r="D3" t="inlineStr">
        <is>
          <t>Mairie de Roissy-en-Brie</t>
        </is>
      </c>
      <c r="E3" t="inlineStr">
        <is>
          <t>21770390900010</t>
        </is>
      </c>
      <c r="F3" t="inlineStr">
        <is>
          <t>217703909</t>
        </is>
      </c>
      <c r="G3" t="inlineStr">
        <is>
          <t>Service Commande Publique</t>
        </is>
      </c>
      <c r="H3" t="inlineStr"/>
      <c r="I3" t="inlineStr"/>
      <c r="J3" t="inlineStr">
        <is>
          <t>0390900010</t>
        </is>
      </c>
      <c r="K3" t="inlineStr">
        <is>
          <t>77680 - ROISSY-EN-BRIE</t>
        </is>
      </c>
      <c r="L3" t="inlineStr">
        <is>
          <t>77680</t>
        </is>
      </c>
      <c r="M3" t="inlineStr">
        <is>
          <t>ROISSY EN BRIE</t>
        </is>
      </c>
      <c r="N3" t="inlineStr">
        <is>
          <t>77</t>
        </is>
      </c>
      <c r="O3" t="inlineStr"/>
      <c r="P3" t="inlineStr">
        <is>
          <t>Ile-de-France</t>
        </is>
      </c>
      <c r="Q3" s="14" t="n">
        <v>46230</v>
      </c>
      <c r="R3" s="14" t="n">
        <v>46262</v>
      </c>
      <c r="S3" s="15" t="n">
        <v>77680</v>
      </c>
      <c r="T3" t="inlineStr">
        <is>
          <t>BUDGET_SOUS_SEUIL</t>
        </is>
      </c>
      <c r="U3" t="inlineStr">
        <is>
          <t>77680.0</t>
        </is>
      </c>
      <c r="V3" t="inlineStr">
        <is>
          <t>non</t>
        </is>
      </c>
      <c r="W3" t="inlineStr">
        <is>
          <t>Batiments</t>
        </is>
      </c>
      <c r="X3" t="inlineStr">
        <is>
          <t>Mairie</t>
        </is>
      </c>
      <c r="Y3" t="inlineStr">
        <is>
          <t>SERVICES</t>
        </is>
      </c>
      <c r="Z3" t="inlineStr">
        <is>
          <t>Procédure Ouverte</t>
        </is>
      </c>
      <c r="AA3" t="inlineStr">
        <is>
          <t>Avis de marché</t>
        </is>
      </c>
      <c r="AB3" t="inlineStr">
        <is>
          <t>Nettoyage de locaux</t>
        </is>
      </c>
      <c r="AC3" t="inlineStr"/>
      <c r="AD3" s="10" t="inlineStr">
        <is>
          <t>https://www.boamp.fr/pages/avis/?q=idweb:26-74949</t>
        </is>
      </c>
      <c r="AE3" t="inlineStr">
        <is>
          <t>https://www.marches-publics.info/mpiaws/index.cfm?fuseaction=dematent.login&amp;type=Dce&amp;Idm=1855543</t>
        </is>
      </c>
      <c r="AF3" t="inlineStr">
        <is>
          <t>https://www.marches-publics.info/mpiaws/index.cfm?fuseaction=dematent.login&amp;type=Dce&amp;Idm=1855543</t>
        </is>
      </c>
      <c r="AG3" t="inlineStr">
        <is>
          <t>nettoyage, entretien menager</t>
        </is>
      </c>
      <c r="AH3" t="inlineStr">
        <is>
          <t>5</t>
        </is>
      </c>
      <c r="AI3" t="inlineStr">
        <is>
          <t>92</t>
        </is>
      </c>
      <c r="AJ3" t="inlineStr">
        <is>
          <t>INFO_PARTIELLE</t>
        </is>
      </c>
      <c r="AK3" t="inlineStr">
        <is>
          <t>75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email</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3" t="inlineStr">
        <is>
          <t>Verifier url_avis et DCE si disponible</t>
        </is>
      </c>
      <c r="AV3" t="inlineStr">
        <is>
          <t>LIEN_SEUL</t>
        </is>
      </c>
      <c r="AW3" t="inlineStr"/>
      <c r="AX3" t="inlineStr"/>
      <c r="AY3" t="inlineStr"/>
      <c r="AZ3" t="inlineStr"/>
      <c r="BA3" t="inlineStr"/>
      <c r="BB3" t="inlineStr">
        <is>
          <t>+35 nettoyage + categorie claire | +20 budget annualise &lt;= 100 000 EUR | +10 secteur cible Mairie | +10 delai confortable 31j</t>
        </is>
      </c>
      <c r="BC3" t="inlineStr">
        <is>
          <t>Mairie de Roissy-en-Brie publie un AO potentiellement pertinent pour CHRUTH : Prestations D'Entretien Ménager Des Gymnases De La Ville De Roissy-En-Brie. Zone : ROISSY EN BRIE. Budget detecte environ 77 680 EUR. Verifier le lien source avant contact.</t>
        </is>
      </c>
      <c r="BD3"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3"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2026-W31</t>
        </is>
      </c>
    </row>
    <row r="4">
      <c r="A4" t="inlineStr">
        <is>
          <t>BOAMP</t>
        </is>
      </c>
      <c r="B4" t="inlineStr">
        <is>
          <t>26-74013</t>
        </is>
      </c>
      <c r="C4" t="inlineStr">
        <is>
          <t>Prestations de nettoyage des locaux de l'École nationale supérieure d’architecture de Paris-La Villette</t>
        </is>
      </c>
      <c r="D4" t="inlineStr">
        <is>
          <t>ENSA Paris-La Villette</t>
        </is>
      </c>
      <c r="E4" t="inlineStr">
        <is>
          <t>19751875600014</t>
        </is>
      </c>
      <c r="F4" t="inlineStr">
        <is>
          <t>197518756</t>
        </is>
      </c>
      <c r="G4" t="inlineStr">
        <is>
          <t>ACHOUR</t>
        </is>
      </c>
      <c r="H4" t="inlineStr"/>
      <c r="I4" t="inlineStr">
        <is>
          <t>safae.achour@paris-lavillette.archi.fr</t>
        </is>
      </c>
      <c r="J4" t="inlineStr">
        <is>
          <t>07-23 2026-09</t>
        </is>
      </c>
      <c r="K4" t="inlineStr">
        <is>
          <t>75019</t>
        </is>
      </c>
      <c r="L4" t="inlineStr">
        <is>
          <t>75019</t>
        </is>
      </c>
      <c r="M4" t="inlineStr">
        <is>
          <t>Paris</t>
        </is>
      </c>
      <c r="N4" t="inlineStr">
        <is>
          <t>75,92,93,91,95,77,94</t>
        </is>
      </c>
      <c r="O4" t="inlineStr"/>
      <c r="P4" t="inlineStr">
        <is>
          <t>Ile-de-France</t>
        </is>
      </c>
      <c r="Q4" s="14" t="n">
        <v>46226</v>
      </c>
      <c r="R4" s="14" t="n">
        <v>46293</v>
      </c>
      <c r="S4" s="15" t="n">
        <v>75019</v>
      </c>
      <c r="T4" t="inlineStr">
        <is>
          <t>BUDGET_SOUS_SEUIL</t>
        </is>
      </c>
      <c r="U4" t="inlineStr">
        <is>
          <t>75019.0</t>
        </is>
      </c>
      <c r="V4" t="inlineStr">
        <is>
          <t>non</t>
        </is>
      </c>
      <c r="W4" t="inlineStr">
        <is>
          <t>Batiments</t>
        </is>
      </c>
      <c r="X4" t="inlineStr">
        <is>
          <t>Ecole</t>
        </is>
      </c>
      <c r="Y4" t="inlineStr">
        <is>
          <t>SERVICES</t>
        </is>
      </c>
      <c r="Z4" t="inlineStr">
        <is>
          <t>Procédure Ouverte</t>
        </is>
      </c>
      <c r="AA4" t="inlineStr">
        <is>
          <t>Avis de marché</t>
        </is>
      </c>
      <c r="AB4" t="inlineStr">
        <is>
          <t>Nettoyage de locaux</t>
        </is>
      </c>
      <c r="AC4" t="inlineStr"/>
      <c r="AD4" s="10" t="inlineStr">
        <is>
          <t>https://www.boamp.fr/pages/avis/?q=idweb:26-74013</t>
        </is>
      </c>
      <c r="AE4" t="inlineStr">
        <is>
          <t>https://www.marches-publics.gouv.fr/entreprise/consultation/3044724?orgAcronyme=f5j</t>
        </is>
      </c>
      <c r="AF4" t="inlineStr">
        <is>
          <t>https://www.marches-publics.gouv.fr/entreprise/consultation/3044724?orgAcronyme=f5j</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Ecole | +10 delai confortable 62j</t>
        </is>
      </c>
      <c r="BC4"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4"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4"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26-72283</t>
        </is>
      </c>
      <c r="C5" t="inlineStr">
        <is>
          <t>Prestation d'écrivains publics interprètes à Montreuil</t>
        </is>
      </c>
      <c r="D5" t="inlineStr">
        <is>
          <t>Mairie de Montreuil</t>
        </is>
      </c>
      <c r="E5" t="inlineStr">
        <is>
          <t>21930048000015</t>
        </is>
      </c>
      <c r="F5" t="inlineStr">
        <is>
          <t>219300480</t>
        </is>
      </c>
      <c r="G5" t="inlineStr">
        <is>
          <t>Service des achats et de la commande publique</t>
        </is>
      </c>
      <c r="H5" t="inlineStr"/>
      <c r="I5" t="inlineStr">
        <is>
          <t>sacop@montreuil.fr</t>
        </is>
      </c>
      <c r="J5" t="inlineStr">
        <is>
          <t>+33 331487060</t>
        </is>
      </c>
      <c r="K5" t="inlineStr">
        <is>
          <t>(93) Seine-Saint-Denis</t>
        </is>
      </c>
      <c r="L5" t="inlineStr">
        <is>
          <t>93100</t>
        </is>
      </c>
      <c r="M5" t="inlineStr">
        <is>
          <t>Montreuil</t>
        </is>
      </c>
      <c r="N5" t="inlineStr">
        <is>
          <t>93</t>
        </is>
      </c>
      <c r="O5" t="inlineStr"/>
      <c r="P5" t="inlineStr">
        <is>
          <t>Ile-de-France</t>
        </is>
      </c>
      <c r="Q5" s="14" t="n">
        <v>46223</v>
      </c>
      <c r="R5" s="14" t="n">
        <v>46276</v>
      </c>
      <c r="S5" s="15" t="n">
        <v>93100</v>
      </c>
      <c r="T5" t="inlineStr">
        <is>
          <t>BUDGET_SOUS_SEUIL</t>
        </is>
      </c>
      <c r="U5" t="inlineStr">
        <is>
          <t>93100.0</t>
        </is>
      </c>
      <c r="V5" t="inlineStr">
        <is>
          <t>non</t>
        </is>
      </c>
      <c r="W5" t="inlineStr">
        <is>
          <t>Batiments</t>
        </is>
      </c>
      <c r="X5" t="inlineStr">
        <is>
          <t>Mairie</t>
        </is>
      </c>
      <c r="Y5" t="inlineStr">
        <is>
          <t>SERVICES</t>
        </is>
      </c>
      <c r="Z5" t="inlineStr">
        <is>
          <t>Procédure Ouverte</t>
        </is>
      </c>
      <c r="AA5" t="inlineStr">
        <is>
          <t>Avis de marché</t>
        </is>
      </c>
      <c r="AB5" t="inlineStr">
        <is>
          <t>Nettoyage de locaux</t>
        </is>
      </c>
      <c r="AC5" t="inlineStr"/>
      <c r="AD5" s="10" t="inlineStr">
        <is>
          <t>https://www.boamp.fr/pages/avis/?q=idweb:26-72283</t>
        </is>
      </c>
      <c r="AE5" t="inlineStr">
        <is>
          <t>https://marches.maximilien.fr/entreprise/consultation/943753?orgAcronyme=d6a</t>
        </is>
      </c>
      <c r="AF5" t="inlineStr">
        <is>
          <t>https://marches.maximilien.fr/entreprise/consultation/943753?orgAcronyme=d6a</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45j</t>
        </is>
      </c>
      <c r="BC5" t="inlineStr">
        <is>
          <t>Mairie de Montreuil publie un AO potentiellement pertinent pour CHRUTH : Prestation d'écrivains publics interprètes à Montreuil. Zone : Montreuil. Budget detecte environ 93 100 EUR. Verifier le lien source avant contact.</t>
        </is>
      </c>
      <c r="BD5"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5"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2026-W30</t>
        </is>
      </c>
    </row>
    <row r="6">
      <c r="A6" t="inlineStr">
        <is>
          <t>BOAMP</t>
        </is>
      </c>
      <c r="B6" t="inlineStr">
        <is>
          <t>26-70858</t>
        </is>
      </c>
      <c r="C6" t="inlineStr">
        <is>
          <t>Nettoyage des locaux de l'EPAMSA</t>
        </is>
      </c>
      <c r="D6" t="inlineStr">
        <is>
          <t>EPAMSA</t>
        </is>
      </c>
      <c r="E6" t="inlineStr">
        <is>
          <t>41063810000033</t>
        </is>
      </c>
      <c r="F6" t="inlineStr">
        <is>
          <t>410638100</t>
        </is>
      </c>
      <c r="G6" t="inlineStr">
        <is>
          <t>Courteille</t>
        </is>
      </c>
      <c r="H6" t="inlineStr"/>
      <c r="I6" t="inlineStr">
        <is>
          <t>t.courteille@epamsa.fr</t>
        </is>
      </c>
      <c r="J6" t="inlineStr">
        <is>
          <t>0638100000</t>
        </is>
      </c>
      <c r="K6" t="inlineStr">
        <is>
          <t>Mantes-la-Jolie</t>
        </is>
      </c>
      <c r="L6" t="inlineStr">
        <is>
          <t>78200</t>
        </is>
      </c>
      <c r="M6" t="inlineStr">
        <is>
          <t>MANTES-LA-JOLIE</t>
        </is>
      </c>
      <c r="N6" t="inlineStr">
        <is>
          <t>78</t>
        </is>
      </c>
      <c r="O6" t="inlineStr"/>
      <c r="P6" t="inlineStr">
        <is>
          <t>Ile-de-France</t>
        </is>
      </c>
      <c r="Q6" s="14" t="n">
        <v>46219</v>
      </c>
      <c r="R6" s="14" t="n">
        <v>46269</v>
      </c>
      <c r="S6" s="15" t="n">
        <v>78200</v>
      </c>
      <c r="T6" t="inlineStr">
        <is>
          <t>BUDGET_SOUS_SEUIL</t>
        </is>
      </c>
      <c r="U6" t="inlineStr">
        <is>
          <t>19550</t>
        </is>
      </c>
      <c r="V6" t="inlineStr">
        <is>
          <t>oui</t>
        </is>
      </c>
      <c r="W6" t="inlineStr">
        <is>
          <t>Batiments</t>
        </is>
      </c>
      <c r="X6" t="inlineStr">
        <is>
          <t>Autre</t>
        </is>
      </c>
      <c r="Y6" t="inlineStr">
        <is>
          <t>SERVICES</t>
        </is>
      </c>
      <c r="Z6" t="inlineStr">
        <is>
          <t>Procédure Ouverte</t>
        </is>
      </c>
      <c r="AA6" t="inlineStr">
        <is>
          <t>Avis de marché</t>
        </is>
      </c>
      <c r="AB6" t="inlineStr">
        <is>
          <t>Nettoyage de locaux</t>
        </is>
      </c>
      <c r="AC6" t="inlineStr">
        <is>
          <t>['sociaux', 'environnementaux']</t>
        </is>
      </c>
      <c r="AD6" s="10" t="inlineStr">
        <is>
          <t>https://www.boamp.fr/pages/avis/?q=idweb:26-70858</t>
        </is>
      </c>
      <c r="AE6" t="inlineStr">
        <is>
          <t>https://www.marches-publics.gouv.fr/entreprise/consultation/3039334?orgAcronyme=d4t</t>
        </is>
      </c>
      <c r="AF6" t="inlineStr">
        <is>
          <t>https://www.marches-publics.gouv.fr/entreprise/consultation/3039334?orgAcronyme=d4t</t>
        </is>
      </c>
      <c r="AG6" t="inlineStr">
        <is>
          <t>nettoyage</t>
        </is>
      </c>
      <c r="AH6" t="inlineStr">
        <is>
          <t>6</t>
        </is>
      </c>
      <c r="AI6" t="inlineStr">
        <is>
          <t>98</t>
        </is>
      </c>
      <c r="AJ6" t="inlineStr">
        <is>
          <t>INFO_PARTIELLE</t>
        </is>
      </c>
      <c r="AK6" t="inlineStr">
        <is>
          <t>70</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6" t="inlineStr">
        <is>
          <t>Verifier url_avis et DCE si disponible</t>
        </is>
      </c>
      <c r="AV6" t="inlineStr"/>
      <c r="AW6" t="inlineStr"/>
      <c r="AX6" t="inlineStr"/>
      <c r="AY6" t="inlineStr"/>
      <c r="AZ6" t="inlineStr"/>
      <c r="BA6" t="inlineStr"/>
      <c r="BB6" t="inlineStr">
        <is>
          <t>+35 nettoyage + categorie claire | +25 budget annualise &lt;= 50 000 EUR | +10 delai confortable 38j</t>
        </is>
      </c>
      <c r="BC6" t="inlineStr">
        <is>
          <t>EPAMSA publie un AO potentiellement pertinent pour CHRUTH : Nettoyage des locaux de l'EPAMSA. Zone : MANTES-LA-JOLIE. Budget detecte environ 78 200 EUR. Verifier le lien source avant contact.</t>
        </is>
      </c>
      <c r="BD6"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6"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2026-W29</t>
        </is>
      </c>
    </row>
    <row r="7">
      <c r="A7" t="inlineStr">
        <is>
          <t>BOAMP</t>
        </is>
      </c>
      <c r="B7" t="inlineStr">
        <is>
          <t>26-70565</t>
        </is>
      </c>
      <c r="C7" t="inlineStr">
        <is>
          <t>TRAVAUX D'AMÉNAGEMENT INTÉRIEUR DU R+1 ET COMBLE DE LA FERME DURPÉ</t>
        </is>
      </c>
      <c r="D7" t="inlineStr">
        <is>
          <t>COMMUNE DE MAGNY LE HONGRE</t>
        </is>
      </c>
      <c r="E7" t="inlineStr">
        <is>
          <t>21770268700013</t>
        </is>
      </c>
      <c r="F7" t="inlineStr">
        <is>
          <t>217702687</t>
        </is>
      </c>
      <c r="G7" t="inlineStr">
        <is>
          <t>M. SOW LAMARANA</t>
        </is>
      </c>
      <c r="H7" t="inlineStr"/>
      <c r="I7" t="inlineStr">
        <is>
          <t>service-mp@magnylehongre.fr</t>
        </is>
      </c>
      <c r="J7" t="inlineStr">
        <is>
          <t>0268700013</t>
        </is>
      </c>
      <c r="K7" t="inlineStr">
        <is>
          <t>1 rue de l'Église - 77700 MAGNY LE HONGRE</t>
        </is>
      </c>
      <c r="L7" t="inlineStr">
        <is>
          <t>77700</t>
        </is>
      </c>
      <c r="M7" t="inlineStr">
        <is>
          <t>MAGNY LE HONGRE</t>
        </is>
      </c>
      <c r="N7" t="inlineStr">
        <is>
          <t>77,75,78,91</t>
        </is>
      </c>
      <c r="O7" t="inlineStr"/>
      <c r="P7" t="inlineStr">
        <is>
          <t>Ile-de-France</t>
        </is>
      </c>
      <c r="Q7" s="14" t="n">
        <v>46218</v>
      </c>
      <c r="R7" s="14" t="n">
        <v>46275</v>
      </c>
      <c r="S7" s="15" t="n">
        <v>77700</v>
      </c>
      <c r="T7" t="inlineStr">
        <is>
          <t>BUDGET_SOUS_SEUIL</t>
        </is>
      </c>
      <c r="U7" t="inlineStr">
        <is>
          <t>77700.0</t>
        </is>
      </c>
      <c r="V7" t="inlineStr">
        <is>
          <t>non</t>
        </is>
      </c>
      <c r="W7" t="inlineStr">
        <is>
          <t>Mixte/Autre</t>
        </is>
      </c>
      <c r="X7" t="inlineStr">
        <is>
          <t>Mairie</t>
        </is>
      </c>
      <c r="Y7" t="inlineStr">
        <is>
          <t>TRAVAUX</t>
        </is>
      </c>
      <c r="Z7" t="inlineStr">
        <is>
          <t>Procédure Ouverte</t>
        </is>
      </c>
      <c r="AA7" t="inlineStr">
        <is>
          <t>Avis de marché</t>
        </is>
      </c>
      <c r="AB7" t="inlineStr">
        <is>
          <t>Plomberie (travaux), Peinture (travaux), Electricité (travaux)</t>
        </is>
      </c>
      <c r="AC7" t="inlineStr">
        <is>
          <t>['environnementaux']</t>
        </is>
      </c>
      <c r="AD7" s="10" t="inlineStr">
        <is>
          <t>https://www.boamp.fr/pages/avis/?q=idweb:26-70565</t>
        </is>
      </c>
      <c r="AE7" t="inlineStr">
        <is>
          <t>https://marches.maximilien.fr/?page=Entreprise.EntrepriseAdvancedSearch&amp;AllCons&amp;id=942965&amp;orgAcronyme=a4d</t>
        </is>
      </c>
      <c r="AF7" t="inlineStr">
        <is>
          <t>https://marches.maximilien.fr/?page=Entreprise.EntrepriseAdvancedSearch&amp;AllCons&amp;id=942965&amp;orgAcronyme=a4d</t>
        </is>
      </c>
      <c r="AG7" t="inlineStr">
        <is>
          <t>nettoyage</t>
        </is>
      </c>
      <c r="AH7" t="inlineStr">
        <is>
          <t>6</t>
        </is>
      </c>
      <c r="AI7" t="inlineStr">
        <is>
          <t>98</t>
        </is>
      </c>
      <c r="AJ7" t="inlineStr">
        <is>
          <t>INFO_PARTIELLE</t>
        </is>
      </c>
      <c r="AK7" t="inlineStr">
        <is>
          <t>70</t>
        </is>
      </c>
      <c r="AL7" s="13" t="inlineStr">
        <is>
          <t>CHAUD</t>
        </is>
      </c>
      <c r="AM7" t="inlineStr"/>
      <c r="AN7" t="inlineStr"/>
      <c r="AO7" t="inlineStr"/>
      <c r="AP7" t="inlineStr"/>
      <c r="AQ7" t="inlineStr">
        <is>
          <t>IA_CONTROLE_SOURCE</t>
        </is>
      </c>
      <c r="AR7" t="inlineStr">
        <is>
          <t>Verifier rapidement la source avant contact.</t>
        </is>
      </c>
      <c r="AS7" t="inlineStr">
        <is>
          <t>Aucun champ critique manquant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7" t="inlineStr">
        <is>
          <t>Verifier url_avis et DCE si disponible</t>
        </is>
      </c>
      <c r="AV7" t="inlineStr"/>
      <c r="AW7" t="inlineStr"/>
      <c r="AX7" t="inlineStr"/>
      <c r="AY7" t="inlineStr"/>
      <c r="AZ7" t="inlineStr"/>
      <c r="BA7" t="inlineStr"/>
      <c r="BB7" t="inlineStr">
        <is>
          <t>+30 mots-cles nettoyage forts | +20 budget annualise &lt;= 100 000 EUR | +10 secteur cible Mairie | +10 delai confortable 44j</t>
        </is>
      </c>
      <c r="BC7" t="inlineStr">
        <is>
          <t>COMMUNE DE MAGNY LE HONGRE publie un AO potentiellement pertinent pour CHRUTH : TRAVAUX D'AMÉNAGEMENT INTÉRIEUR DU R+1 ET COMBLE DE LA FERME DURPÉ. Zone : MAGNY LE HONGRE. Budget detecte environ 77 700 EUR. Verifier le lien source avant contact.</t>
        </is>
      </c>
      <c r="BD7"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7"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2026-W29</t>
        </is>
      </c>
    </row>
    <row r="8">
      <c r="A8" t="inlineStr">
        <is>
          <t>BOAMP</t>
        </is>
      </c>
      <c r="B8" t="inlineStr">
        <is>
          <t>26-72708</t>
        </is>
      </c>
      <c r="C8" t="inlineStr">
        <is>
          <t>Entretien ménager des locaux des sites mégalithiques de Carnac et Locmariaquer</t>
        </is>
      </c>
      <c r="D8" t="inlineStr">
        <is>
          <t>Centre Monuments Nationaux</t>
        </is>
      </c>
      <c r="E8" t="inlineStr">
        <is>
          <t>18004601300017</t>
        </is>
      </c>
      <c r="F8" t="inlineStr">
        <is>
          <t>180046013</t>
        </is>
      </c>
      <c r="G8" t="inlineStr"/>
      <c r="H8" t="inlineStr"/>
      <c r="I8" t="inlineStr">
        <is>
          <t>marches-publics@monuments-nationaux.fr</t>
        </is>
      </c>
      <c r="J8" t="inlineStr">
        <is>
          <t>0460130001</t>
        </is>
      </c>
      <c r="K8" t="inlineStr"/>
      <c r="L8" t="inlineStr"/>
      <c r="M8" t="inlineStr"/>
      <c r="N8" t="inlineStr">
        <is>
          <t>75,56</t>
        </is>
      </c>
      <c r="O8" t="inlineStr"/>
      <c r="P8" t="inlineStr">
        <is>
          <t>Ile-de-France</t>
        </is>
      </c>
      <c r="Q8" s="14" t="n">
        <v>46226</v>
      </c>
      <c r="R8" s="14" t="n">
        <v>46276</v>
      </c>
      <c r="S8" s="15" t="n">
        <v>60000</v>
      </c>
      <c r="T8" t="inlineStr">
        <is>
          <t>BUDGET_SOUS_SEUIL</t>
        </is>
      </c>
      <c r="U8" t="inlineStr">
        <is>
          <t>60000.0</t>
        </is>
      </c>
      <c r="V8" t="inlineStr">
        <is>
          <t>non</t>
        </is>
      </c>
      <c r="W8" t="inlineStr">
        <is>
          <t>Batiments</t>
        </is>
      </c>
      <c r="X8" t="inlineStr">
        <is>
          <t>Autre</t>
        </is>
      </c>
      <c r="Y8" t="inlineStr">
        <is>
          <t>SERVICES</t>
        </is>
      </c>
      <c r="Z8" t="inlineStr">
        <is>
          <t>Procédure Ouverte</t>
        </is>
      </c>
      <c r="AA8" t="inlineStr">
        <is>
          <t>Avis de marché</t>
        </is>
      </c>
      <c r="AB8" t="inlineStr">
        <is>
          <t>Nettoyage de locaux, Monuments historiques</t>
        </is>
      </c>
      <c r="AC8" t="inlineStr"/>
      <c r="AD8" s="10" t="inlineStr">
        <is>
          <t>https://www.boamp.fr/pages/avis/?q=idweb:26-72708</t>
        </is>
      </c>
      <c r="AE8" t="inlineStr">
        <is>
          <t>https://www.marches-publics.gouv.fr/entreprise</t>
        </is>
      </c>
      <c r="AF8" t="inlineStr">
        <is>
          <t>https://www.marches-publics.gouv.fr/entreprise</t>
        </is>
      </c>
      <c r="AG8" t="inlineStr">
        <is>
          <t>nettoyage, entretien menager</t>
        </is>
      </c>
      <c r="AH8" t="inlineStr">
        <is>
          <t>3</t>
        </is>
      </c>
      <c r="AI8" t="inlineStr">
        <is>
          <t>72</t>
        </is>
      </c>
      <c r="AJ8" t="inlineStr">
        <is>
          <t>INFO_PARTIELLE</t>
        </is>
      </c>
      <c r="AK8" t="inlineStr">
        <is>
          <t>65</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8" t="inlineStr">
        <is>
          <t>Verifier url_avis et DCE si disponible</t>
        </is>
      </c>
      <c r="AV8" t="inlineStr"/>
      <c r="AW8" t="inlineStr"/>
      <c r="AX8" t="inlineStr"/>
      <c r="AY8" t="inlineStr"/>
      <c r="AZ8" t="inlineStr"/>
      <c r="BA8" t="inlineStr"/>
      <c r="BB8" t="inlineStr">
        <is>
          <t>+35 nettoyage + categorie claire | +20 budget annualise &lt;= 100 000 EUR | +10 delai confortable 45j</t>
        </is>
      </c>
      <c r="BC8" t="inlineStr">
        <is>
          <t>Centre Monuments Nationaux publie un AO potentiellement pertinent pour CHRUTH : Entretien ménager des locaux des sites mégalithiques de Carnac et Locmariaquer. Zone : 75,56. Budget detecte environ 60 000 EUR. Verifier le lien source avant contact.</t>
        </is>
      </c>
      <c r="BD8"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8"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26-71675</t>
        </is>
      </c>
      <c r="C9" t="inlineStr">
        <is>
          <t>Décontamination, dépoussiérage et reconditionnement des réserves documentaires n°2 et 3 du Château de Sceaux</t>
        </is>
      </c>
      <c r="D9" t="inlineStr">
        <is>
          <t>Département des Hauts-de-Seine</t>
        </is>
      </c>
      <c r="E9" t="inlineStr">
        <is>
          <t>22920050600611</t>
        </is>
      </c>
      <c r="F9" t="inlineStr">
        <is>
          <t>229200506</t>
        </is>
      </c>
      <c r="G9" t="inlineStr">
        <is>
          <t>cellulecontact.achats@hauts-de-seine.fr</t>
        </is>
      </c>
      <c r="H9" t="inlineStr"/>
      <c r="I9" t="inlineStr">
        <is>
          <t>cellulecontact.achats@hauts-de-seine.fr</t>
        </is>
      </c>
      <c r="J9" t="inlineStr">
        <is>
          <t>+33 806000092</t>
        </is>
      </c>
      <c r="K9" t="inlineStr">
        <is>
          <t>Château de Sceaux 92330 - SCEAUX</t>
        </is>
      </c>
      <c r="L9" t="inlineStr">
        <is>
          <t>92000</t>
        </is>
      </c>
      <c r="M9" t="inlineStr">
        <is>
          <t>NANTERRE</t>
        </is>
      </c>
      <c r="N9" t="inlineStr">
        <is>
          <t>92</t>
        </is>
      </c>
      <c r="O9" t="inlineStr"/>
      <c r="P9" t="inlineStr">
        <is>
          <t>Ile-de-France</t>
        </is>
      </c>
      <c r="Q9" s="14" t="n">
        <v>46220</v>
      </c>
      <c r="R9" s="14" t="n">
        <v>46276</v>
      </c>
      <c r="S9" s="15" t="n">
        <v>92000</v>
      </c>
      <c r="T9" t="inlineStr">
        <is>
          <t>BUDGET_SOUS_SEUIL</t>
        </is>
      </c>
      <c r="U9" t="inlineStr">
        <is>
          <t>92000.0</t>
        </is>
      </c>
      <c r="V9" t="inlineStr">
        <is>
          <t>non</t>
        </is>
      </c>
      <c r="W9" t="inlineStr">
        <is>
          <t>Batiments</t>
        </is>
      </c>
      <c r="X9" t="inlineStr">
        <is>
          <t>Autre</t>
        </is>
      </c>
      <c r="Y9" t="inlineStr">
        <is>
          <t>SERVICES</t>
        </is>
      </c>
      <c r="Z9" t="inlineStr">
        <is>
          <t>Procédure Ouverte</t>
        </is>
      </c>
      <c r="AA9" t="inlineStr">
        <is>
          <t>Avis de marché</t>
        </is>
      </c>
      <c r="AB9" t="inlineStr">
        <is>
          <t>Prestations de services</t>
        </is>
      </c>
      <c r="AC9" t="inlineStr">
        <is>
          <t>['environnementaux']</t>
        </is>
      </c>
      <c r="AD9" s="10" t="inlineStr">
        <is>
          <t>https://www.boamp.fr/pages/avis/?q=idweb:26-71675</t>
        </is>
      </c>
      <c r="AE9" t="inlineStr">
        <is>
          <t>https://www.marches-publics.info/mpiaws/index.cfm?fuseaction=dematent.login&amp;type=Dce&amp;Idm=1851815</t>
        </is>
      </c>
      <c r="AF9" t="inlineStr">
        <is>
          <t>https://www.marches-publics.info/mpiaws/index.cfm?fuseaction=dematent.login&amp;type=Dce&amp;Idm=1851815</t>
        </is>
      </c>
      <c r="AG9" t="inlineStr">
        <is>
          <t>nettoyage</t>
        </is>
      </c>
      <c r="AH9" t="inlineStr">
        <is>
          <t>6</t>
        </is>
      </c>
      <c r="AI9" t="inlineStr">
        <is>
          <t>98</t>
        </is>
      </c>
      <c r="AJ9" t="inlineStr">
        <is>
          <t>INFO_PARTIELLE</t>
        </is>
      </c>
      <c r="AK9" t="inlineStr">
        <is>
          <t>65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9" t="inlineStr">
        <is>
          <t>Verifier url_avis et DCE si disponible</t>
        </is>
      </c>
      <c r="AV9" t="inlineStr"/>
      <c r="AW9" t="inlineStr"/>
      <c r="AX9" t="inlineStr"/>
      <c r="AY9" t="inlineStr"/>
      <c r="AZ9" t="inlineStr"/>
      <c r="BA9" t="inlineStr"/>
      <c r="BB9" t="inlineStr">
        <is>
          <t>+35 nettoyage + categorie claire | +20 budget annualise &lt;= 100 000 EUR | +10 delai confortable 45j</t>
        </is>
      </c>
      <c r="BC9"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9"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9"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26-71198</t>
        </is>
      </c>
      <c r="C10" t="inlineStr">
        <is>
          <t>CONCESSION DE SERVICE PUBLIC 
PORTANT SUR LA GESTION ET L'EXPLOITATION DES MARCHES FORAINS DE LA VILLE DE MONTROUGE</t>
        </is>
      </c>
      <c r="D10" t="inlineStr">
        <is>
          <t>Ville de Montrouge</t>
        </is>
      </c>
      <c r="E10" t="inlineStr"/>
      <c r="F10" t="inlineStr"/>
      <c r="G10" t="inlineStr">
        <is>
          <t>Le Bassard</t>
        </is>
      </c>
      <c r="H10" t="inlineStr"/>
      <c r="I10" t="inlineStr">
        <is>
          <t>marches@ville-montrouge.fr</t>
        </is>
      </c>
      <c r="J10" t="inlineStr">
        <is>
          <t>0146127303</t>
        </is>
      </c>
      <c r="K10" t="inlineStr"/>
      <c r="L10" t="inlineStr">
        <is>
          <t>92121</t>
        </is>
      </c>
      <c r="M10" t="inlineStr">
        <is>
          <t>Montrouge cedex</t>
        </is>
      </c>
      <c r="N10" t="inlineStr">
        <is>
          <t>92,75</t>
        </is>
      </c>
      <c r="O10" t="inlineStr"/>
      <c r="P10" t="inlineStr">
        <is>
          <t>Ile-de-France</t>
        </is>
      </c>
      <c r="Q10" s="14" t="n">
        <v>46219</v>
      </c>
      <c r="R10" s="14" t="n">
        <v>46295</v>
      </c>
      <c r="S10" t="inlineStr"/>
      <c r="T10" t="inlineStr">
        <is>
          <t>A_VERIFIER_BUDGET</t>
        </is>
      </c>
      <c r="U10" t="inlineStr"/>
      <c r="V10" t="inlineStr">
        <is>
          <t>non</t>
        </is>
      </c>
      <c r="W10" t="inlineStr">
        <is>
          <t>Batiments</t>
        </is>
      </c>
      <c r="X10" t="inlineStr">
        <is>
          <t>Mairie</t>
        </is>
      </c>
      <c r="Y10" t="inlineStr">
        <is>
          <t>SERVICES</t>
        </is>
      </c>
      <c r="Z10" t="inlineStr">
        <is>
          <t>Procédure NC</t>
        </is>
      </c>
      <c r="AA10" t="inlineStr">
        <is>
          <t>Avis de marché</t>
        </is>
      </c>
      <c r="AB10" t="inlineStr">
        <is>
          <t>Denrées alimentaires</t>
        </is>
      </c>
      <c r="AC10" t="inlineStr">
        <is>
          <t>['sociaux', 'environnementaux']</t>
        </is>
      </c>
      <c r="AD10" s="10" t="inlineStr">
        <is>
          <t>https://www.boamp.fr/pages/avis/?q=idweb:26-71198</t>
        </is>
      </c>
      <c r="AE10" t="inlineStr">
        <is>
          <t>https://www.achatpublic.com/sdm/ent2/gen/index.jsp</t>
        </is>
      </c>
      <c r="AF10" t="inlineStr">
        <is>
          <t>https://www.achatpublic.com/sdm/ent2/gen/index.jsp</t>
        </is>
      </c>
      <c r="AG10" t="inlineStr">
        <is>
          <t>nettoyage, proprete</t>
        </is>
      </c>
      <c r="AH10" t="inlineStr">
        <is>
          <t>4</t>
        </is>
      </c>
      <c r="AI10" t="inlineStr">
        <is>
          <t>86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SIRET, adresse,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64j</t>
        </is>
      </c>
      <c r="BC10"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10"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10"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2026-W29</t>
        </is>
      </c>
    </row>
    <row r="11">
      <c r="A11" t="inlineStr">
        <is>
          <t>BOAMP</t>
        </is>
      </c>
      <c r="B11" t="inlineStr">
        <is>
          <t>26-72948</t>
        </is>
      </c>
      <c r="C11" t="inlineStr">
        <is>
          <t>26MF026 - Fourniture d'appareils ménagers et d'équipements professionnels</t>
        </is>
      </c>
      <c r="D11" t="inlineStr">
        <is>
          <t>Ville de Plaisir</t>
        </is>
      </c>
      <c r="E11" t="inlineStr">
        <is>
          <t>21780490500016</t>
        </is>
      </c>
      <c r="F11" t="inlineStr">
        <is>
          <t>217804905</t>
        </is>
      </c>
      <c r="G11" t="inlineStr"/>
      <c r="H11" t="inlineStr"/>
      <c r="I11" t="inlineStr">
        <is>
          <t>vermuseau-ma@ville-plaisir.fr</t>
        </is>
      </c>
      <c r="J11" t="inlineStr">
        <is>
          <t>0490500016</t>
        </is>
      </c>
      <c r="K11" t="inlineStr"/>
      <c r="L11" t="inlineStr"/>
      <c r="M11" t="inlineStr"/>
      <c r="N11" t="inlineStr">
        <is>
          <t>78</t>
        </is>
      </c>
      <c r="O11" t="inlineStr"/>
      <c r="P11" t="inlineStr">
        <is>
          <t>Ile-de-France</t>
        </is>
      </c>
      <c r="Q11" s="14" t="n">
        <v>46226</v>
      </c>
      <c r="R11" s="14" t="n">
        <v>46261</v>
      </c>
      <c r="S11" t="inlineStr"/>
      <c r="T11" t="inlineStr">
        <is>
          <t>A_VERIFIER_BUDGET</t>
        </is>
      </c>
      <c r="U11" t="inlineStr"/>
      <c r="V11" t="inlineStr">
        <is>
          <t>non</t>
        </is>
      </c>
      <c r="W11" t="inlineStr">
        <is>
          <t>Mixte/Autre</t>
        </is>
      </c>
      <c r="X11" t="inlineStr">
        <is>
          <t>Mairie</t>
        </is>
      </c>
      <c r="Y11" t="inlineStr">
        <is>
          <t>FOURNITURES</t>
        </is>
      </c>
      <c r="Z11" t="inlineStr">
        <is>
          <t>Procédure Ouverte</t>
        </is>
      </c>
      <c r="AA11" t="inlineStr">
        <is>
          <t>Avis de marché</t>
        </is>
      </c>
      <c r="AB11" t="inlineStr">
        <is>
          <t>Electroménager</t>
        </is>
      </c>
      <c r="AC11" t="inlineStr"/>
      <c r="AD11" s="10" t="inlineStr">
        <is>
          <t>https://www.boamp.fr/pages/avis/?q=idweb:26-72948</t>
        </is>
      </c>
      <c r="AE11" t="inlineStr">
        <is>
          <t>https://ville-plaisir.e-marches-publics.com</t>
        </is>
      </c>
      <c r="AF11" t="inlineStr"/>
      <c r="AG11" t="inlineStr">
        <is>
          <t>nettoyage</t>
        </is>
      </c>
      <c r="AH11" t="inlineStr">
        <is>
          <t>3</t>
        </is>
      </c>
      <c r="AI11" t="inlineStr">
        <is>
          <t>68</t>
        </is>
      </c>
      <c r="AJ11" t="inlineStr">
        <is>
          <t>INFO_PARTIELLE</t>
        </is>
      </c>
      <c r="AK11" t="inlineStr">
        <is>
          <t>60</t>
        </is>
      </c>
      <c r="AL11" t="inlineStr">
        <is>
          <t>TIEDE</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11" t="inlineStr">
        <is>
          <t>Verifier url_avis et DCE si disponible</t>
        </is>
      </c>
      <c r="AV11" t="inlineStr">
        <is>
          <t>LIEN_SEUL</t>
        </is>
      </c>
      <c r="AW11" t="inlineStr"/>
      <c r="AX11" t="inlineStr"/>
      <c r="AY11" t="inlineStr"/>
      <c r="AZ11" t="inlineStr"/>
      <c r="BA11" t="inlineStr"/>
      <c r="BB11" t="inlineStr">
        <is>
          <t>+30 mots-cles nettoyage forts | +10 budget non affiche (a verifier) | +10 secteur cible Mairie | +10 delai confortable 30j</t>
        </is>
      </c>
      <c r="BC11" t="inlineStr">
        <is>
          <t>Ville de Plaisir publie un AO potentiellement pertinent pour CHRUTH : 26MF026 - Fourniture d'appareils ménagers et d'équipements professionnels. Zone : 78. Budget a verifier. Verifier le lien source avant contact.</t>
        </is>
      </c>
      <c r="BD11"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11"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2026-W30</t>
        </is>
      </c>
    </row>
    <row r="12">
      <c r="A12" t="inlineStr">
        <is>
          <t>BOAMP</t>
        </is>
      </c>
      <c r="B12" t="inlineStr">
        <is>
          <t>26-71986</t>
        </is>
      </c>
      <c r="C12" t="inlineStr">
        <is>
          <t>Nettoyage des locaux communaux et des vitreries des bâtiments communaux</t>
        </is>
      </c>
      <c r="D12" t="inlineStr">
        <is>
          <t>Ville de Fontenay-aux-Roses</t>
        </is>
      </c>
      <c r="E12" t="inlineStr"/>
      <c r="F12" t="inlineStr"/>
      <c r="G12" t="inlineStr"/>
      <c r="H12" t="inlineStr"/>
      <c r="I12" t="inlineStr">
        <is>
          <t>publications-joue@aws-france.com</t>
        </is>
      </c>
      <c r="J12" t="inlineStr">
        <is>
          <t>+33480041260</t>
        </is>
      </c>
      <c r="K12" t="inlineStr"/>
      <c r="L12" t="inlineStr"/>
      <c r="M12" t="inlineStr"/>
      <c r="N12" t="inlineStr">
        <is>
          <t>92</t>
        </is>
      </c>
      <c r="O12" t="inlineStr"/>
      <c r="P12" t="inlineStr">
        <is>
          <t>Ile-de-France</t>
        </is>
      </c>
      <c r="Q12" s="14" t="n">
        <v>46224</v>
      </c>
      <c r="R12" s="14" t="n">
        <v>46240</v>
      </c>
      <c r="S12" t="inlineStr"/>
      <c r="T12" t="inlineStr">
        <is>
          <t>A_VERIFIER_BUDGET</t>
        </is>
      </c>
      <c r="U12" t="inlineStr"/>
      <c r="V12" t="inlineStr">
        <is>
          <t>non</t>
        </is>
      </c>
      <c r="W12" t="inlineStr">
        <is>
          <t>Vitres</t>
        </is>
      </c>
      <c r="X12" t="inlineStr">
        <is>
          <t>Mairie</t>
        </is>
      </c>
      <c r="Y12" t="inlineStr">
        <is>
          <t>SERVICES</t>
        </is>
      </c>
      <c r="Z12" t="inlineStr">
        <is>
          <t>Procédure Ouverte</t>
        </is>
      </c>
      <c r="AA12" t="inlineStr">
        <is>
          <t>Avis de marché</t>
        </is>
      </c>
      <c r="AB12" t="inlineStr">
        <is>
          <t>Nettoyage de locaux, Vitrerie</t>
        </is>
      </c>
      <c r="AC12" t="inlineStr">
        <is>
          <t>['environnementaux']</t>
        </is>
      </c>
      <c r="AD12" s="10" t="inlineStr">
        <is>
          <t>https://www.boamp.fr/pages/avis/?q=idweb:26-71986</t>
        </is>
      </c>
      <c r="AE12" t="inlineStr">
        <is>
          <t>https://www.marches-publics.info/accueil.htm</t>
        </is>
      </c>
      <c r="AF12" t="inlineStr">
        <is>
          <t>https://www.marches-publics.info/accueil.htm</t>
        </is>
      </c>
      <c r="AG12" t="inlineStr">
        <is>
          <t>nettoyage</t>
        </is>
      </c>
      <c r="AH12" t="inlineStr">
        <is>
          <t>2</t>
        </is>
      </c>
      <c r="AI12" t="inlineStr">
        <is>
          <t>58</t>
        </is>
      </c>
      <c r="AJ12" t="inlineStr">
        <is>
          <t>INFO_PARTIELLE</t>
        </is>
      </c>
      <c r="AK12" t="inlineStr">
        <is>
          <t>60</t>
        </is>
      </c>
      <c r="AL12" t="inlineStr">
        <is>
          <t>TIEDE</t>
        </is>
      </c>
      <c r="AM12" t="inlineStr"/>
      <c r="AN12" t="inlineStr"/>
      <c r="AO12" t="inlineStr"/>
      <c r="AP12" t="inlineStr"/>
      <c r="AQ12" t="inlineStr">
        <is>
          <t>IA_BUDGET_A_VERIFIER</t>
        </is>
      </c>
      <c r="AR12" t="inlineStr">
        <is>
          <t>Verifier le budget dans l'avis source ou le DCE avant decision commerciale.</t>
        </is>
      </c>
      <c r="AS12" t="inlineStr">
        <is>
          <t>SIRET, 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12" t="inlineStr">
        <is>
          <t>Verifier url_avis et DCE si disponible</t>
        </is>
      </c>
      <c r="AV12" t="inlineStr">
        <is>
          <t>LIEN_SEUL</t>
        </is>
      </c>
      <c r="AW12" t="inlineStr"/>
      <c r="AX12" t="inlineStr"/>
      <c r="AY12" t="inlineStr"/>
      <c r="AZ12" t="inlineStr"/>
      <c r="BA12" t="inlineStr"/>
      <c r="BB12" t="inlineStr">
        <is>
          <t>+35 nettoyage + categorie claire | +10 budget non affiche (a verifier) | +10 secteur cible Mairie | +5 delai court 9j</t>
        </is>
      </c>
      <c r="BC12" t="inlineStr">
        <is>
          <t>Ville de Fontenay-aux-Roses publie un AO potentiellement pertinent pour CHRUTH : Nettoyage des locaux communaux et des vitreries des bâtiments communaux. Zone : 92. Budget a verifier. Verifier le lien source avant contact.</t>
        </is>
      </c>
      <c r="BD12"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2"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2026-W30</t>
        </is>
      </c>
    </row>
    <row r="13">
      <c r="A13" t="inlineStr">
        <is>
          <t>BOAMP</t>
        </is>
      </c>
      <c r="B13" t="inlineStr">
        <is>
          <t>26-71545</t>
        </is>
      </c>
      <c r="C13" t="inlineStr">
        <is>
          <t>Exploitation, maintenance des dispositifs de collecte pneumatique fixes et mobiles des déchets ménagers et transport de ces déchets</t>
        </is>
      </c>
      <c r="D13" t="inlineStr">
        <is>
          <t>Grand Paris Seine Ouest</t>
        </is>
      </c>
      <c r="E13" t="inlineStr">
        <is>
          <t>20005797400012</t>
        </is>
      </c>
      <c r="F13" t="inlineStr">
        <is>
          <t>200057974</t>
        </is>
      </c>
      <c r="G13" t="inlineStr"/>
      <c r="H13" t="inlineStr"/>
      <c r="I13" t="inlineStr">
        <is>
          <t>judith.comminsoli@seineouest.fr</t>
        </is>
      </c>
      <c r="J13" t="inlineStr">
        <is>
          <t>0579740001</t>
        </is>
      </c>
      <c r="K13" t="inlineStr"/>
      <c r="L13" t="inlineStr"/>
      <c r="M13" t="inlineStr"/>
      <c r="N13" t="inlineStr">
        <is>
          <t>92</t>
        </is>
      </c>
      <c r="O13" t="inlineStr"/>
      <c r="P13" t="inlineStr">
        <is>
          <t>Ile-de-France</t>
        </is>
      </c>
      <c r="Q13" s="14" t="n">
        <v>46222</v>
      </c>
      <c r="R13" s="14" t="n">
        <v>46275</v>
      </c>
      <c r="S13" s="15" t="n">
        <v>300000</v>
      </c>
      <c r="T13" t="inlineStr">
        <is>
          <t>BUDGET_EXPLICITE_OK</t>
        </is>
      </c>
      <c r="U13" t="inlineStr">
        <is>
          <t>75000</t>
        </is>
      </c>
      <c r="V13" t="inlineStr">
        <is>
          <t>oui</t>
        </is>
      </c>
      <c r="W13" t="inlineStr">
        <is>
          <t>Mixte/Autre</t>
        </is>
      </c>
      <c r="X13" t="inlineStr">
        <is>
          <t>Autre</t>
        </is>
      </c>
      <c r="Y13" t="inlineStr">
        <is>
          <t>SERVICES</t>
        </is>
      </c>
      <c r="Z13" t="inlineStr">
        <is>
          <t>Procédure Ouverte</t>
        </is>
      </c>
      <c r="AA13" t="inlineStr">
        <is>
          <t>Avis de marché</t>
        </is>
      </c>
      <c r="AB13" t="inlineStr">
        <is>
          <t>Collecte sélective</t>
        </is>
      </c>
      <c r="AC13" t="inlineStr">
        <is>
          <t>['environnementaux']</t>
        </is>
      </c>
      <c r="AD13" s="10" t="inlineStr">
        <is>
          <t>https://www.boamp.fr/pages/avis/?q=idweb:26-71545</t>
        </is>
      </c>
      <c r="AE13" t="inlineStr">
        <is>
          <t>https://marches.maximilien.fr/</t>
        </is>
      </c>
      <c r="AF13" t="inlineStr">
        <is>
          <t>https://marches.maximilien.fr/</t>
        </is>
      </c>
      <c r="AG13" t="inlineStr">
        <is>
          <t>nettoyage</t>
        </is>
      </c>
      <c r="AH13" t="inlineStr">
        <is>
          <t>3</t>
        </is>
      </c>
      <c r="AI13" t="inlineStr">
        <is>
          <t>68</t>
        </is>
      </c>
      <c r="AJ13" t="inlineStr">
        <is>
          <t>INFO_PARTIELLE</t>
        </is>
      </c>
      <c r="AK13" t="inlineStr">
        <is>
          <t>60</t>
        </is>
      </c>
      <c r="AL13" t="inlineStr">
        <is>
          <t>TIEDE</t>
        </is>
      </c>
      <c r="AM13" t="inlineStr"/>
      <c r="AN13" t="inlineStr"/>
      <c r="AO13" t="inlineStr"/>
      <c r="AP13" t="inlineStr"/>
      <c r="AQ13" t="inlineStr">
        <is>
          <t>IA_CONTACT_A_COMPLETER</t>
        </is>
      </c>
      <c r="AR13" t="inlineStr">
        <is>
          <t>Completer les champs manquants depuis l'avis source, le site acheteur ou le DCE.</t>
        </is>
      </c>
      <c r="AS13" t="inlineStr">
        <is>
          <t>adresse, ville</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13" t="inlineStr">
        <is>
          <t>Verifier url_avis et DCE si disponible</t>
        </is>
      </c>
      <c r="AV13" t="inlineStr"/>
      <c r="AW13" t="inlineStr"/>
      <c r="AX13" t="inlineStr"/>
      <c r="AY13" t="inlineStr"/>
      <c r="AZ13" t="inlineStr"/>
      <c r="BA13" t="inlineStr"/>
      <c r="BB13" t="inlineStr">
        <is>
          <t>+30 mots-cles nettoyage forts | +20 budget annualise &lt;= 100 000 EUR | +10 delai confortable 44j</t>
        </is>
      </c>
      <c r="BC13"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13"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13"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26-73898</t>
        </is>
      </c>
      <c r="C14" t="inlineStr">
        <is>
          <t>Fourniture de petits matériels et de consommables d'entretien et d'hygiène</t>
        </is>
      </c>
      <c r="D14" t="inlineStr">
        <is>
          <t>Département des Hauts-de-Seine</t>
        </is>
      </c>
      <c r="E14" t="inlineStr"/>
      <c r="F14" t="inlineStr"/>
      <c r="G14" t="inlineStr"/>
      <c r="H14" t="inlineStr"/>
      <c r="I14" t="inlineStr">
        <is>
          <t>publications-joue@aws-france.com</t>
        </is>
      </c>
      <c r="J14" t="inlineStr">
        <is>
          <t>+33480041260</t>
        </is>
      </c>
      <c r="K14" t="inlineStr"/>
      <c r="L14" t="inlineStr"/>
      <c r="M14" t="inlineStr"/>
      <c r="N14" t="inlineStr">
        <is>
          <t>92</t>
        </is>
      </c>
      <c r="O14" t="inlineStr"/>
      <c r="P14" t="inlineStr">
        <is>
          <t>Ile-de-France</t>
        </is>
      </c>
      <c r="Q14" s="14" t="n">
        <v>46228</v>
      </c>
      <c r="R14" s="14" t="n">
        <v>46280</v>
      </c>
      <c r="S14" t="inlineStr"/>
      <c r="T14" t="inlineStr">
        <is>
          <t>A_VERIFIER_BUDGET</t>
        </is>
      </c>
      <c r="U14" t="inlineStr"/>
      <c r="V14" t="inlineStr">
        <is>
          <t>non</t>
        </is>
      </c>
      <c r="W14" t="inlineStr">
        <is>
          <t>Batiments</t>
        </is>
      </c>
      <c r="X14" t="inlineStr">
        <is>
          <t>Autre</t>
        </is>
      </c>
      <c r="Y14" t="inlineStr">
        <is>
          <t>FOURNITURES</t>
        </is>
      </c>
      <c r="Z14" t="inlineStr">
        <is>
          <t>Procédure Ouverte</t>
        </is>
      </c>
      <c r="AA14" t="inlineStr">
        <is>
          <t>Avis de marché</t>
        </is>
      </c>
      <c r="AB14" t="inlineStr">
        <is>
          <t>Produits d'entretien</t>
        </is>
      </c>
      <c r="AC14" t="inlineStr">
        <is>
          <t>['sociaux', 'environnementaux']</t>
        </is>
      </c>
      <c r="AD14" s="10" t="inlineStr">
        <is>
          <t>https://www.boamp.fr/pages/avis/?q=idweb:26-73898</t>
        </is>
      </c>
      <c r="AE14" t="inlineStr">
        <is>
          <t>https://www.marches-publics.info/mpiaws/index.cfm?fuseaction=dematEnt.login&amp;amp;type=DCE&amp;amp;IDM=1854121</t>
        </is>
      </c>
      <c r="AF14" t="inlineStr">
        <is>
          <t>https://www.marches-publics.info/mpiaws/index.cfm?fuseaction=dematEnt.login&amp;amp;type=DCE&amp;amp;IDM=1854121</t>
        </is>
      </c>
      <c r="AG14" t="inlineStr">
        <is>
          <t>hygiene des locaux</t>
        </is>
      </c>
      <c r="AH14" t="inlineStr">
        <is>
          <t>2</t>
        </is>
      </c>
      <c r="AI14" t="inlineStr">
        <is>
          <t>58</t>
        </is>
      </c>
      <c r="AJ14" t="inlineStr">
        <is>
          <t>INFO_PARTIELLE</t>
        </is>
      </c>
      <c r="AK14" t="inlineStr">
        <is>
          <t>55</t>
        </is>
      </c>
      <c r="AL14" t="inlineStr">
        <is>
          <t>TIEDE</t>
        </is>
      </c>
      <c r="AM14" t="inlineStr"/>
      <c r="AN14" t="inlineStr"/>
      <c r="AO14" t="inlineStr"/>
      <c r="AP14" t="inlineStr"/>
      <c r="AQ14" t="inlineStr">
        <is>
          <t>IA_BUDGET_A_VERIFIER</t>
        </is>
      </c>
      <c r="AR14" t="inlineStr">
        <is>
          <t>Verifier le budget dans l'avis source ou le DCE avant decision commerciale.</t>
        </is>
      </c>
      <c r="AS14" t="inlineStr">
        <is>
          <t>SIRET, 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delai confortable 49j</t>
        </is>
      </c>
      <c r="BC14" t="inlineStr">
        <is>
          <t>Département des Hauts-de-Seine publie un AO potentiellement pertinent pour CHRUTH : Fourniture de petits matériels et de consommables d'entretien et d'hygiène. Zone : 92. Budget a verifier. Verifier le lien source avant contact.</t>
        </is>
      </c>
      <c r="BD14"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14"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2026-W30</t>
        </is>
      </c>
    </row>
    <row r="15">
      <c r="A15" t="inlineStr">
        <is>
          <t>BOAMP</t>
        </is>
      </c>
      <c r="B15" t="inlineStr">
        <is>
          <t>26-72955</t>
        </is>
      </c>
      <c r="C15" t="inlineStr">
        <is>
          <t>Prestations de nettoyage courant des locaux du CNRS et de vitreries incluant la fourniture des produits d’entretien et d’hygiène</t>
        </is>
      </c>
      <c r="D15" t="inlineStr">
        <is>
          <t>CNRS Délégation paris-Centre</t>
        </is>
      </c>
      <c r="E15" t="inlineStr">
        <is>
          <t>18008901303282</t>
        </is>
      </c>
      <c r="F15" t="inlineStr">
        <is>
          <t>180089013</t>
        </is>
      </c>
      <c r="G15" t="inlineStr"/>
      <c r="H15" t="inlineStr"/>
      <c r="I15" t="inlineStr">
        <is>
          <t>marchesdr2@dr2.cnrs.fr</t>
        </is>
      </c>
      <c r="J15" t="inlineStr">
        <is>
          <t>0890130328</t>
        </is>
      </c>
      <c r="K15" t="inlineStr"/>
      <c r="L15" t="inlineStr"/>
      <c r="M15" t="inlineStr"/>
      <c r="N15" t="inlineStr">
        <is>
          <t>75,77,78,91,92,93,94,95</t>
        </is>
      </c>
      <c r="O15" t="inlineStr"/>
      <c r="P15" t="inlineStr">
        <is>
          <t>Ile-de-France</t>
        </is>
      </c>
      <c r="Q15" s="14" t="n">
        <v>46225</v>
      </c>
      <c r="R15" s="14" t="n">
        <v>46269</v>
      </c>
      <c r="S15" t="inlineStr"/>
      <c r="T15" t="inlineStr">
        <is>
          <t>A_VERIFIER_BUDGET</t>
        </is>
      </c>
      <c r="U15" t="inlineStr"/>
      <c r="V15" t="inlineStr">
        <is>
          <t>non</t>
        </is>
      </c>
      <c r="W15" t="inlineStr">
        <is>
          <t>Batiments</t>
        </is>
      </c>
      <c r="X15" t="inlineStr">
        <is>
          <t>Autre</t>
        </is>
      </c>
      <c r="Y15" t="inlineStr">
        <is>
          <t>SERVICES</t>
        </is>
      </c>
      <c r="Z15" t="inlineStr">
        <is>
          <t>Procédure Ouverte</t>
        </is>
      </c>
      <c r="AA15" t="inlineStr">
        <is>
          <t>Avis de marché</t>
        </is>
      </c>
      <c r="AB15" t="inlineStr">
        <is>
          <t>Nettoyage de locaux</t>
        </is>
      </c>
      <c r="AC15" t="inlineStr"/>
      <c r="AD15" s="10" t="inlineStr">
        <is>
          <t>https://www.boamp.fr/pages/avis/?q=idweb:26-72955</t>
        </is>
      </c>
      <c r="AE15" t="inlineStr">
        <is>
          <t>https://www.marches-publics.gouv.fr</t>
        </is>
      </c>
      <c r="AF15" t="inlineStr">
        <is>
          <t>https://www.marches-publics.gouv.fr</t>
        </is>
      </c>
      <c r="AG15" t="inlineStr">
        <is>
          <t>nettoyage</t>
        </is>
      </c>
      <c r="AH15" t="inlineStr">
        <is>
          <t>3</t>
        </is>
      </c>
      <c r="AI15" t="inlineStr">
        <is>
          <t>68</t>
        </is>
      </c>
      <c r="AJ15" t="inlineStr">
        <is>
          <t>INFO_PARTIELLE</t>
        </is>
      </c>
      <c r="AK15" t="inlineStr">
        <is>
          <t>55</t>
        </is>
      </c>
      <c r="AL15" t="inlineStr">
        <is>
          <t>TIEDE</t>
        </is>
      </c>
      <c r="AM15" t="inlineStr"/>
      <c r="AN15" t="inlineStr"/>
      <c r="AO15" t="inlineStr"/>
      <c r="AP15" t="inlineStr"/>
      <c r="AQ15" t="inlineStr">
        <is>
          <t>IA_BUDGET_A_VERIFIER</t>
        </is>
      </c>
      <c r="AR15" t="inlineStr">
        <is>
          <t>Verifier le budget dans l'avis source ou le DCE avant decision commerciale.</t>
        </is>
      </c>
      <c r="AS15" t="inlineStr">
        <is>
          <t>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delai confortable 38j</t>
        </is>
      </c>
      <c r="BC15"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15"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15"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2026-W30</t>
        </is>
      </c>
    </row>
    <row r="16">
      <c r="A16" t="inlineStr">
        <is>
          <t>BOAMP</t>
        </is>
      </c>
      <c r="B16" t="inlineStr">
        <is>
          <t>26-72105</t>
        </is>
      </c>
      <c r="C16" t="inlineStr">
        <is>
          <t>PRESTATIONS DE SERVICES DE NETTOYAGE ET BIONETTOYAGE DES LOCAUX, DE LA VITRERIE ET SERVICES ASSOCIES POUR LE CHIMM</t>
        </is>
      </c>
      <c r="D16" t="inlineStr">
        <is>
          <t>Centre Hospitalier Poissy/Saint-Germain-En-Laye</t>
        </is>
      </c>
      <c r="E16" t="inlineStr">
        <is>
          <t>26780580200316</t>
        </is>
      </c>
      <c r="F16" t="inlineStr">
        <is>
          <t>267805802</t>
        </is>
      </c>
      <c r="G16" t="inlineStr"/>
      <c r="H16" t="inlineStr"/>
      <c r="I16" t="inlineStr">
        <is>
          <t>clementine.hee@ght-yvelinesnord.fr</t>
        </is>
      </c>
      <c r="J16" t="inlineStr">
        <is>
          <t>0580200316</t>
        </is>
      </c>
      <c r="K16" t="inlineStr"/>
      <c r="L16" t="inlineStr"/>
      <c r="M16" t="inlineStr"/>
      <c r="N16" t="inlineStr">
        <is>
          <t>78</t>
        </is>
      </c>
      <c r="O16" t="inlineStr"/>
      <c r="P16" t="inlineStr">
        <is>
          <t>Ile-de-France</t>
        </is>
      </c>
      <c r="Q16" s="14" t="n">
        <v>46224</v>
      </c>
      <c r="R16" s="14" t="n">
        <v>46293</v>
      </c>
      <c r="S16" t="inlineStr"/>
      <c r="T16" t="inlineStr">
        <is>
          <t>A_VERIFIER_BUDGET</t>
        </is>
      </c>
      <c r="U16" t="inlineStr"/>
      <c r="V16" t="inlineStr">
        <is>
          <t>non</t>
        </is>
      </c>
      <c r="W16" t="inlineStr">
        <is>
          <t>Vitres</t>
        </is>
      </c>
      <c r="X16" t="inlineStr">
        <is>
          <t>Autre</t>
        </is>
      </c>
      <c r="Y16" t="inlineStr">
        <is>
          <t>SERVICES</t>
        </is>
      </c>
      <c r="Z16" t="inlineStr">
        <is>
          <t>Procédure Ouverte</t>
        </is>
      </c>
      <c r="AA16" t="inlineStr">
        <is>
          <t>Avis de marché</t>
        </is>
      </c>
      <c r="AB16" t="inlineStr">
        <is>
          <t>Nettoyage de locaux, Vitrerie</t>
        </is>
      </c>
      <c r="AC16" t="inlineStr"/>
      <c r="AD16" s="10" t="inlineStr">
        <is>
          <t>https://www.boamp.fr/pages/avis/?q=idweb:26-72105</t>
        </is>
      </c>
      <c r="AE16" t="inlineStr">
        <is>
          <t>https://marches.maximilien.fr/entreprise/consultation/943757?orgAcronyme=a2k</t>
        </is>
      </c>
      <c r="AF16" t="inlineStr">
        <is>
          <t>https://marches.maximilien.fr/entreprise/consultation/943757?orgAcronyme=a2k</t>
        </is>
      </c>
      <c r="AG16" t="inlineStr">
        <is>
          <t>nettoyage, bionettoyage</t>
        </is>
      </c>
      <c r="AH16" t="inlineStr">
        <is>
          <t>3</t>
        </is>
      </c>
      <c r="AI16" t="inlineStr">
        <is>
          <t>76</t>
        </is>
      </c>
      <c r="AJ16" t="inlineStr">
        <is>
          <t>INFO_PARTIELLE</t>
        </is>
      </c>
      <c r="AK16" t="inlineStr">
        <is>
          <t>55</t>
        </is>
      </c>
      <c r="AL16" t="inlineStr">
        <is>
          <t>TIEDE</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delai confortable 62j</t>
        </is>
      </c>
      <c r="BC16"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16"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16"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2026-W30</t>
        </is>
      </c>
    </row>
    <row r="17">
      <c r="A17" t="inlineStr">
        <is>
          <t>BOAMP</t>
        </is>
      </c>
      <c r="B17" t="inlineStr">
        <is>
          <t>26-70522</t>
        </is>
      </c>
      <c r="C17" t="inlineStr">
        <is>
          <t>PRESTATIONS DE COACHING ET D’ACCOMPAGNEMENT DES MEMBRES D’UN CODIR AU PROFIT DE L’EPIDE</t>
        </is>
      </c>
      <c r="D17" t="inlineStr">
        <is>
          <t>EPIDE</t>
        </is>
      </c>
      <c r="E17" t="inlineStr">
        <is>
          <t>18009259500131</t>
        </is>
      </c>
      <c r="F17" t="inlineStr">
        <is>
          <t>180092595</t>
        </is>
      </c>
      <c r="G17" t="inlineStr"/>
      <c r="H17" t="inlineStr"/>
      <c r="I17" t="inlineStr">
        <is>
          <t>achats@epide.fr</t>
        </is>
      </c>
      <c r="J17" t="inlineStr">
        <is>
          <t>0925950013</t>
        </is>
      </c>
      <c r="K17" t="inlineStr"/>
      <c r="L17" t="inlineStr"/>
      <c r="M17" t="inlineStr"/>
      <c r="N17" t="inlineStr">
        <is>
          <t>92,67,68,24,33,40,47,64,3</t>
        </is>
      </c>
      <c r="O17" t="inlineStr"/>
      <c r="P17" t="inlineStr">
        <is>
          <t>Ile-de-France</t>
        </is>
      </c>
      <c r="Q17" s="14" t="n">
        <v>46220</v>
      </c>
      <c r="R17" s="14" t="n">
        <v>46259</v>
      </c>
      <c r="S17" t="inlineStr"/>
      <c r="T17" t="inlineStr">
        <is>
          <t>A_VERIFIER_BUDGET</t>
        </is>
      </c>
      <c r="U17" t="inlineStr"/>
      <c r="V17" t="inlineStr">
        <is>
          <t>non</t>
        </is>
      </c>
      <c r="W17" t="inlineStr">
        <is>
          <t>Batiments</t>
        </is>
      </c>
      <c r="X17" t="inlineStr">
        <is>
          <t>Autre</t>
        </is>
      </c>
      <c r="Y17" t="inlineStr">
        <is>
          <t>SERVICES</t>
        </is>
      </c>
      <c r="Z17" t="inlineStr">
        <is>
          <t>Procédure Ouverte</t>
        </is>
      </c>
      <c r="AA17" t="inlineStr">
        <is>
          <t>Avis de marché</t>
        </is>
      </c>
      <c r="AB17" t="inlineStr">
        <is>
          <t>Nettoyage de locaux</t>
        </is>
      </c>
      <c r="AC17" t="inlineStr"/>
      <c r="AD17" s="10" t="inlineStr">
        <is>
          <t>https://www.boamp.fr/pages/avis/?q=idweb:26-70522</t>
        </is>
      </c>
      <c r="AE17" t="inlineStr">
        <is>
          <t>https://www.epide.fr/</t>
        </is>
      </c>
      <c r="AF17" t="inlineStr"/>
      <c r="AG17" t="inlineStr">
        <is>
          <t>nettoyage</t>
        </is>
      </c>
      <c r="AH17" t="inlineStr">
        <is>
          <t>3</t>
        </is>
      </c>
      <c r="AI17" t="inlineStr">
        <is>
          <t>68</t>
        </is>
      </c>
      <c r="AJ17" t="inlineStr">
        <is>
          <t>INFO_PARTIELLE</t>
        </is>
      </c>
      <c r="AK17" t="inlineStr">
        <is>
          <t>55</t>
        </is>
      </c>
      <c r="AL17" t="inlineStr">
        <is>
          <t>TIEDE</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delai confortable 28j</t>
        </is>
      </c>
      <c r="BC17" t="inlineStr">
        <is>
          <t>EPIDE publie un AO potentiellement pertinent pour CHRUTH : PRESTATIONS DE COACHING ET D’ACCOMPAGNEMENT DES MEMBRES D’UN CODIR AU PROFIT DE L’EPIDE. Zone : 92,67,68,24,33,40,47,64,3. Budget a verifier. Verifier le lien source avant contact.</t>
        </is>
      </c>
      <c r="BD17"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17"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2026-W29</t>
        </is>
      </c>
    </row>
    <row r="18">
      <c r="A18" t="inlineStr">
        <is>
          <t>BOAMP</t>
        </is>
      </c>
      <c r="B18" t="inlineStr">
        <is>
          <t>26-70503</t>
        </is>
      </c>
      <c r="C18" t="inlineStr">
        <is>
          <t>Prestations de nettoyage des locaux et de la vitrerie et prestations associées pour les sites du GHT Grand Paris Nord-Est</t>
        </is>
      </c>
      <c r="D18" t="inlineStr">
        <is>
          <t>GHT GPNE</t>
        </is>
      </c>
      <c r="E18" t="inlineStr">
        <is>
          <t>20001803400013</t>
        </is>
      </c>
      <c r="F18" t="inlineStr">
        <is>
          <t>200018034</t>
        </is>
      </c>
      <c r="G18" t="inlineStr"/>
      <c r="H18" t="inlineStr"/>
      <c r="I18" t="inlineStr">
        <is>
          <t>ght.cellule-des-marches@ght-gpne.fr</t>
        </is>
      </c>
      <c r="J18" t="inlineStr">
        <is>
          <t>0180340001</t>
        </is>
      </c>
      <c r="K18" t="inlineStr"/>
      <c r="L18" t="inlineStr"/>
      <c r="M18" t="inlineStr"/>
      <c r="N18" t="inlineStr">
        <is>
          <t>93</t>
        </is>
      </c>
      <c r="O18" t="inlineStr"/>
      <c r="P18" t="inlineStr">
        <is>
          <t>Ile-de-France</t>
        </is>
      </c>
      <c r="Q18" s="14" t="n">
        <v>46220</v>
      </c>
      <c r="R18" s="14" t="n">
        <v>46269</v>
      </c>
      <c r="S18" t="inlineStr"/>
      <c r="T18" t="inlineStr">
        <is>
          <t>A_VERIFIER_BUDGET</t>
        </is>
      </c>
      <c r="U18" t="inlineStr"/>
      <c r="V18" t="inlineStr">
        <is>
          <t>non</t>
        </is>
      </c>
      <c r="W18" t="inlineStr">
        <is>
          <t>Vitres</t>
        </is>
      </c>
      <c r="X18" t="inlineStr">
        <is>
          <t>Autre</t>
        </is>
      </c>
      <c r="Y18" t="inlineStr">
        <is>
          <t>SERVICES</t>
        </is>
      </c>
      <c r="Z18" t="inlineStr">
        <is>
          <t>Procédure Ouverte</t>
        </is>
      </c>
      <c r="AA18" t="inlineStr">
        <is>
          <t>Avis de marché</t>
        </is>
      </c>
      <c r="AB18" t="inlineStr">
        <is>
          <t>Nettoyage de locaux</t>
        </is>
      </c>
      <c r="AC18" t="inlineStr"/>
      <c r="AD18" s="10" t="inlineStr">
        <is>
          <t>https://www.boamp.fr/pages/avis/?q=idweb:26-70503</t>
        </is>
      </c>
      <c r="AE18" t="inlineStr">
        <is>
          <t>https://marches.maximilien.fr/entreprise/consultation/943277?orgAcronyme=a1j</t>
        </is>
      </c>
      <c r="AF18" t="inlineStr">
        <is>
          <t>https://marches.maximilien.fr/entreprise/consultation/943277?orgAcronyme=a1j</t>
        </is>
      </c>
      <c r="AG18" t="inlineStr">
        <is>
          <t>nettoyage</t>
        </is>
      </c>
      <c r="AH18" t="inlineStr">
        <is>
          <t>3</t>
        </is>
      </c>
      <c r="AI18" t="inlineStr">
        <is>
          <t>68</t>
        </is>
      </c>
      <c r="AJ18" t="inlineStr">
        <is>
          <t>INFO_PARTIELLE</t>
        </is>
      </c>
      <c r="AK18" t="inlineStr">
        <is>
          <t>55</t>
        </is>
      </c>
      <c r="AL18" t="inlineStr">
        <is>
          <t>TIEDE</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delai confortable 38j</t>
        </is>
      </c>
      <c r="BC18" t="inlineStr">
        <is>
          <t>GHT GPNE publie un AO potentiellement pertinent pour CHRUTH : Prestations de nettoyage des locaux et de la vitrerie et prestations associées pour les sites du GHT Grand Paris Nord-Est. Zone : 93. Budget a verifier. Verifier le lien source avant contact.</t>
        </is>
      </c>
      <c r="BD18"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18"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2026-W29</t>
        </is>
      </c>
    </row>
    <row r="19">
      <c r="A19" t="inlineStr">
        <is>
          <t>BOAMP</t>
        </is>
      </c>
      <c r="B19" t="inlineStr">
        <is>
          <t>26-72690</t>
        </is>
      </c>
      <c r="C19" t="inlineStr">
        <is>
          <t>Service de mise à disposition de personnel</t>
        </is>
      </c>
      <c r="D19" t="inlineStr">
        <is>
          <t>Mairie d&amp;#039;ANTONY</t>
        </is>
      </c>
      <c r="E19" t="inlineStr">
        <is>
          <t>21920002900011</t>
        </is>
      </c>
      <c r="F19" t="inlineStr">
        <is>
          <t>219200029</t>
        </is>
      </c>
      <c r="G19" t="inlineStr"/>
      <c r="H19" t="inlineStr"/>
      <c r="I19" t="inlineStr">
        <is>
          <t>marchespublics@ville-antony.fr</t>
        </is>
      </c>
      <c r="J19" t="inlineStr">
        <is>
          <t>+33 140966840</t>
        </is>
      </c>
      <c r="K19" t="inlineStr"/>
      <c r="L19" t="inlineStr"/>
      <c r="M19" t="inlineStr"/>
      <c r="N19" t="inlineStr">
        <is>
          <t>92</t>
        </is>
      </c>
      <c r="O19" t="inlineStr"/>
      <c r="P19" t="inlineStr">
        <is>
          <t>Ile-de-France</t>
        </is>
      </c>
      <c r="Q19" s="14" t="n">
        <v>46225</v>
      </c>
      <c r="R19" s="14" t="n">
        <v>46274</v>
      </c>
      <c r="S19" s="15" t="n">
        <v>150000</v>
      </c>
      <c r="T19" t="inlineStr">
        <is>
          <t>BUDGET_EXPLICITE_OK</t>
        </is>
      </c>
      <c r="U19" t="inlineStr">
        <is>
          <t>37500</t>
        </is>
      </c>
      <c r="V19" t="inlineStr">
        <is>
          <t>oui</t>
        </is>
      </c>
      <c r="W19" t="inlineStr">
        <is>
          <t>Personnel</t>
        </is>
      </c>
      <c r="X19" t="inlineStr">
        <is>
          <t>Mairie</t>
        </is>
      </c>
      <c r="Y19" t="inlineStr">
        <is>
          <t>SERVICES</t>
        </is>
      </c>
      <c r="Z19" t="inlineStr">
        <is>
          <t>Procédure Ouverte</t>
        </is>
      </c>
      <c r="AA19" t="inlineStr">
        <is>
          <t>Avis de marché</t>
        </is>
      </c>
      <c r="AB19" t="inlineStr">
        <is>
          <t>Mise à disposition de personnel</t>
        </is>
      </c>
      <c r="AC19" t="inlineStr"/>
      <c r="AD19" s="10" t="inlineStr">
        <is>
          <t>https://www.boamp.fr/pages/avis/?q=idweb:26-72690</t>
        </is>
      </c>
      <c r="AE19" t="inlineStr">
        <is>
          <t>https://marches.maximilien.fr/</t>
        </is>
      </c>
      <c r="AF19" t="inlineStr">
        <is>
          <t>https://marches.maximilien.fr/</t>
        </is>
      </c>
      <c r="AG19" t="inlineStr"/>
      <c r="AH19" t="inlineStr">
        <is>
          <t>3</t>
        </is>
      </c>
      <c r="AI19" t="inlineStr">
        <is>
          <t>60</t>
        </is>
      </c>
      <c r="AJ19" t="inlineStr">
        <is>
          <t>INFO_PARTIELLE</t>
        </is>
      </c>
      <c r="AK19" t="inlineStr">
        <is>
          <t>45</t>
        </is>
      </c>
      <c r="AL19" t="inlineStr">
        <is>
          <t>TIEDE</t>
        </is>
      </c>
      <c r="AM19" t="inlineStr"/>
      <c r="AN19" t="inlineStr"/>
      <c r="AO19" t="inlineStr"/>
      <c r="AP19" t="inlineStr"/>
      <c r="AQ19" t="inlineStr">
        <is>
          <t>IA_CONTACT_A_COMPLETER</t>
        </is>
      </c>
      <c r="AR19" t="inlineStr">
        <is>
          <t>Completer les champs manquants depuis l'avis source, le site acheteur ou le DCE.</t>
        </is>
      </c>
      <c r="AS19" t="inlineStr">
        <is>
          <t>adresse, ville</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19" t="inlineStr">
        <is>
          <t>Verifier url_avis et DCE si disponible</t>
        </is>
      </c>
      <c r="AV19" t="inlineStr"/>
      <c r="AW19" t="inlineStr"/>
      <c r="AX19" t="inlineStr"/>
      <c r="AY19" t="inlineStr"/>
      <c r="AZ19" t="inlineStr"/>
      <c r="BA19" t="inlineStr"/>
      <c r="BB19" t="inlineStr">
        <is>
          <t>0 pertinence metier faible | +25 budget annualise &lt;= 50 000 EUR | +10 secteur cible Mairie | +10 delai confortable 43j</t>
        </is>
      </c>
      <c r="BC19" t="inlineStr">
        <is>
          <t>Mairie d&amp;#039;ANTONY publie un AO potentiellement pertinent pour CHRUTH : Service de mise à disposition de personnel. Zone : 92. Budget detecte environ 150 000 EUR. Verifier le lien source avant contact.</t>
        </is>
      </c>
      <c r="BD19"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19"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2026-W30</t>
        </is>
      </c>
    </row>
    <row r="20">
      <c r="A20" t="inlineStr">
        <is>
          <t>BOAMP</t>
        </is>
      </c>
      <c r="B20" t="inlineStr">
        <is>
          <t>26-70805</t>
        </is>
      </c>
      <c r="C20" t="inlineStr">
        <is>
          <t>Prestation de paie externalisée</t>
        </is>
      </c>
      <c r="D20" t="inlineStr">
        <is>
          <t>Les Eaux de la Confluence</t>
        </is>
      </c>
      <c r="E20" t="inlineStr">
        <is>
          <t>10133050400016</t>
        </is>
      </c>
      <c r="F20" t="inlineStr">
        <is>
          <t>101330504</t>
        </is>
      </c>
      <c r="G20" t="inlineStr">
        <is>
          <t>Service achat</t>
        </is>
      </c>
      <c r="H20" t="inlineStr"/>
      <c r="I20" t="inlineStr">
        <is>
          <t>juliette.gontier@leseauxdelaconfluence.fr</t>
        </is>
      </c>
      <c r="J20" t="inlineStr">
        <is>
          <t>0133050400</t>
        </is>
      </c>
      <c r="K20" t="inlineStr">
        <is>
          <t>(95) Val-d'Oise</t>
        </is>
      </c>
      <c r="L20" t="inlineStr">
        <is>
          <t>95027</t>
        </is>
      </c>
      <c r="M20" t="inlineStr">
        <is>
          <t>Cergy-Pontoise</t>
        </is>
      </c>
      <c r="N20" t="inlineStr">
        <is>
          <t>95</t>
        </is>
      </c>
      <c r="O20" t="inlineStr"/>
      <c r="P20" t="inlineStr">
        <is>
          <t>Ile-de-France</t>
        </is>
      </c>
      <c r="Q20" s="14" t="n">
        <v>46219</v>
      </c>
      <c r="R20" s="14" t="n">
        <v>46240</v>
      </c>
      <c r="S20" s="15" t="n">
        <v>95027</v>
      </c>
      <c r="T20" t="inlineStr">
        <is>
          <t>BUDGET_SOUS_SEUIL</t>
        </is>
      </c>
      <c r="U20" t="inlineStr">
        <is>
          <t>190054</t>
        </is>
      </c>
      <c r="V20" t="inlineStr">
        <is>
          <t>oui</t>
        </is>
      </c>
      <c r="W20" t="inlineStr">
        <is>
          <t>Batiments</t>
        </is>
      </c>
      <c r="X20" t="inlineStr">
        <is>
          <t>Autre</t>
        </is>
      </c>
      <c r="Y20" t="inlineStr">
        <is>
          <t>SERVICES</t>
        </is>
      </c>
      <c r="Z20" t="inlineStr">
        <is>
          <t>Procédure Ouverte</t>
        </is>
      </c>
      <c r="AA20" t="inlineStr">
        <is>
          <t>Avis de marché</t>
        </is>
      </c>
      <c r="AB20" t="inlineStr">
        <is>
          <t>Nettoyage de locaux</t>
        </is>
      </c>
      <c r="AC20" t="inlineStr"/>
      <c r="AD20" s="10" t="inlineStr">
        <is>
          <t>https://www.boamp.fr/pages/avis/?q=idweb:26-70805</t>
        </is>
      </c>
      <c r="AE20" t="inlineStr">
        <is>
          <t>https://marches.maximilien.fr/entreprise/consultation/943427?orgAcronyme=a7q</t>
        </is>
      </c>
      <c r="AF20" t="inlineStr">
        <is>
          <t>https://marches.maximilien.fr/entreprise/consultation/943427?orgAcronyme=a7q</t>
        </is>
      </c>
      <c r="AG20" t="inlineStr">
        <is>
          <t>nettoyage</t>
        </is>
      </c>
      <c r="AH20" t="inlineStr">
        <is>
          <t>6</t>
        </is>
      </c>
      <c r="AI20" t="inlineStr">
        <is>
          <t>98</t>
        </is>
      </c>
      <c r="AJ20" t="inlineStr">
        <is>
          <t>INFO_PARTIELLE</t>
        </is>
      </c>
      <c r="AK20" t="inlineStr">
        <is>
          <t>45</t>
        </is>
      </c>
      <c r="AL20" t="inlineStr">
        <is>
          <t>TIEDE</t>
        </is>
      </c>
      <c r="AM20" t="inlineStr"/>
      <c r="AN20" t="inlineStr"/>
      <c r="AO20" t="inlineStr"/>
      <c r="AP20" t="inlineStr"/>
      <c r="AQ20" t="inlineStr">
        <is>
          <t>IA_CONTROLE_SOURCE</t>
        </is>
      </c>
      <c r="AR20" t="inlineStr">
        <is>
          <t>Verifier rapidement la source avant contact.</t>
        </is>
      </c>
      <c r="AS20" t="inlineStr">
        <is>
          <t>Aucun champ critique manquant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20" t="inlineStr">
        <is>
          <t>Verifier url_avis et DCE si disponible</t>
        </is>
      </c>
      <c r="AV20" t="inlineStr"/>
      <c r="AW20" t="inlineStr"/>
      <c r="AX20" t="inlineStr"/>
      <c r="AY20" t="inlineStr"/>
      <c r="AZ20" t="inlineStr"/>
      <c r="BA20" t="inlineStr"/>
      <c r="BB20" t="inlineStr">
        <is>
          <t>+35 nettoyage + categorie claire | +5 budget annualise &lt;= 200 000 EUR | +5 delai court 9j</t>
        </is>
      </c>
      <c r="BC20" t="inlineStr">
        <is>
          <t>Les Eaux de la Confluence publie un AO potentiellement pertinent pour CHRUTH : Prestation de paie externalisée. Zone : Cergy-Pontoise. Budget detecte environ 95 027 EUR. Verifier le lien source avant contact.</t>
        </is>
      </c>
      <c r="BD20"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20"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2026-W29</t>
        </is>
      </c>
    </row>
    <row r="21">
      <c r="A21" t="inlineStr">
        <is>
          <t>BOAMP</t>
        </is>
      </c>
      <c r="B21" t="inlineStr">
        <is>
          <t>26-70259</t>
        </is>
      </c>
      <c r="C21" t="inlineStr">
        <is>
          <t>Marché de prestations de gardiennage lors de manifestations sur sites
Le titulaire du présent marché sera capable d'assurer sa mission de gardiennage dans le cadre d'interventions planifiée</t>
        </is>
      </c>
      <c r="D21" t="inlineStr">
        <is>
          <t>Mairie de Sannois</t>
        </is>
      </c>
      <c r="E21" t="inlineStr"/>
      <c r="F21" t="inlineStr"/>
      <c r="G21" t="inlineStr"/>
      <c r="H21" t="inlineStr"/>
      <c r="I21" t="inlineStr">
        <is>
          <t>publications-joue@aws-france.com</t>
        </is>
      </c>
      <c r="J21" t="inlineStr">
        <is>
          <t>+33480041260</t>
        </is>
      </c>
      <c r="K21" t="inlineStr"/>
      <c r="L21" t="inlineStr"/>
      <c r="M21" t="inlineStr"/>
      <c r="N21" t="inlineStr">
        <is>
          <t>95</t>
        </is>
      </c>
      <c r="O21" t="inlineStr"/>
      <c r="P21" t="inlineStr">
        <is>
          <t>Ile-de-France</t>
        </is>
      </c>
      <c r="Q21" s="14" t="n">
        <v>46219</v>
      </c>
      <c r="R21" s="14" t="n">
        <v>46251</v>
      </c>
      <c r="S21" s="15" t="n">
        <v>55000</v>
      </c>
      <c r="T21" t="inlineStr">
        <is>
          <t>BUDGET_SOUS_SEUIL</t>
        </is>
      </c>
      <c r="U21" t="inlineStr">
        <is>
          <t>55000.0</t>
        </is>
      </c>
      <c r="V21" t="inlineStr">
        <is>
          <t>non</t>
        </is>
      </c>
      <c r="W21" t="inlineStr">
        <is>
          <t>Personnel</t>
        </is>
      </c>
      <c r="X21" t="inlineStr">
        <is>
          <t>Mairie</t>
        </is>
      </c>
      <c r="Y21" t="inlineStr">
        <is>
          <t>SERVICES</t>
        </is>
      </c>
      <c r="Z21" t="inlineStr">
        <is>
          <t>Procédure Ouverte</t>
        </is>
      </c>
      <c r="AA21" t="inlineStr">
        <is>
          <t>Avis de marché</t>
        </is>
      </c>
      <c r="AB21" t="inlineStr">
        <is>
          <t>Gardiennage, Prestations de services, Surveillance</t>
        </is>
      </c>
      <c r="AC21" t="inlineStr">
        <is>
          <t>['sociaux', 'environnementaux']</t>
        </is>
      </c>
      <c r="AD21" s="10" t="inlineStr">
        <is>
          <t>https://www.boamp.fr/pages/avis/?q=idweb:26-70259</t>
        </is>
      </c>
      <c r="AE21" t="inlineStr">
        <is>
          <t>https://www.achatpublic.com/</t>
        </is>
      </c>
      <c r="AF21" t="inlineStr">
        <is>
          <t>https://www.achatpublic.com/</t>
        </is>
      </c>
      <c r="AG21" t="inlineStr"/>
      <c r="AH21" t="inlineStr">
        <is>
          <t>2</t>
        </is>
      </c>
      <c r="AI21" t="inlineStr">
        <is>
          <t>50</t>
        </is>
      </c>
      <c r="AJ21" t="inlineStr">
        <is>
          <t>INFO_PARTIELLE</t>
        </is>
      </c>
      <c r="AK21" t="inlineStr">
        <is>
          <t>40</t>
        </is>
      </c>
      <c r="AL21" t="inlineStr">
        <is>
          <t>TIEDE</t>
        </is>
      </c>
      <c r="AM21" t="inlineStr"/>
      <c r="AN21" t="inlineStr"/>
      <c r="AO21" t="inlineStr"/>
      <c r="AP21" t="inlineStr"/>
      <c r="AQ21" t="inlineStr">
        <is>
          <t>IA_CONTACT_A_COMPLETER</t>
        </is>
      </c>
      <c r="AR21" t="inlineStr">
        <is>
          <t>Completer les champs manquants depuis l'avis source, le site acheteur ou le DCE.</t>
        </is>
      </c>
      <c r="AS21" t="inlineStr">
        <is>
          <t>SIRET, 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21" t="inlineStr">
        <is>
          <t>Verifier url_avis et DCE si disponible</t>
        </is>
      </c>
      <c r="AV21" t="inlineStr"/>
      <c r="AW21" t="inlineStr"/>
      <c r="AX21" t="inlineStr"/>
      <c r="AY21" t="inlineStr"/>
      <c r="AZ21" t="inlineStr"/>
      <c r="BA21" t="inlineStr"/>
      <c r="BB21" t="inlineStr">
        <is>
          <t>0 pertinence metier faible | +20 budget annualise &lt;= 100 000 EUR | +10 secteur cible Mairie | +10 delai confortable 20j</t>
        </is>
      </c>
      <c r="BC21"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21"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21"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26-74504</t>
        </is>
      </c>
      <c r="C22" t="inlineStr">
        <is>
          <t>chalet DGAC pour le salon du Bourget</t>
        </is>
      </c>
      <c r="D22" t="inlineStr">
        <is>
          <t>SG / SDF2</t>
        </is>
      </c>
      <c r="E22" t="inlineStr">
        <is>
          <t>12006401900074</t>
        </is>
      </c>
      <c r="F22" t="inlineStr">
        <is>
          <t>120064019</t>
        </is>
      </c>
      <c r="G22" t="inlineStr">
        <is>
          <t>SDF2 - Pole achats et marchés</t>
        </is>
      </c>
      <c r="H22" t="inlineStr"/>
      <c r="I22" t="inlineStr">
        <is>
          <t>pmi-dgac@aviation-civile.gouv.fr</t>
        </is>
      </c>
      <c r="J22" t="inlineStr">
        <is>
          <t>0640190007</t>
        </is>
      </c>
      <c r="K22" t="inlineStr">
        <is>
          <t>Le parc des expositions de Paris-Le Bourget, aéroport Paris-Le Bourget, 93 350 Le Bourget</t>
        </is>
      </c>
      <c r="L22" t="inlineStr">
        <is>
          <t>75720</t>
        </is>
      </c>
      <c r="M22" t="inlineStr">
        <is>
          <t>Paris Cedex 15</t>
        </is>
      </c>
      <c r="N22" t="inlineStr">
        <is>
          <t>75,93</t>
        </is>
      </c>
      <c r="O22" t="inlineStr"/>
      <c r="P22" t="inlineStr">
        <is>
          <t>Ile-de-France</t>
        </is>
      </c>
      <c r="Q22" s="14" t="n">
        <v>46227</v>
      </c>
      <c r="R22" s="14" t="n">
        <v>46279</v>
      </c>
      <c r="S22" s="15" t="n">
        <v>570000</v>
      </c>
      <c r="T22" t="inlineStr">
        <is>
          <t>BUDGET_EXPLICITE_OK</t>
        </is>
      </c>
      <c r="U22" t="inlineStr">
        <is>
          <t>285000</t>
        </is>
      </c>
      <c r="V22" t="inlineStr">
        <is>
          <t>oui</t>
        </is>
      </c>
      <c r="W22" t="inlineStr">
        <is>
          <t>Personnel</t>
        </is>
      </c>
      <c r="X22" t="inlineStr">
        <is>
          <t>Autre</t>
        </is>
      </c>
      <c r="Y22" t="inlineStr">
        <is>
          <t>TRAVAUX</t>
        </is>
      </c>
      <c r="Z22" t="inlineStr">
        <is>
          <t>Procédure Ouverte</t>
        </is>
      </c>
      <c r="AA22" t="inlineStr">
        <is>
          <t>Avis de marché</t>
        </is>
      </c>
      <c r="AB22" t="inlineStr">
        <is>
          <t>Stand, Evénementiel</t>
        </is>
      </c>
      <c r="AC22" t="inlineStr">
        <is>
          <t>['environnementaux']</t>
        </is>
      </c>
      <c r="AD22" s="10" t="inlineStr">
        <is>
          <t>https://www.boamp.fr/pages/avis/?q=idweb:26-74504</t>
        </is>
      </c>
      <c r="AE22" t="inlineStr">
        <is>
          <t>https://www.marches-publics.gouv.fr/entreprise/consultation/3043184?orgAcronyme=d4t</t>
        </is>
      </c>
      <c r="AF22" t="inlineStr">
        <is>
          <t>https://www.marches-publics.gouv.fr/entreprise/consultation/3043184?orgAcronyme=d4t</t>
        </is>
      </c>
      <c r="AG22" t="inlineStr">
        <is>
          <t>nettoyage</t>
        </is>
      </c>
      <c r="AH22" t="inlineStr">
        <is>
          <t>6</t>
        </is>
      </c>
      <c r="AI22" t="inlineStr">
        <is>
          <t>98</t>
        </is>
      </c>
      <c r="AJ22" t="inlineStr">
        <is>
          <t>INFO_COMPLETE</t>
        </is>
      </c>
      <c r="AK22" t="inlineStr">
        <is>
          <t>35</t>
        </is>
      </c>
      <c r="AL22" s="16" t="inlineStr">
        <is>
          <t>FROID</t>
        </is>
      </c>
      <c r="AM22" t="inlineStr"/>
      <c r="AN22" t="inlineStr"/>
      <c r="AO22" t="inlineStr"/>
      <c r="AP22" t="inlineStr"/>
      <c r="AQ22" t="inlineStr">
        <is>
          <t>IA_CONTROLE_SOURCE</t>
        </is>
      </c>
      <c r="AR22" t="inlineStr">
        <is>
          <t>Verifier rapidement la source avant contact.</t>
        </is>
      </c>
      <c r="AS22" t="inlineStr">
        <is>
          <t>Aucun champ critique manquant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26-74504. Objet: chalet DGAC pour le salon du Bourget. Acheteur: SG / SDF2. Lien: https://www.boamp.fr/pages/avis/?q=idweb:26-74504.</t>
        </is>
      </c>
      <c r="AU22" t="inlineStr">
        <is>
          <t>Verifier url_avis et DCE si disponible</t>
        </is>
      </c>
      <c r="AV22" t="inlineStr"/>
      <c r="AW22" t="inlineStr"/>
      <c r="AX22" t="inlineStr"/>
      <c r="AY22" t="inlineStr"/>
      <c r="AZ22" t="inlineStr"/>
      <c r="BA22" t="inlineStr"/>
      <c r="BB22" t="inlineStr">
        <is>
          <t>+35 nettoyage + categorie claire | -10 budget annualise &lt;= 500 000 EUR | +10 delai confortable 48j</t>
        </is>
      </c>
      <c r="BC22" t="inlineStr">
        <is>
          <t>SG / SDF2 publie un AO potentiellement pertinent pour CHRUTH : chalet DGAC pour le salon du Bourget. Zone : Paris Cedex 15. Budget detecte environ 570 000 EUR. Verifier le lien source avant contact.</t>
        </is>
      </c>
      <c r="BD22" t="inlineStr">
        <is>
          <t>Bonjour,
Je me permets de vous contacter au sujet de votre appel d'offres : chalet DGAC pour le salon du Bourget.
CHRUTH accompagne les structures publiques et privées sur les besoins de nettoyage, d'entretien des locaux et d'organisation de prestations de service.
Serait-il possible d'échanger rapidement afin de vérifier les modalités de réponse et les attentes de SG / SDF2 ?
Cordialement,</t>
        </is>
      </c>
      <c r="BE22" t="inlineStr">
        <is>
          <t>Bonjour, je vous appelle concernant un appel d'offres publié par SG / SDF2.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2026-W30</t>
        </is>
      </c>
    </row>
    <row r="23">
      <c r="A23" t="inlineStr">
        <is>
          <t>BOAMP</t>
        </is>
      </c>
      <c r="B23" t="inlineStr">
        <is>
          <t>26-73442</t>
        </is>
      </c>
      <c r="C23" t="inlineStr">
        <is>
          <t>Travaux de menuiseries extérieures et de vitrerie dans les bâtiments communaux</t>
        </is>
      </c>
      <c r="D23" t="inlineStr">
        <is>
          <t>Ville de Montrouge
Direction des bâtiments, énergie et propreté 
43 avenue de la République
92120 MONTROUGE</t>
        </is>
      </c>
      <c r="E23" t="inlineStr">
        <is>
          <t>21920049000015</t>
        </is>
      </c>
      <c r="F23" t="inlineStr">
        <is>
          <t>219200490</t>
        </is>
      </c>
      <c r="G23" t="inlineStr"/>
      <c r="H23" t="inlineStr"/>
      <c r="I23" t="inlineStr">
        <is>
          <t>o.satouri@ville-montrouge.fr</t>
        </is>
      </c>
      <c r="J23" t="inlineStr">
        <is>
          <t>0146127540</t>
        </is>
      </c>
      <c r="K23" t="inlineStr"/>
      <c r="L23" t="inlineStr"/>
      <c r="M23" t="inlineStr"/>
      <c r="N23" t="inlineStr">
        <is>
          <t>92,75</t>
        </is>
      </c>
      <c r="O23" t="inlineStr"/>
      <c r="P23" t="inlineStr">
        <is>
          <t>Ile-de-France</t>
        </is>
      </c>
      <c r="Q23" s="14" t="n">
        <v>46227</v>
      </c>
      <c r="R23" s="14" t="n">
        <v>46293</v>
      </c>
      <c r="S23" s="15" t="n">
        <v>3200000</v>
      </c>
      <c r="T23" t="inlineStr">
        <is>
          <t>BUDGET_EXPLICITE_OK</t>
        </is>
      </c>
      <c r="U23" t="inlineStr">
        <is>
          <t>3200000.0</t>
        </is>
      </c>
      <c r="V23" t="inlineStr">
        <is>
          <t>non</t>
        </is>
      </c>
      <c r="W23" t="inlineStr">
        <is>
          <t>Vitres</t>
        </is>
      </c>
      <c r="X23" t="inlineStr">
        <is>
          <t>Mairie</t>
        </is>
      </c>
      <c r="Y23" t="inlineStr">
        <is>
          <t>TRAVAUX</t>
        </is>
      </c>
      <c r="Z23" t="inlineStr">
        <is>
          <t>Procédure Ouverte</t>
        </is>
      </c>
      <c r="AA23" t="inlineStr">
        <is>
          <t>Avis de marché</t>
        </is>
      </c>
      <c r="AB23" t="inlineStr">
        <is>
          <t>Menuiserie</t>
        </is>
      </c>
      <c r="AC23" t="inlineStr">
        <is>
          <t>['environnementaux']</t>
        </is>
      </c>
      <c r="AD23" s="10" t="inlineStr">
        <is>
          <t>https://www.boamp.fr/pages/avis/?q=idweb:26-73442</t>
        </is>
      </c>
      <c r="AE23" t="inlineStr">
        <is>
          <t>https://www.achatpublic.com/sdm/ent/gen/ent_detail.do?PCSLID=CSL_2026_YLyiWdUZqH</t>
        </is>
      </c>
      <c r="AF23" t="inlineStr">
        <is>
          <t>https://www.achatpublic.com/sdm/ent/gen/ent_detail.do?PCSLID=CSL_2026_YLyiWdUZqH</t>
        </is>
      </c>
      <c r="AG23" t="inlineStr">
        <is>
          <t>proprete</t>
        </is>
      </c>
      <c r="AH23" t="inlineStr">
        <is>
          <t>3</t>
        </is>
      </c>
      <c r="AI23" t="inlineStr">
        <is>
          <t>68</t>
        </is>
      </c>
      <c r="AJ23" t="inlineStr">
        <is>
          <t>INFO_PARTIELLE</t>
        </is>
      </c>
      <c r="AK23" t="inlineStr">
        <is>
          <t>35</t>
        </is>
      </c>
      <c r="AL23" s="16" t="inlineStr">
        <is>
          <t>FROID</t>
        </is>
      </c>
      <c r="AM23" t="inlineStr"/>
      <c r="AN23" t="inlineStr"/>
      <c r="AO23" t="inlineStr"/>
      <c r="AP23" t="inlineStr"/>
      <c r="AQ23" t="inlineStr">
        <is>
          <t>IA_CONTACT_A_COMPLETER</t>
        </is>
      </c>
      <c r="AR23" t="inlineStr">
        <is>
          <t>Completer les champs manquants depuis l'avis source, le site acheteur ou le DCE.</t>
        </is>
      </c>
      <c r="AS23" t="inlineStr">
        <is>
          <t>adresse, ville</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26-73442. Objet: Travaux de menuiseries extérieures et de vitrerie dans les bâtiments communaux. Acheteur: Ville de Montrouge
Direction des bâtiments, énergie et propreté 
43 avenue de la République
92120 MONTROUGE. Lien: https://www.boamp.fr/pages/avis/?q=idweb:26-73442.</t>
        </is>
      </c>
      <c r="AU23" t="inlineStr">
        <is>
          <t>Verifier url_avis et DCE si disponible</t>
        </is>
      </c>
      <c r="AV23" t="inlineStr"/>
      <c r="AW23" t="inlineStr"/>
      <c r="AX23" t="inlineStr"/>
      <c r="AY23" t="inlineStr"/>
      <c r="AZ23" t="inlineStr"/>
      <c r="BA23" t="inlineStr"/>
      <c r="BB23" t="inlineStr">
        <is>
          <t>+35 nettoyage + categorie claire | -20 gros budget (&gt; 500 000 EUR) | +10 secteur cible Mairie | +10 delai confortable 62j</t>
        </is>
      </c>
      <c r="BC23" t="inlineStr">
        <is>
          <t>Ville de Montrouge
Direction des bâtiments, énergie et propreté 
43 avenue de la République
92120 MONTROUGE publie un AO potentiellement pertinent pour CHRUTH : Travaux de menuiseries extérieures et de vitrerie dans les bâtiments communaux. Zone : 92,75. Budget detecte environ 3 200 000 EUR. Verifier le lien source avant contact.</t>
        </is>
      </c>
      <c r="BD23" t="inlineStr">
        <is>
          <t>Bonjour,
Je me permets de vous contacter au sujet de votre appel d'offres : Travaux de menuiseries extérieures et de vitrerie dans les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Montrouge
Direction des bâtiments, énergie et propreté 
43 avenue de la République
92120 MONTROUGE ?
Cordialement,</t>
        </is>
      </c>
      <c r="BE23" t="inlineStr">
        <is>
          <t>Bonjour, je vous appelle concernant un appel d'offres publié par Ville de Montrouge
Direction des bâtiments, énergie et propreté 
43 avenue de la République
92120 MONTROUGE.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2026-W30</t>
        </is>
      </c>
    </row>
    <row r="24">
      <c r="A24" t="inlineStr">
        <is>
          <t>BOAMP</t>
        </is>
      </c>
      <c r="B24" t="inlineStr">
        <is>
          <t>26-73389</t>
        </is>
      </c>
      <c r="C24" t="inlineStr">
        <is>
          <t>PRESTATIONS DE SECURITE, GARDIENNAGE ET SURETE DES ARENES DE GRAND PARIS SUD</t>
        </is>
      </c>
      <c r="D24" t="inlineStr">
        <is>
          <t>CA GRAND PARIS SUD SEINE ESSONNE SENART</t>
        </is>
      </c>
      <c r="E24" t="inlineStr">
        <is>
          <t>20005922800011</t>
        </is>
      </c>
      <c r="F24" t="inlineStr">
        <is>
          <t>200059228</t>
        </is>
      </c>
      <c r="G24" t="inlineStr"/>
      <c r="H24" t="inlineStr"/>
      <c r="I24" t="inlineStr">
        <is>
          <t>commande.publique@grandparissud.fr</t>
        </is>
      </c>
      <c r="J24" t="inlineStr">
        <is>
          <t>0592280001</t>
        </is>
      </c>
      <c r="K24" t="inlineStr"/>
      <c r="L24" t="inlineStr"/>
      <c r="M24" t="inlineStr"/>
      <c r="N24" t="inlineStr">
        <is>
          <t>91,77</t>
        </is>
      </c>
      <c r="O24" t="inlineStr"/>
      <c r="P24" t="inlineStr">
        <is>
          <t>Ile-de-France</t>
        </is>
      </c>
      <c r="Q24" s="14" t="n">
        <v>46227</v>
      </c>
      <c r="R24" s="14" t="n">
        <v>46293</v>
      </c>
      <c r="S24" s="15" t="n">
        <v>300000</v>
      </c>
      <c r="T24" t="inlineStr">
        <is>
          <t>BUDGET_EXPLICITE_OK</t>
        </is>
      </c>
      <c r="U24" t="inlineStr">
        <is>
          <t>75000</t>
        </is>
      </c>
      <c r="V24" t="inlineStr">
        <is>
          <t>oui</t>
        </is>
      </c>
      <c r="W24" t="inlineStr">
        <is>
          <t>Personnel</t>
        </is>
      </c>
      <c r="X24" t="inlineStr">
        <is>
          <t>Autre</t>
        </is>
      </c>
      <c r="Y24" t="inlineStr">
        <is>
          <t>SERVICES</t>
        </is>
      </c>
      <c r="Z24" t="inlineStr">
        <is>
          <t>Procédure Ouverte</t>
        </is>
      </c>
      <c r="AA24" t="inlineStr">
        <is>
          <t>Avis de marché</t>
        </is>
      </c>
      <c r="AB24" t="inlineStr">
        <is>
          <t>Surveillance</t>
        </is>
      </c>
      <c r="AC24" t="inlineStr">
        <is>
          <t>['sociaux', 'environnementaux']</t>
        </is>
      </c>
      <c r="AD24" s="10" t="inlineStr">
        <is>
          <t>https://www.boamp.fr/pages/avis/?q=idweb:26-73389</t>
        </is>
      </c>
      <c r="AE24" t="inlineStr">
        <is>
          <t>https://www.achatpublic.com/sdm/ent/gen/ent_detail.do?PCSLID=CSL_2026_drUDYVSvmp</t>
        </is>
      </c>
      <c r="AF24" t="inlineStr">
        <is>
          <t>https://www.achatpublic.com/sdm/ent/gen/ent_detail.do?PCSLID=CSL_2026_drUDYVSvmp</t>
        </is>
      </c>
      <c r="AG24" t="inlineStr"/>
      <c r="AH24" t="inlineStr">
        <is>
          <t>3</t>
        </is>
      </c>
      <c r="AI24" t="inlineStr">
        <is>
          <t>60</t>
        </is>
      </c>
      <c r="AJ24" t="inlineStr">
        <is>
          <t>INFO_PARTIELLE</t>
        </is>
      </c>
      <c r="AK24" t="inlineStr">
        <is>
          <t>30</t>
        </is>
      </c>
      <c r="AL24" s="16" t="inlineStr">
        <is>
          <t>FROID</t>
        </is>
      </c>
      <c r="AM24" t="inlineStr"/>
      <c r="AN24" t="inlineStr"/>
      <c r="AO24" t="inlineStr"/>
      <c r="AP24" t="inlineStr"/>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26-73389. Objet: PRESTATIONS DE SECURITE, GARDIENNAGE ET SURETE DES ARENES DE GRAND PARIS SUD. Acheteur: CA GRAND PARIS SUD SEINE ESSONNE SENART. Lien: https://www.boamp.fr/pages/avis/?q=idweb:26-73389.</t>
        </is>
      </c>
      <c r="AU24" t="inlineStr">
        <is>
          <t>Verifier url_avis et DCE si disponible</t>
        </is>
      </c>
      <c r="AV24" t="inlineStr"/>
      <c r="AW24" t="inlineStr"/>
      <c r="AX24" t="inlineStr"/>
      <c r="AY24" t="inlineStr"/>
      <c r="AZ24" t="inlineStr"/>
      <c r="BA24" t="inlineStr"/>
      <c r="BB24" t="inlineStr">
        <is>
          <t>0 pertinence metier faible | +20 budget annualise &lt;= 100 000 EUR | +10 delai confortable 62j</t>
        </is>
      </c>
      <c r="BC24" t="inlineStr">
        <is>
          <t>CA GRAND PARIS SUD SEINE ESSONNE SENART publie un AO potentiellement pertinent pour CHRUTH : PRESTATIONS DE SECURITE, GARDIENNAGE ET SURETE DES ARENES DE GRAND PARIS SUD. Zone : 91,77. Budget detecte environ 300 000 EUR. Verifier le lien source avant contact.</t>
        </is>
      </c>
      <c r="BD24" t="inlineStr">
        <is>
          <t>Bonjour,
Je me permets de vous contacter au sujet de votre appel d'offres : PRESTATIONS DE SECURITE, GARDIENNAGE ET SURETE DES ARENES DE GRAND PARIS SUD.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24"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2026-W30</t>
        </is>
      </c>
    </row>
    <row r="25">
      <c r="A25" t="inlineStr">
        <is>
          <t>BOAMP</t>
        </is>
      </c>
      <c r="B25" t="inlineStr">
        <is>
          <t>26-74661</t>
        </is>
      </c>
      <c r="C25" t="inlineStr">
        <is>
          <t>Services de mise à disposition de personnels temporaires pour le Ccca-Btp</t>
        </is>
      </c>
      <c r="D25" t="inlineStr">
        <is>
          <t>Comité de concertation et de coordination de l'apprentissage du Btp</t>
        </is>
      </c>
      <c r="E25" t="inlineStr">
        <is>
          <t>77568322000104</t>
        </is>
      </c>
      <c r="F25" t="inlineStr">
        <is>
          <t>775683220</t>
        </is>
      </c>
      <c r="G25" t="inlineStr">
        <is>
          <t>cm.pragma9@ccca-btp.fr</t>
        </is>
      </c>
      <c r="H25" t="inlineStr"/>
      <c r="I25" t="inlineStr">
        <is>
          <t>cm.pragma9@ccca-btp.fr</t>
        </is>
      </c>
      <c r="J25" t="inlineStr">
        <is>
          <t>07-24 2026-09</t>
        </is>
      </c>
      <c r="K25" t="inlineStr">
        <is>
          <t>rue du Père Corentin 75014 - PARIS</t>
        </is>
      </c>
      <c r="L25" t="inlineStr">
        <is>
          <t>75014</t>
        </is>
      </c>
      <c r="M25" t="inlineStr">
        <is>
          <t>Paris</t>
        </is>
      </c>
      <c r="N25" t="inlineStr">
        <is>
          <t>75</t>
        </is>
      </c>
      <c r="O25" t="inlineStr"/>
      <c r="P25" t="inlineStr">
        <is>
          <t>Ile-de-France</t>
        </is>
      </c>
      <c r="Q25" s="14" t="n">
        <v>46227</v>
      </c>
      <c r="R25" s="14" t="n">
        <v>46269</v>
      </c>
      <c r="S25" s="15" t="n">
        <v>75014</v>
      </c>
      <c r="T25" t="inlineStr">
        <is>
          <t>BUDGET_SOUS_SEUIL</t>
        </is>
      </c>
      <c r="U25" t="inlineStr">
        <is>
          <t>75014.0</t>
        </is>
      </c>
      <c r="V25" t="inlineStr">
        <is>
          <t>non</t>
        </is>
      </c>
      <c r="W25" t="inlineStr">
        <is>
          <t>Personnel</t>
        </is>
      </c>
      <c r="X25" t="inlineStr">
        <is>
          <t>Autre</t>
        </is>
      </c>
      <c r="Y25" t="inlineStr">
        <is>
          <t>SERVICES</t>
        </is>
      </c>
      <c r="Z25" t="inlineStr">
        <is>
          <t>Procédure Ouverte</t>
        </is>
      </c>
      <c r="AA25" t="inlineStr">
        <is>
          <t>Avis de marché</t>
        </is>
      </c>
      <c r="AB25" t="inlineStr">
        <is>
          <t>Mise à disposition de personnel</t>
        </is>
      </c>
      <c r="AC25" t="inlineStr">
        <is>
          <t>['environnementaux']</t>
        </is>
      </c>
      <c r="AD25" s="10" t="inlineStr">
        <is>
          <t>https://www.boamp.fr/pages/avis/?q=idweb:26-74661</t>
        </is>
      </c>
      <c r="AE25" t="inlineStr">
        <is>
          <t>https://www.marches-publics.info/mpiaws/index.cfm?fuseaction=dematent.login&amp;type=Dce&amp;Idm=1855311</t>
        </is>
      </c>
      <c r="AF25" t="inlineStr">
        <is>
          <t>https://www.marches-publics.info/mpiaws/index.cfm?fuseaction=dematent.login&amp;type=Dce&amp;Idm=1855311</t>
        </is>
      </c>
      <c r="AG25" t="inlineStr"/>
      <c r="AH25" t="inlineStr">
        <is>
          <t>6</t>
        </is>
      </c>
      <c r="AI25" t="inlineStr">
        <is>
          <t>90</t>
        </is>
      </c>
      <c r="AJ25" t="inlineStr">
        <is>
          <t>INFO_PARTIELLE</t>
        </is>
      </c>
      <c r="AK25" t="inlineStr">
        <is>
          <t>30</t>
        </is>
      </c>
      <c r="AL25" s="16" t="inlineStr">
        <is>
          <t>FROID</t>
        </is>
      </c>
      <c r="AM25" t="inlineStr"/>
      <c r="AN25" t="inlineStr"/>
      <c r="AO25" t="inlineStr"/>
      <c r="AP25" t="inlineStr"/>
      <c r="AQ25" t="inlineStr">
        <is>
          <t>IA_CONTROLE_SOURCE</t>
        </is>
      </c>
      <c r="AR25" t="inlineStr">
        <is>
          <t>Verifier rapidement la source avant contact.</t>
        </is>
      </c>
      <c r="AS25" t="inlineStr">
        <is>
          <t>Aucun champ critique manquant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26-74661. Objet: Services de mise à disposition de personnels temporaires pour le Ccca-Btp. Acheteur: Comité de concertation et de coordination de l'apprentissage du Btp. Lien: https://www.boamp.fr/pages/avis/?q=idweb:26-74661.</t>
        </is>
      </c>
      <c r="AU25" t="inlineStr">
        <is>
          <t>Verifier url_avis et DCE si disponible</t>
        </is>
      </c>
      <c r="AV25" t="inlineStr"/>
      <c r="AW25" t="inlineStr"/>
      <c r="AX25" t="inlineStr"/>
      <c r="AY25" t="inlineStr"/>
      <c r="AZ25" t="inlineStr"/>
      <c r="BA25" t="inlineStr"/>
      <c r="BB25" t="inlineStr">
        <is>
          <t>0 pertinence metier faible | +20 budget annualise &lt;= 100 000 EUR | +10 delai confortable 38j</t>
        </is>
      </c>
      <c r="BC25" t="inlineStr">
        <is>
          <t>Comité de concertation et de coordination de l'apprentissage du Btp publie un AO potentiellement pertinent pour CHRUTH : Services de mise à disposition de personnels temporaires pour le Ccca-Btp. Zone : Paris. Budget detecte environ 75 014 EUR. Verifier le lien source avant contact.</t>
        </is>
      </c>
      <c r="BD25" t="inlineStr">
        <is>
          <t>Bonjour,
Je me permets de vous contacter au sujet de votre appel d'offres : Services de mise à disposition de personnels temporaires pour le Ccca-Btp.
CHRUTH accompagne les structures publiques et privées sur les besoins de nettoyage, d'entretien des locaux et d'organisation de prestations de service.
Serait-il possible d'échanger rapidement afin de vérifier les modalités de réponse et les attentes de Comité de concertation et de coordination de l'apprentissage du Btp ?
Cordialement,</t>
        </is>
      </c>
      <c r="BE25" t="inlineStr">
        <is>
          <t>Bonjour, je vous appelle concernant un appel d'offres publié par Comité de concertation et de coordination de l'apprentissage du Btp.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2026-W30</t>
        </is>
      </c>
    </row>
    <row r="26">
      <c r="A26" t="inlineStr">
        <is>
          <t>BOAMP</t>
        </is>
      </c>
      <c r="B26" t="inlineStr">
        <is>
          <t>26-74239</t>
        </is>
      </c>
      <c r="C26" t="inlineStr">
        <is>
          <t>Prestations de nettoyage des loacux et de la vitrerie de la grande chancellerie de la Légion d'honneur et de la maison d'éducation de Saint-Denis</t>
        </is>
      </c>
      <c r="D26" t="inlineStr">
        <is>
          <t>GCLH.</t>
        </is>
      </c>
      <c r="E26" t="inlineStr">
        <is>
          <t>18000001000017</t>
        </is>
      </c>
      <c r="F26" t="inlineStr">
        <is>
          <t>180000010</t>
        </is>
      </c>
      <c r="G26" t="inlineStr"/>
      <c r="H26" t="inlineStr"/>
      <c r="I26" t="inlineStr">
        <is>
          <t>marches@legiondhonneur.fr</t>
        </is>
      </c>
      <c r="J26" t="inlineStr">
        <is>
          <t>0140628348</t>
        </is>
      </c>
      <c r="K26" t="inlineStr"/>
      <c r="L26" t="inlineStr"/>
      <c r="M26" t="inlineStr"/>
      <c r="N26" t="inlineStr">
        <is>
          <t>75,93,78</t>
        </is>
      </c>
      <c r="O26" t="inlineStr"/>
      <c r="P26" t="inlineStr">
        <is>
          <t>Ile-de-France</t>
        </is>
      </c>
      <c r="Q26" s="14" t="n">
        <v>46229</v>
      </c>
      <c r="R26" s="14" t="n">
        <v>46280</v>
      </c>
      <c r="S26" s="15" t="n">
        <v>17750005500013</v>
      </c>
      <c r="T26" t="inlineStr">
        <is>
          <t>BUDGET_EXPLICITE_OK</t>
        </is>
      </c>
      <c r="U26" t="inlineStr">
        <is>
          <t>17750005500013.0</t>
        </is>
      </c>
      <c r="V26" t="inlineStr">
        <is>
          <t>non</t>
        </is>
      </c>
      <c r="W26" t="inlineStr">
        <is>
          <t>Vitres</t>
        </is>
      </c>
      <c r="X26" t="inlineStr">
        <is>
          <t>Autre</t>
        </is>
      </c>
      <c r="Y26" t="inlineStr">
        <is>
          <t>SERVICES</t>
        </is>
      </c>
      <c r="Z26" t="inlineStr">
        <is>
          <t>Procédure Ouverte</t>
        </is>
      </c>
      <c r="AA26" t="inlineStr">
        <is>
          <t>Avis de marché</t>
        </is>
      </c>
      <c r="AB26" t="inlineStr">
        <is>
          <t>Nettoyage de locaux, Vitrerie</t>
        </is>
      </c>
      <c r="AC26" t="inlineStr"/>
      <c r="AD26" s="10" t="inlineStr">
        <is>
          <t>https://www.boamp.fr/pages/avis/?q=idweb:26-74239</t>
        </is>
      </c>
      <c r="AE26" t="inlineStr">
        <is>
          <t>https://www.marches-publics.gouv.fr/entreprise</t>
        </is>
      </c>
      <c r="AF26" t="inlineStr">
        <is>
          <t>https://www.marches-publics.gouv.fr/entreprise</t>
        </is>
      </c>
      <c r="AG26" t="inlineStr">
        <is>
          <t>nettoyage, entretien des locaux</t>
        </is>
      </c>
      <c r="AH26" t="inlineStr">
        <is>
          <t>3</t>
        </is>
      </c>
      <c r="AI26" t="inlineStr">
        <is>
          <t>76</t>
        </is>
      </c>
      <c r="AJ26" t="inlineStr">
        <is>
          <t>INFO_PARTIELLE</t>
        </is>
      </c>
      <c r="AK26" t="inlineStr">
        <is>
          <t>25</t>
        </is>
      </c>
      <c r="AL26" s="16" t="inlineStr">
        <is>
          <t>FROID</t>
        </is>
      </c>
      <c r="AM26" t="inlineStr"/>
      <c r="AN26" t="inlineStr"/>
      <c r="AO26" t="inlineStr"/>
      <c r="AP26" t="inlineStr"/>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26-74239. Objet: Prestations de nettoyage des loacux et de la vitrerie de la grande chancellerie de la Légion d'honneur et de la maison d'éducation de Saint-Denis. Acheteur: GCLH.. Lien: https://www.boamp.fr/pages/avis/?q=idweb:26-74239.</t>
        </is>
      </c>
      <c r="AU26" t="inlineStr">
        <is>
          <t>Verifier url_avis et DCE si disponible</t>
        </is>
      </c>
      <c r="AV26" t="inlineStr"/>
      <c r="AW26" t="inlineStr"/>
      <c r="AX26" t="inlineStr"/>
      <c r="AY26" t="inlineStr"/>
      <c r="AZ26" t="inlineStr"/>
      <c r="BA26" t="inlineStr"/>
      <c r="BB26" t="inlineStr">
        <is>
          <t>+35 nettoyage + categorie claire | -20 gros budget (&gt; 500 000 EUR) | +10 delai confortable 49j</t>
        </is>
      </c>
      <c r="BC26" t="inlineStr">
        <is>
          <t>GCLH. publie un AO potentiellement pertinent pour CHRUTH : Prestations de nettoyage des loacux et de la vitrerie de la grande chancellerie de la Légion d'honneur et de la maison d'éducation de Saint-Denis. Zone : 75,93,78. Budget detecte environ 17 750 005 500 013 EUR. Verifier le lien source avant contact.</t>
        </is>
      </c>
      <c r="BD26" t="inlineStr">
        <is>
          <t>Bonjour,
Je me permets de vous contacter au sujet de votre appel d'offres : Prestations de nettoyage des loacux et de la vitrerie de la grande chancellerie de la Légion d'honneur et de la maison d'éducation de Saint-Denis.
CHRUTH accompagne les structures publiques et privées sur les besoins de nettoyage, d'entretien des locaux et d'organisation de prestations de service.
Serait-il possible d'échanger rapidement afin de vérifier les modalités de réponse et les attentes de GCLH. ?
Cordialement,</t>
        </is>
      </c>
      <c r="BE26" t="inlineStr">
        <is>
          <t>Bonjour, je vous appelle concernant un appel d'offres publié par GCLH..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2026-W30</t>
        </is>
      </c>
    </row>
    <row r="27">
      <c r="A27" t="inlineStr">
        <is>
          <t>BOAMP</t>
        </is>
      </c>
      <c r="B27" t="inlineStr">
        <is>
          <t>26-73266</t>
        </is>
      </c>
      <c r="C27" t="inlineStr">
        <is>
          <t>PRESTATIONS DE NETTOYAGE DES SITES DE L'ENFANCE</t>
        </is>
      </c>
      <c r="D27" t="inlineStr">
        <is>
          <t>Département du Val-de-Marne</t>
        </is>
      </c>
      <c r="E27" t="inlineStr">
        <is>
          <t>22940028800010</t>
        </is>
      </c>
      <c r="F27" t="inlineStr">
        <is>
          <t>229400288</t>
        </is>
      </c>
      <c r="G27" t="inlineStr"/>
      <c r="H27" t="inlineStr"/>
      <c r="I27" t="inlineStr">
        <is>
          <t>dl@valdemarne.fr</t>
        </is>
      </c>
      <c r="J27" t="inlineStr">
        <is>
          <t>0704900017</t>
        </is>
      </c>
      <c r="K27" t="inlineStr"/>
      <c r="L27" t="inlineStr"/>
      <c r="M27" t="inlineStr"/>
      <c r="N27" t="inlineStr">
        <is>
          <t>94</t>
        </is>
      </c>
      <c r="O27" t="inlineStr"/>
      <c r="P27" t="inlineStr">
        <is>
          <t>Ile-de-France</t>
        </is>
      </c>
      <c r="Q27" s="14" t="n">
        <v>46227</v>
      </c>
      <c r="R27" s="14" t="n">
        <v>46289</v>
      </c>
      <c r="S27" s="15" t="n">
        <v>15520000</v>
      </c>
      <c r="T27" t="inlineStr">
        <is>
          <t>BUDGET_EXPLICITE_OK</t>
        </is>
      </c>
      <c r="U27" t="inlineStr">
        <is>
          <t>93120000</t>
        </is>
      </c>
      <c r="V27" t="inlineStr">
        <is>
          <t>oui</t>
        </is>
      </c>
      <c r="W27" t="inlineStr">
        <is>
          <t>Batiments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0" t="inlineStr">
        <is>
          <t>https://www.boamp.fr/pages/avis/?q=idweb:26-73266</t>
        </is>
      </c>
      <c r="AE27" t="inlineStr">
        <is>
          <t>http://www.maximilien.fr</t>
        </is>
      </c>
      <c r="AF27" t="inlineStr">
        <is>
          <t>http://www.maximilien.fr</t>
        </is>
      </c>
      <c r="AG27" t="inlineStr">
        <is>
          <t>nettoyage, proprete, proprete des locaux</t>
        </is>
      </c>
      <c r="AH27" t="inlineStr">
        <is>
          <t>3</t>
        </is>
      </c>
      <c r="AI27" t="inlineStr">
        <is>
          <t>80</t>
        </is>
      </c>
      <c r="AJ27" t="inlineStr">
        <is>
          <t>INFO_PARTIELLE</t>
        </is>
      </c>
      <c r="AK27" t="inlineStr">
        <is>
          <t>25</t>
        </is>
      </c>
      <c r="AL27" s="16" t="inlineStr">
        <is>
          <t>FROID</t>
        </is>
      </c>
      <c r="AM27" t="inlineStr"/>
      <c r="AN27" t="inlineStr"/>
      <c r="AO27" t="inlineStr"/>
      <c r="AP27" t="inlineStr"/>
      <c r="AQ27" t="inlineStr">
        <is>
          <t>IA_CONTACT_A_COMPLETER</t>
        </is>
      </c>
      <c r="AR27" t="inlineStr">
        <is>
          <t>Completer les champs manquants depuis l'avis source, le site acheteur ou le DCE.</t>
        </is>
      </c>
      <c r="AS27" t="inlineStr">
        <is>
          <t>adresse, ville</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26-73266. Objet: PRESTATIONS DE NETTOYAGE DES SITES DE L'ENFANCE. Acheteur: Département du Val-de-Marne. Lien: https://www.boamp.fr/pages/avis/?q=idweb:26-73266.</t>
        </is>
      </c>
      <c r="AU27" t="inlineStr">
        <is>
          <t>Verifier url_avis et DCE si disponible</t>
        </is>
      </c>
      <c r="AV27" t="inlineStr"/>
      <c r="AW27" t="inlineStr"/>
      <c r="AX27" t="inlineStr"/>
      <c r="AY27" t="inlineStr"/>
      <c r="AZ27" t="inlineStr"/>
      <c r="BA27" t="inlineStr"/>
      <c r="BB27" t="inlineStr">
        <is>
          <t>+35 nettoyage + categorie claire | -20 gros budget (&gt; 500 000 EUR) | +10 delai confortable 58j</t>
        </is>
      </c>
      <c r="BC27" t="inlineStr">
        <is>
          <t>Département du Val-de-Marne publie un AO potentiellement pertinent pour CHRUTH : PRESTATIONS DE NETTOYAGE DES SITES DE L'ENFANCE. Zone : 94. Budget detecte environ 15 520 000 EUR. Verifier le lien source avant contact.</t>
        </is>
      </c>
      <c r="BD27" t="inlineStr">
        <is>
          <t>Bonjour,
Je me permets de vous contacter au sujet de votre appel d'offres : PRESTATIONS DE NETTOYAGE DES SITES DE L'ENFANCE.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27"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26-70752</t>
        </is>
      </c>
      <c r="C28" t="inlineStr">
        <is>
          <t>Nettoyage des locaux et de la vitrerie des bâtiments intercommunaux de l'agglomération Roissy Pays de France</t>
        </is>
      </c>
      <c r="D28" t="inlineStr">
        <is>
          <t>Agglomération Roissy Pays de France</t>
        </is>
      </c>
      <c r="E28" t="inlineStr"/>
      <c r="F28" t="inlineStr"/>
      <c r="G28" t="inlineStr"/>
      <c r="H28" t="inlineStr"/>
      <c r="I28" t="inlineStr">
        <is>
          <t>publications-joue@aws-france.com</t>
        </is>
      </c>
      <c r="J28" t="inlineStr">
        <is>
          <t>+33480041260</t>
        </is>
      </c>
      <c r="K28" t="inlineStr"/>
      <c r="L28" t="inlineStr"/>
      <c r="M28" t="inlineStr"/>
      <c r="N28" t="inlineStr">
        <is>
          <t>95</t>
        </is>
      </c>
      <c r="O28" t="inlineStr"/>
      <c r="P28" t="inlineStr">
        <is>
          <t>Ile-de-France</t>
        </is>
      </c>
      <c r="Q28" s="14" t="n">
        <v>46220</v>
      </c>
      <c r="R28" s="14" t="n">
        <v>46280</v>
      </c>
      <c r="S28" s="15" t="n">
        <v>4000000</v>
      </c>
      <c r="T28" t="inlineStr">
        <is>
          <t>BUDGET_EXPLICITE_OK</t>
        </is>
      </c>
      <c r="U28" t="inlineStr">
        <is>
          <t>1333333</t>
        </is>
      </c>
      <c r="V28" t="inlineStr">
        <is>
          <t>oui</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0" t="inlineStr">
        <is>
          <t>https://www.boamp.fr/pages/avis/?q=idweb:26-70752</t>
        </is>
      </c>
      <c r="AE28" t="inlineStr">
        <is>
          <t>https://www.marches-publics.info/mpiaws/index.cfm?fuseaction=dematEnt.login&amp;amp;type=DCE&amp;amp;IDM=1850945</t>
        </is>
      </c>
      <c r="AF28" t="inlineStr">
        <is>
          <t>https://www.marches-publics.info/mpiaws/index.cfm?fuseaction=dematEnt.login&amp;amp;type=DCE&amp;amp;IDM=1850945</t>
        </is>
      </c>
      <c r="AG28" t="inlineStr">
        <is>
          <t>nettoyage</t>
        </is>
      </c>
      <c r="AH28" t="inlineStr">
        <is>
          <t>2</t>
        </is>
      </c>
      <c r="AI28" t="inlineStr">
        <is>
          <t>58</t>
        </is>
      </c>
      <c r="AJ28" t="inlineStr">
        <is>
          <t>INFO_PARTIELLE</t>
        </is>
      </c>
      <c r="AK28" t="inlineStr">
        <is>
          <t>25</t>
        </is>
      </c>
      <c r="AL28" s="16" t="inlineStr">
        <is>
          <t>FROID</t>
        </is>
      </c>
      <c r="AM28" t="inlineStr"/>
      <c r="AN28" t="inlineStr"/>
      <c r="AO28" t="inlineStr"/>
      <c r="AP28" t="inlineStr"/>
      <c r="AQ28" t="inlineStr">
        <is>
          <t>IA_CONTACT_A_COMPLETER</t>
        </is>
      </c>
      <c r="AR28" t="inlineStr">
        <is>
          <t>Completer les champs manquants depuis l'avis source, le site acheteur ou le DCE.</t>
        </is>
      </c>
      <c r="AS28" t="inlineStr">
        <is>
          <t>SIRET, adresse, ville</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26-70752. Objet: Nettoyage des locaux et de la vitrerie des bâtiments intercommunaux de l'agglomération Roissy Pays de France. Acheteur: Agglomération Roissy Pays de France. Lien: https://www.boamp.fr/pages/avis/?q=idweb:26-70752.</t>
        </is>
      </c>
      <c r="AU28" t="inlineStr">
        <is>
          <t>Verifier url_avis et DCE si disponible</t>
        </is>
      </c>
      <c r="AV28" t="inlineStr"/>
      <c r="AW28" t="inlineStr"/>
      <c r="AX28" t="inlineStr"/>
      <c r="AY28" t="inlineStr"/>
      <c r="AZ28" t="inlineStr"/>
      <c r="BA28" t="inlineStr"/>
      <c r="BB28" t="inlineStr">
        <is>
          <t>+35 nettoyage + categorie claire | -20 gros budget (&gt; 500 000 EUR) | +10 delai confortable 49j</t>
        </is>
      </c>
      <c r="BC28" t="inlineStr">
        <is>
          <t>Agglomération Roissy Pays de France publie un AO potentiellement pertinent pour CHRUTH : Nettoyage des locaux et de la vitrerie des bâtiments intercommunaux de l'agglomération Roissy Pays de France. Zone : 95. Budget detecte environ 4 000 000 EUR. Verifier le lien source avant contact.</t>
        </is>
      </c>
      <c r="BD28" t="inlineStr">
        <is>
          <t>Bonjour,
Je me permets de vous contacter au sujet de votre appel d'offres : Nettoyage des locaux et de la vitrerie des bâtiments intercommunaux de l'agglomération Roissy Pays de France.
CHRUTH accompagne les structures publiques et privées sur les besoins de nettoyage, d'entretien des locaux et d'organisation de prestations de service.
Serait-il possible d'échanger rapidement afin de vérifier les modalités de réponse et les attentes de Agglomération Roissy Pays de France ?
Cordialement,</t>
        </is>
      </c>
      <c r="BE28" t="inlineStr">
        <is>
          <t>Bonjour, je vous appelle concernant un appel d'offres publié par Agglomération Roissy Pays de France.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2026-W29</t>
        </is>
      </c>
    </row>
    <row r="29">
      <c r="A29" t="inlineStr">
        <is>
          <t>BOAMP</t>
        </is>
      </c>
      <c r="B29" t="inlineStr">
        <is>
          <t>26-70841</t>
        </is>
      </c>
      <c r="C29" t="inlineStr">
        <is>
          <t>Prestations d'hébergement de l'Espace d'exposition faisant partie du pavillon Occitanie pour le 56e Salon International de l'Aéronautique et de l'Espace Paris - Relance consultation 26OCC09L</t>
        </is>
      </c>
      <c r="D29" t="inlineStr">
        <is>
          <t>CCI OCCITANIE PYRENEES-MEDITERRANEE</t>
        </is>
      </c>
      <c r="E29" t="inlineStr"/>
      <c r="F29" t="inlineStr"/>
      <c r="G29" t="inlineStr"/>
      <c r="H29" t="inlineStr"/>
      <c r="I29" t="inlineStr">
        <is>
          <t>publications-joue@aws-france.com</t>
        </is>
      </c>
      <c r="J29" t="inlineStr">
        <is>
          <t>+33480041260</t>
        </is>
      </c>
      <c r="K29" t="inlineStr"/>
      <c r="L29" t="inlineStr"/>
      <c r="M29" t="inlineStr"/>
      <c r="N29" t="inlineStr">
        <is>
          <t>75</t>
        </is>
      </c>
      <c r="O29" t="inlineStr"/>
      <c r="P29" t="inlineStr">
        <is>
          <t>Ile-de-France</t>
        </is>
      </c>
      <c r="Q29" s="14" t="n">
        <v>46220</v>
      </c>
      <c r="R29" s="14" t="n">
        <v>46251</v>
      </c>
      <c r="S29" t="inlineStr"/>
      <c r="T29" t="inlineStr">
        <is>
          <t>A_VERIFIER_BUDGET</t>
        </is>
      </c>
      <c r="U29" t="inlineStr"/>
      <c r="V29" t="inlineStr">
        <is>
          <t>non</t>
        </is>
      </c>
      <c r="W29" t="inlineStr">
        <is>
          <t>Personnel</t>
        </is>
      </c>
      <c r="X29" t="inlineStr">
        <is>
          <t>Autre</t>
        </is>
      </c>
      <c r="Y29" t="inlineStr">
        <is>
          <t>SERVICES</t>
        </is>
      </c>
      <c r="Z29" t="inlineStr">
        <is>
          <t>Procédure Ouverte</t>
        </is>
      </c>
      <c r="AA29" t="inlineStr">
        <is>
          <t>Avis de marché</t>
        </is>
      </c>
      <c r="AB29" t="inlineStr">
        <is>
          <t>Evénementiel</t>
        </is>
      </c>
      <c r="AC29" t="inlineStr"/>
      <c r="AD29" s="10" t="inlineStr">
        <is>
          <t>https://www.boamp.fr/pages/avis/?q=idweb:26-70841</t>
        </is>
      </c>
      <c r="AE29" t="inlineStr">
        <is>
          <t>https://www.marches-publics.gouv.fr/entreprise</t>
        </is>
      </c>
      <c r="AF29" t="inlineStr">
        <is>
          <t>https://www.marches-publics.gouv.fr/entreprise</t>
        </is>
      </c>
      <c r="AG29" t="inlineStr"/>
      <c r="AH29" t="inlineStr">
        <is>
          <t>2</t>
        </is>
      </c>
      <c r="AI29" t="inlineStr">
        <is>
          <t>50</t>
        </is>
      </c>
      <c r="AJ29" t="inlineStr">
        <is>
          <t>INFO_PARTIELLE</t>
        </is>
      </c>
      <c r="AK29" t="inlineStr">
        <is>
          <t>20</t>
        </is>
      </c>
      <c r="AL29" s="16" t="inlineStr">
        <is>
          <t>FROID</t>
        </is>
      </c>
      <c r="AM29" t="inlineStr"/>
      <c r="AN29" t="inlineStr"/>
      <c r="AO29" t="inlineStr"/>
      <c r="AP29" t="inlineStr"/>
      <c r="AQ29" t="inlineStr">
        <is>
          <t>IA_BUDGET_A_VERIFIER</t>
        </is>
      </c>
      <c r="AR29" t="inlineStr">
        <is>
          <t>Verifier le budget dans l'avis source ou le DCE avant decision commerciale.</t>
        </is>
      </c>
      <c r="AS29" t="inlineStr">
        <is>
          <t>SIRET, 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29" t="inlineStr">
        <is>
          <t>Verifier url_avis et DCE si disponible</t>
        </is>
      </c>
      <c r="AV29" t="inlineStr">
        <is>
          <t>LIEN_SEUL</t>
        </is>
      </c>
      <c r="AW29" t="inlineStr"/>
      <c r="AX29" t="inlineStr"/>
      <c r="AY29" t="inlineStr"/>
      <c r="AZ29" t="inlineStr"/>
      <c r="BA29" t="inlineStr"/>
      <c r="BB29" t="inlineStr">
        <is>
          <t>0 pertinence metier faible | +10 budget non affiche (a verifier) | +10 delai confortable 20j</t>
        </is>
      </c>
      <c r="BC29"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29"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29"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26-70040</t>
        </is>
      </c>
      <c r="C30" t="inlineStr">
        <is>
          <t>Prestations de gardiennage et sécurité incendie pour le campus HEC Paris</t>
        </is>
      </c>
      <c r="D30" t="inlineStr">
        <is>
          <t>HEC Paris</t>
        </is>
      </c>
      <c r="E30" t="inlineStr"/>
      <c r="F30" t="inlineStr"/>
      <c r="G30" t="inlineStr"/>
      <c r="H30" t="inlineStr"/>
      <c r="I30" t="inlineStr">
        <is>
          <t>publications-joue@aws-france.com</t>
        </is>
      </c>
      <c r="J30" t="inlineStr">
        <is>
          <t>+33480041260</t>
        </is>
      </c>
      <c r="K30" t="inlineStr"/>
      <c r="L30" t="inlineStr"/>
      <c r="M30" t="inlineStr"/>
      <c r="N30" t="inlineStr">
        <is>
          <t>78</t>
        </is>
      </c>
      <c r="O30" t="inlineStr"/>
      <c r="P30" t="inlineStr">
        <is>
          <t>Ile-de-France</t>
        </is>
      </c>
      <c r="Q30" s="14" t="n">
        <v>46218</v>
      </c>
      <c r="R30" s="14" t="n">
        <v>46282</v>
      </c>
      <c r="S30" t="inlineStr"/>
      <c r="T30" t="inlineStr">
        <is>
          <t>A_VERIFIER_BUDGET</t>
        </is>
      </c>
      <c r="U30" t="inlineStr"/>
      <c r="V30" t="inlineStr">
        <is>
          <t>non</t>
        </is>
      </c>
      <c r="W30" t="inlineStr">
        <is>
          <t>Personnel</t>
        </is>
      </c>
      <c r="X30" t="inlineStr">
        <is>
          <t>Autre</t>
        </is>
      </c>
      <c r="Y30" t="inlineStr">
        <is>
          <t>SERVICES</t>
        </is>
      </c>
      <c r="Z30" t="inlineStr">
        <is>
          <t>Procédure Ouverte</t>
        </is>
      </c>
      <c r="AA30" t="inlineStr">
        <is>
          <t>Avis de marché</t>
        </is>
      </c>
      <c r="AB30" t="inlineStr">
        <is>
          <t>Sécurité incendie, Gardiennage</t>
        </is>
      </c>
      <c r="AC30" t="inlineStr">
        <is>
          <t>['sociaux', 'environnementaux']</t>
        </is>
      </c>
      <c r="AD30" s="10" t="inlineStr">
        <is>
          <t>https://www.boamp.fr/pages/avis/?q=idweb:26-70040</t>
        </is>
      </c>
      <c r="AE30" t="inlineStr">
        <is>
          <t>https://www.marches-publics.info/mpiaws/index.cfm?fuseaction=dematEnt.login&amp;amp;type=DCE&amp;amp;IDM=1850314</t>
        </is>
      </c>
      <c r="AF30" t="inlineStr">
        <is>
          <t>https://www.marches-publics.info/mpiaws/index.cfm?fuseaction=dematEnt.login&amp;amp;type=DCE&amp;amp;IDM=1850314</t>
        </is>
      </c>
      <c r="AG30" t="inlineStr"/>
      <c r="AH30" t="inlineStr">
        <is>
          <t>2</t>
        </is>
      </c>
      <c r="AI30" t="inlineStr">
        <is>
          <t>50</t>
        </is>
      </c>
      <c r="AJ30" t="inlineStr">
        <is>
          <t>INFO_PARTIELLE</t>
        </is>
      </c>
      <c r="AK30" t="inlineStr">
        <is>
          <t>20</t>
        </is>
      </c>
      <c r="AL30" s="16" t="inlineStr">
        <is>
          <t>FROID</t>
        </is>
      </c>
      <c r="AM30" t="inlineStr"/>
      <c r="AN30" t="inlineStr"/>
      <c r="AO30" t="inlineStr"/>
      <c r="AP30" t="inlineStr"/>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30" t="inlineStr">
        <is>
          <t>Verifier url_avis et DCE si disponible</t>
        </is>
      </c>
      <c r="AV30" t="inlineStr">
        <is>
          <t>LIEN_SEUL</t>
        </is>
      </c>
      <c r="AW30" t="inlineStr"/>
      <c r="AX30" t="inlineStr"/>
      <c r="AY30" t="inlineStr"/>
      <c r="AZ30" t="inlineStr"/>
      <c r="BA30" t="inlineStr"/>
      <c r="BB30" t="inlineStr">
        <is>
          <t>0 pertinence metier faible | +10 budget non affiche (a verifier) | +10 delai confortable 51j</t>
        </is>
      </c>
      <c r="BC30" t="inlineStr">
        <is>
          <t>HEC Paris publie un AO potentiellement pertinent pour CHRUTH : Prestations de gardiennage et sécurité incendie pour le campus HEC Paris. Zone : 78. Budget a verifier. Verifier le lien source avant contact.</t>
        </is>
      </c>
      <c r="BD30"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30"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2026-W29</t>
        </is>
      </c>
    </row>
    <row r="31">
      <c r="A31" t="inlineStr">
        <is>
          <t>BOAMP</t>
        </is>
      </c>
      <c r="B31" t="inlineStr">
        <is>
          <t>26-74389</t>
        </is>
      </c>
      <c r="C31" t="inlineStr">
        <is>
          <t>Prestations de conseil et assistance en UX/UI, en développement, intégration et maintenance des projets numériques en 2 lots</t>
        </is>
      </c>
      <c r="D31" t="inlineStr">
        <is>
          <t>VILLE de PARIS - DFA - SDA</t>
        </is>
      </c>
      <c r="E31" t="inlineStr">
        <is>
          <t>21750001600019</t>
        </is>
      </c>
      <c r="F31" t="inlineStr">
        <is>
          <t>217500016</t>
        </is>
      </c>
      <c r="G31" t="inlineStr"/>
      <c r="H31" t="inlineStr"/>
      <c r="I31" t="inlineStr">
        <is>
          <t>dfa-bm1@paris.fr</t>
        </is>
      </c>
      <c r="J31" t="inlineStr">
        <is>
          <t>+33 171270264</t>
        </is>
      </c>
      <c r="K31" t="inlineStr"/>
      <c r="L31" t="inlineStr"/>
      <c r="M31" t="inlineStr"/>
      <c r="N31" t="inlineStr">
        <is>
          <t>75</t>
        </is>
      </c>
      <c r="O31" t="inlineStr"/>
      <c r="P31" t="inlineStr">
        <is>
          <t>Ile-de-France</t>
        </is>
      </c>
      <c r="Q31" s="14" t="n">
        <v>46229</v>
      </c>
      <c r="R31" s="14" t="n">
        <v>46287</v>
      </c>
      <c r="S31" s="15" t="n">
        <v>600000</v>
      </c>
      <c r="T31" t="inlineStr">
        <is>
          <t>BUDGET_EXPLICITE_OK</t>
        </is>
      </c>
      <c r="U31" t="inlineStr">
        <is>
          <t>1028571</t>
        </is>
      </c>
      <c r="V31" t="inlineStr">
        <is>
          <t>oui</t>
        </is>
      </c>
      <c r="W31" t="inlineStr">
        <is>
          <t>Personnel</t>
        </is>
      </c>
      <c r="X31" t="inlineStr">
        <is>
          <t>Mairie</t>
        </is>
      </c>
      <c r="Y31" t="inlineStr">
        <is>
          <t>SERVICES</t>
        </is>
      </c>
      <c r="Z31" t="inlineStr">
        <is>
          <t>Procédure Ouverte</t>
        </is>
      </c>
      <c r="AA31" t="inlineStr">
        <is>
          <t>Avis de marché</t>
        </is>
      </c>
      <c r="AB31" t="inlineStr">
        <is>
          <t>Gardiennage</t>
        </is>
      </c>
      <c r="AC31" t="inlineStr"/>
      <c r="AD31" s="10" t="inlineStr">
        <is>
          <t>https://www.boamp.fr/pages/avis/?q=idweb:26-74389</t>
        </is>
      </c>
      <c r="AE31" t="inlineStr">
        <is>
          <t>https://marches.maximilien.fr/entreprise/consultation/943956?orgAcronyme=r8t</t>
        </is>
      </c>
      <c r="AF31" t="inlineStr">
        <is>
          <t>https://marches.maximilien.fr/entreprise/consultation/943956?orgAcronyme=r8t</t>
        </is>
      </c>
      <c r="AG31" t="inlineStr"/>
      <c r="AH31" t="inlineStr">
        <is>
          <t>3</t>
        </is>
      </c>
      <c r="AI31" t="inlineStr">
        <is>
          <t>60</t>
        </is>
      </c>
      <c r="AJ31" t="inlineStr">
        <is>
          <t>INFO_PARTIELLE</t>
        </is>
      </c>
      <c r="AK31" t="inlineStr">
        <is>
          <t>15</t>
        </is>
      </c>
      <c r="AL31" s="16" t="inlineStr">
        <is>
          <t>FROID</t>
        </is>
      </c>
      <c r="AM31" t="inlineStr"/>
      <c r="AN31" t="inlineStr"/>
      <c r="AO31" t="inlineStr"/>
      <c r="AP31" t="inlineStr"/>
      <c r="AQ31" t="inlineStr">
        <is>
          <t>IA_CONTACT_A_COMPLETER</t>
        </is>
      </c>
      <c r="AR31" t="inlineStr">
        <is>
          <t>Completer les champs manquants depuis l'avis source, le site acheteur ou le DCE.</t>
        </is>
      </c>
      <c r="AS31" t="inlineStr">
        <is>
          <t>adresse, ville</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26-74389. Objet: Prestations de conseil et assistance en UX/UI, en développement, intégration et maintenance des projets numériques en 2 lots. Acheteur: VILLE de PARIS - DFA - SDA. Lien: https://www.boamp.fr/pages/avis/?q=idweb:26-74389.</t>
        </is>
      </c>
      <c r="AU31" t="inlineStr">
        <is>
          <t>Verifier url_avis et DCE si disponible</t>
        </is>
      </c>
      <c r="AV31" t="inlineStr"/>
      <c r="AW31" t="inlineStr"/>
      <c r="AX31" t="inlineStr"/>
      <c r="AY31" t="inlineStr"/>
      <c r="AZ31" t="inlineStr"/>
      <c r="BA31" t="inlineStr"/>
      <c r="BB31" t="inlineStr">
        <is>
          <t>0 pertinence metier faible | -20 gros budget (&gt; 500 000 EUR) | +15 procedure adaptee / MAPA / allotissement | +10 secteur cible Mairie | +10 delai confortable 56j</t>
        </is>
      </c>
      <c r="BC31" t="inlineStr">
        <is>
          <t>VILLE de PARIS - DFA - SDA publie un AO potentiellement pertinent pour CHRUTH : Prestations de conseil et assistance en UX/UI, en développement, intégration et maintenance des projets numériques en 2 lots. Zone : 75. Budget detecte environ 600 000 EUR. Verifier le lien source avant contact.</t>
        </is>
      </c>
      <c r="BD31" t="inlineStr">
        <is>
          <t>Bonjour,
Je me permets de vous contacter au sujet de votre appel d'offres : Prestations de conseil et assistance en UX/UI, en développement, intégration et maintenance des projets numériques en 2 lots.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31"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2026-W30</t>
        </is>
      </c>
    </row>
    <row r="32">
      <c r="A32" t="inlineStr">
        <is>
          <t>BOAMP</t>
        </is>
      </c>
      <c r="B32" t="inlineStr">
        <is>
          <t>26-73883</t>
        </is>
      </c>
      <c r="C32" t="inlineStr">
        <is>
          <t>Marché n°26.AO.MG.050 - Renfort de personnel au sein du télé-accueil de l'EPT Est Ensemble</t>
        </is>
      </c>
      <c r="D32" t="inlineStr">
        <is>
          <t>Est Ensemble</t>
        </is>
      </c>
      <c r="E32" t="inlineStr">
        <is>
          <t>20005787500011</t>
        </is>
      </c>
      <c r="F32" t="inlineStr">
        <is>
          <t>200057875</t>
        </is>
      </c>
      <c r="G32" t="inlineStr"/>
      <c r="H32" t="inlineStr"/>
      <c r="I32" t="inlineStr">
        <is>
          <t>marchespublics@est-ensemble.fr</t>
        </is>
      </c>
      <c r="J32" t="inlineStr">
        <is>
          <t>0578750001</t>
        </is>
      </c>
      <c r="K32" t="inlineStr"/>
      <c r="L32" t="inlineStr"/>
      <c r="M32" t="inlineStr"/>
      <c r="N32" t="inlineStr">
        <is>
          <t>93,75</t>
        </is>
      </c>
      <c r="O32" t="inlineStr"/>
      <c r="P32" t="inlineStr">
        <is>
          <t>Ile-de-France</t>
        </is>
      </c>
      <c r="Q32" s="14" t="n">
        <v>46228</v>
      </c>
      <c r="R32" s="14" t="n">
        <v>46283</v>
      </c>
      <c r="S32" s="15" t="n">
        <v>600000</v>
      </c>
      <c r="T32" t="inlineStr">
        <is>
          <t>BUDGET_EXPLICITE_OK</t>
        </is>
      </c>
      <c r="U32" t="inlineStr">
        <is>
          <t>150000</t>
        </is>
      </c>
      <c r="V32" t="inlineStr">
        <is>
          <t>oui</t>
        </is>
      </c>
      <c r="W32" t="inlineStr">
        <is>
          <t>Personnel</t>
        </is>
      </c>
      <c r="X32" t="inlineStr">
        <is>
          <t>Autre</t>
        </is>
      </c>
      <c r="Y32" t="inlineStr">
        <is>
          <t>SERVICES</t>
        </is>
      </c>
      <c r="Z32" t="inlineStr">
        <is>
          <t>Procédure Ouverte</t>
        </is>
      </c>
      <c r="AA32" t="inlineStr">
        <is>
          <t>Avis de marché</t>
        </is>
      </c>
      <c r="AB32" t="inlineStr">
        <is>
          <t>Télécommunications, Mise à disposition de personnel</t>
        </is>
      </c>
      <c r="AC32" t="inlineStr"/>
      <c r="AD32" s="10" t="inlineStr">
        <is>
          <t>https://www.boamp.fr/pages/avis/?q=idweb:26-73883</t>
        </is>
      </c>
      <c r="AE32" t="inlineStr">
        <is>
          <t>https://marches.maximilien.fr/?page=Entreprise.EntrepriseAdvancedSearch&amp;AllCons&amp;id=944029&amp;orgAcronyme=v8x</t>
        </is>
      </c>
      <c r="AF32" t="inlineStr">
        <is>
          <t>https://marches.maximilien.fr/?page=Entreprise.EntrepriseAdvancedSearch&amp;AllCons&amp;id=944029&amp;orgAcronyme=v8x</t>
        </is>
      </c>
      <c r="AG32" t="inlineStr"/>
      <c r="AH32" t="inlineStr">
        <is>
          <t>3</t>
        </is>
      </c>
      <c r="AI32" t="inlineStr">
        <is>
          <t>60</t>
        </is>
      </c>
      <c r="AJ32" t="inlineStr">
        <is>
          <t>INFO_PARTIELLE</t>
        </is>
      </c>
      <c r="AK32" t="inlineStr">
        <is>
          <t>15</t>
        </is>
      </c>
      <c r="AL32" s="16" t="inlineStr">
        <is>
          <t>FROID</t>
        </is>
      </c>
      <c r="AM32" t="inlineStr"/>
      <c r="AN32" t="inlineStr"/>
      <c r="AO32" t="inlineStr"/>
      <c r="AP32" t="inlineStr"/>
      <c r="AQ32" t="inlineStr">
        <is>
          <t>IA_CONTACT_A_COMPLETER</t>
        </is>
      </c>
      <c r="AR32" t="inlineStr">
        <is>
          <t>Completer les champs manquants depuis l'avis source, le site acheteur ou le DCE.</t>
        </is>
      </c>
      <c r="AS32" t="inlineStr">
        <is>
          <t>adresse, ville</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26-73883. Objet: Marché n°26.AO.MG.050 - Renfort de personnel au sein du télé-accueil de l'EPT Est Ensemble. Acheteur: Est Ensemble. Lien: https://www.boamp.fr/pages/avis/?q=idweb:26-73883.</t>
        </is>
      </c>
      <c r="AU32" t="inlineStr">
        <is>
          <t>Verifier url_avis et DCE si disponible</t>
        </is>
      </c>
      <c r="AV32" t="inlineStr"/>
      <c r="AW32" t="inlineStr"/>
      <c r="AX32" t="inlineStr"/>
      <c r="AY32" t="inlineStr"/>
      <c r="AZ32" t="inlineStr"/>
      <c r="BA32" t="inlineStr"/>
      <c r="BB32" t="inlineStr">
        <is>
          <t>0 pertinence metier faible | +5 budget annualise &lt;= 200 000 EUR | +10 delai confortable 52j</t>
        </is>
      </c>
      <c r="BC32" t="inlineStr">
        <is>
          <t>Est Ensemble publie un AO potentiellement pertinent pour CHRUTH : Marché n°26.AO.MG.050 - Renfort de personnel au sein du télé-accueil de l'EPT Est Ensemble. Zone : 93,75. Budget detecte environ 600 000 EUR. Verifier le lien source avant contact.</t>
        </is>
      </c>
      <c r="BD32" t="inlineStr">
        <is>
          <t>Bonjour,
Je me permets de vous contacter au sujet de votre appel d'offres : Marché n°26.AO.MG.050 - Renfort de personnel au sein du télé-accueil de l'EPT Est Ensemble.
CHRUTH accompagne les structures publiques et privées sur les besoins de nettoyage, d'entretien des locaux et d'organisation de prestations de service.
Serait-il possible d'échanger rapidement afin de vérifier les modalités de réponse et les attentes de Est Ensemble ?
Cordialement,</t>
        </is>
      </c>
      <c r="BE32" t="inlineStr">
        <is>
          <t>Bonjour, je vous appelle concernant un appel d'offres publié par Est Ensemble.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26-70598</t>
        </is>
      </c>
      <c r="C33" t="inlineStr">
        <is>
          <t>Location et entretien de linge de restauration et de maison pour le compte des Ministères sociaux</t>
        </is>
      </c>
      <c r="D33" t="inlineStr">
        <is>
          <t>Ministères sociaux, DFAS/SDADD</t>
        </is>
      </c>
      <c r="E33" t="inlineStr">
        <is>
          <t>11000201100044</t>
        </is>
      </c>
      <c r="F33" t="inlineStr">
        <is>
          <t>110002011</t>
        </is>
      </c>
      <c r="G33" t="inlineStr"/>
      <c r="H33" t="inlineStr"/>
      <c r="I33" t="inlineStr">
        <is>
          <t>maxime.peyronnet@sg.social.gouv.fr</t>
        </is>
      </c>
      <c r="J33" t="inlineStr">
        <is>
          <t>0201100044</t>
        </is>
      </c>
      <c r="K33" t="inlineStr"/>
      <c r="L33" t="inlineStr"/>
      <c r="M33" t="inlineStr"/>
      <c r="N33" t="inlineStr">
        <is>
          <t>75,77,78,91,92,93,94,95</t>
        </is>
      </c>
      <c r="O33" t="inlineStr"/>
      <c r="P33" t="inlineStr">
        <is>
          <t>Ile-de-France</t>
        </is>
      </c>
      <c r="Q33" s="14" t="n">
        <v>46220</v>
      </c>
      <c r="R33" s="14" t="n">
        <v>46241</v>
      </c>
      <c r="S33" s="15" t="n">
        <v>852000</v>
      </c>
      <c r="T33" t="inlineStr">
        <is>
          <t>BUDGET_EXPLICITE_OK</t>
        </is>
      </c>
      <c r="U33" t="inlineStr">
        <is>
          <t>5112000</t>
        </is>
      </c>
      <c r="V33" t="inlineStr">
        <is>
          <t>oui</t>
        </is>
      </c>
      <c r="W33" t="inlineStr">
        <is>
          <t>Mixte/Autre</t>
        </is>
      </c>
      <c r="X33" t="inlineStr">
        <is>
          <t>Autre</t>
        </is>
      </c>
      <c r="Y33" t="inlineStr">
        <is>
          <t>SERVICES</t>
        </is>
      </c>
      <c r="Z33" t="inlineStr">
        <is>
          <t>Procédure Ouverte</t>
        </is>
      </c>
      <c r="AA33" t="inlineStr">
        <is>
          <t>Avis de marché</t>
        </is>
      </c>
      <c r="AB33" t="inlineStr">
        <is>
          <t>Location (matériels), Blanchissage</t>
        </is>
      </c>
      <c r="AC33" t="inlineStr">
        <is>
          <t>['sociaux', 'environnementaux']</t>
        </is>
      </c>
      <c r="AD33" s="10" t="inlineStr">
        <is>
          <t>https://www.boamp.fr/pages/avis/?q=idweb:26-70598</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15</t>
        </is>
      </c>
      <c r="AL33" s="16" t="inlineStr">
        <is>
          <t>FROID</t>
        </is>
      </c>
      <c r="AM33" t="inlineStr"/>
      <c r="AN33" t="inlineStr"/>
      <c r="AO33" t="inlineStr"/>
      <c r="AP33" t="inlineStr"/>
      <c r="AQ33" t="inlineStr">
        <is>
          <t>IA_CONTACT_A_COMPLETER</t>
        </is>
      </c>
      <c r="AR33" t="inlineStr">
        <is>
          <t>Completer les champs manquants depuis l'avis source, le site acheteur ou le DCE.</t>
        </is>
      </c>
      <c r="AS33" t="inlineStr">
        <is>
          <t>adresse, ville</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26-70598. Objet: Location et entretien de linge de restauration et de maison pour le compte des Ministères sociaux. Acheteur: Ministères sociaux, DFAS/SDADD. Lien: https://www.boamp.fr/pages/avis/?q=idweb:26-70598.</t>
        </is>
      </c>
      <c r="AU33" t="inlineStr">
        <is>
          <t>Verifier url_avis et DCE si disponible</t>
        </is>
      </c>
      <c r="AV33" t="inlineStr"/>
      <c r="AW33" t="inlineStr"/>
      <c r="AX33" t="inlineStr"/>
      <c r="AY33" t="inlineStr"/>
      <c r="AZ33" t="inlineStr"/>
      <c r="BA33" t="inlineStr"/>
      <c r="BB33" t="inlineStr">
        <is>
          <t>+30 mots-cles nettoyage forts | -20 gros budget (&gt; 500 000 EUR) | +5 delai court 10j</t>
        </is>
      </c>
      <c r="BC33" t="inlineStr">
        <is>
          <t>Ministères sociaux, DFAS/SDADD publie un AO potentiellement pertinent pour CHRUTH : Location et entretien de linge de restauration et de maison pour le compte des Ministères sociaux. Zone : 75,77,78,91,92,93,94,95. Budget detecte environ 852 000 EUR. Verifier le lien source avant contact.</t>
        </is>
      </c>
      <c r="BD33" t="inlineStr">
        <is>
          <t>Bonjour,
Je me permets de vous contacter au sujet de votre appel d'offres : Location et entretien de linge de restauration et de maison pour le compte des Ministères sociaux.
CHRUTH accompagne les structures publiques et privées sur les besoins de nettoyage, d'entretien des locaux et d'organisation de prestations de service.
Serait-il possible d'échanger rapidement afin de vérifier les modalités de réponse et les attentes de Ministères sociaux, DFAS/SDADD ?
Cordialement,</t>
        </is>
      </c>
      <c r="BE33" t="inlineStr">
        <is>
          <t>Bonjour, je vous appelle concernant un appel d'offres publié par Ministères sociaux, DFAS/SDADD.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2026-W29</t>
        </is>
      </c>
    </row>
    <row r="34">
      <c r="A34" t="inlineStr">
        <is>
          <t>BOAMP</t>
        </is>
      </c>
      <c r="B34" t="inlineStr">
        <is>
          <t>26-72867</t>
        </is>
      </c>
      <c r="C34" t="inlineStr">
        <is>
          <t>La présente consultation a pour objet des prestations de sécurité incendie, de gardiennage des locaux et d’assistance aux personnels et usagers de l’arrondissement judiciaire de Paris.</t>
        </is>
      </c>
      <c r="D34" t="inlineStr">
        <is>
          <t>Cour d'appel de Paris - SAR</t>
        </is>
      </c>
      <c r="E34" t="inlineStr"/>
      <c r="F34" t="inlineStr"/>
      <c r="G34" t="inlineStr"/>
      <c r="H34" t="inlineStr"/>
      <c r="I34" t="inlineStr">
        <is>
          <t>mp.sar.ca-paris@justice.fr</t>
        </is>
      </c>
      <c r="J34" t="inlineStr">
        <is>
          <t>0144325084</t>
        </is>
      </c>
      <c r="K34" t="inlineStr"/>
      <c r="L34" t="inlineStr"/>
      <c r="M34" t="inlineStr"/>
      <c r="N34" t="inlineStr">
        <is>
          <t>75,77,89,91,93,94,95</t>
        </is>
      </c>
      <c r="O34" t="inlineStr"/>
      <c r="P34" t="inlineStr">
        <is>
          <t>Ile-de-France</t>
        </is>
      </c>
      <c r="Q34" s="14" t="n">
        <v>46226</v>
      </c>
      <c r="R34" t="inlineStr"/>
      <c r="S34" t="inlineStr"/>
      <c r="T34" t="inlineStr">
        <is>
          <t>A_VERIFIER_BUDGET</t>
        </is>
      </c>
      <c r="U34" t="inlineStr"/>
      <c r="V34" t="inlineStr">
        <is>
          <t>non</t>
        </is>
      </c>
      <c r="W34" t="inlineStr">
        <is>
          <t>Personnel</t>
        </is>
      </c>
      <c r="X34" t="inlineStr">
        <is>
          <t>Autre</t>
        </is>
      </c>
      <c r="Y34" t="inlineStr">
        <is>
          <t>SERVICES</t>
        </is>
      </c>
      <c r="Z34" t="inlineStr">
        <is>
          <t>Procédure Restreinte</t>
        </is>
      </c>
      <c r="AA34" t="inlineStr">
        <is>
          <t>Avis de marché</t>
        </is>
      </c>
      <c r="AB34" t="inlineStr">
        <is>
          <t>Gardiennage, Sécurité incendie</t>
        </is>
      </c>
      <c r="AC34" t="inlineStr"/>
      <c r="AD34" s="10" t="inlineStr">
        <is>
          <t>https://www.boamp.fr/pages/avis/?q=idweb:26-72867</t>
        </is>
      </c>
      <c r="AE34" t="inlineStr">
        <is>
          <t>https://www.marches-publics.gouv.fr/entreprise</t>
        </is>
      </c>
      <c r="AF34" t="inlineStr">
        <is>
          <t>https://www.marches-publics.gouv.fr/entreprise</t>
        </is>
      </c>
      <c r="AG34" t="inlineStr"/>
      <c r="AH34" t="inlineStr">
        <is>
          <t>2</t>
        </is>
      </c>
      <c r="AI34" t="inlineStr">
        <is>
          <t>50</t>
        </is>
      </c>
      <c r="AJ34" t="inlineStr">
        <is>
          <t>INFO_PARTIELLE</t>
        </is>
      </c>
      <c r="AK34" t="inlineStr">
        <is>
          <t>10</t>
        </is>
      </c>
      <c r="AL34" s="16" t="inlineStr">
        <is>
          <t>FROID</t>
        </is>
      </c>
      <c r="AM34" t="inlineStr"/>
      <c r="AN34" t="inlineStr"/>
      <c r="AO34" t="inlineStr"/>
      <c r="AP34" t="inlineStr"/>
      <c r="AQ34" t="inlineStr">
        <is>
          <t>IA_BUDGET_A_VERIFIER</t>
        </is>
      </c>
      <c r="AR34" t="inlineStr">
        <is>
          <t>Verifier le budget dans l'avis source ou le DCE avant decision commerciale.</t>
        </is>
      </c>
      <c r="AS34" t="inlineStr">
        <is>
          <t>SIRET, 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34" t="inlineStr">
        <is>
          <t>Verifier url_avis et DCE si disponible</t>
        </is>
      </c>
      <c r="AV34" t="inlineStr">
        <is>
          <t>LIEN_SEUL</t>
        </is>
      </c>
      <c r="AW34" t="inlineStr"/>
      <c r="AX34" t="inlineStr"/>
      <c r="AY34" t="inlineStr"/>
      <c r="AZ34" t="inlineStr"/>
      <c r="BA34" t="inlineStr"/>
      <c r="BB34" t="inlineStr">
        <is>
          <t>0 pertinence metier faible | +10 budget non affiche (a verifier) | 0 date limite absente</t>
        </is>
      </c>
      <c r="BC34"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34"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34"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26-73122</t>
        </is>
      </c>
      <c r="C35" t="inlineStr">
        <is>
          <t>Mise à disposition de professionnels paramédicaux et éducatifs pour la Direction de la protection de l'enfance et de la jeunesse.</t>
        </is>
      </c>
      <c r="D35" t="inlineStr">
        <is>
          <t>Département du Val-de-Marne</t>
        </is>
      </c>
      <c r="E35" t="inlineStr">
        <is>
          <t>22940028800010</t>
        </is>
      </c>
      <c r="F35" t="inlineStr">
        <is>
          <t>229400288</t>
        </is>
      </c>
      <c r="G35" t="inlineStr"/>
      <c r="H35" t="inlineStr"/>
      <c r="I35" t="inlineStr">
        <is>
          <t>dapm@valdemarne.fr</t>
        </is>
      </c>
      <c r="J35" t="inlineStr">
        <is>
          <t>0704900017</t>
        </is>
      </c>
      <c r="K35" t="inlineStr"/>
      <c r="L35" t="inlineStr"/>
      <c r="M35" t="inlineStr"/>
      <c r="N35" t="inlineStr">
        <is>
          <t>94</t>
        </is>
      </c>
      <c r="O35" t="inlineStr"/>
      <c r="P35" t="inlineStr">
        <is>
          <t>Ile-de-France</t>
        </is>
      </c>
      <c r="Q35" s="14" t="n">
        <v>46226</v>
      </c>
      <c r="R35" s="14" t="n">
        <v>46276</v>
      </c>
      <c r="S35" s="15" t="n">
        <v>2800000</v>
      </c>
      <c r="T35" t="inlineStr">
        <is>
          <t>BUDGET_EXPLICITE_OK</t>
        </is>
      </c>
      <c r="U35" t="inlineStr">
        <is>
          <t>2800000</t>
        </is>
      </c>
      <c r="V35" t="inlineStr">
        <is>
          <t>oui</t>
        </is>
      </c>
      <c r="W35" t="inlineStr">
        <is>
          <t>Personnel</t>
        </is>
      </c>
      <c r="X35" t="inlineStr">
        <is>
          <t>Autre</t>
        </is>
      </c>
      <c r="Y35" t="inlineStr">
        <is>
          <t>SERVICES</t>
        </is>
      </c>
      <c r="Z35" t="inlineStr">
        <is>
          <t>Procédure Ouverte</t>
        </is>
      </c>
      <c r="AA35" t="inlineStr">
        <is>
          <t>Avis de marché</t>
        </is>
      </c>
      <c r="AB35" t="inlineStr">
        <is>
          <t>Mise à disposition de personnel</t>
        </is>
      </c>
      <c r="AC35" t="inlineStr">
        <is>
          <t>['environnementaux']</t>
        </is>
      </c>
      <c r="AD35" s="10" t="inlineStr">
        <is>
          <t>https://www.boamp.fr/pages/avis/?q=idweb:26-73122</t>
        </is>
      </c>
      <c r="AE35" t="inlineStr">
        <is>
          <t>https://marches.maximilien.fr/?page=Entreprise.EntrepriseAdvancedSearch&amp;AllCons&amp;id=943156&amp;orgAcronyme=a8z</t>
        </is>
      </c>
      <c r="AF35" t="inlineStr">
        <is>
          <t>https://marches.maximilien.fr/?page=Entreprise.EntrepriseAdvancedSearch&amp;AllCons&amp;id=943156&amp;orgAcronyme=a8z</t>
        </is>
      </c>
      <c r="AG35" t="inlineStr"/>
      <c r="AH35" t="inlineStr">
        <is>
          <t>3</t>
        </is>
      </c>
      <c r="AI35" t="inlineStr">
        <is>
          <t>60</t>
        </is>
      </c>
      <c r="AJ35" t="inlineStr">
        <is>
          <t>INFO_PARTIELLE</t>
        </is>
      </c>
      <c r="AK35" t="inlineStr">
        <is>
          <t>0</t>
        </is>
      </c>
      <c r="AL35" s="16" t="inlineStr">
        <is>
          <t>FROID</t>
        </is>
      </c>
      <c r="AM35" t="inlineStr"/>
      <c r="AN35" t="inlineStr"/>
      <c r="AO35" t="inlineStr"/>
      <c r="AP35" t="inlineStr"/>
      <c r="AQ35" t="inlineStr">
        <is>
          <t>IA_CONTACT_A_COMPLETER</t>
        </is>
      </c>
      <c r="AR35" t="inlineStr">
        <is>
          <t>Completer les champs manquants depuis l'avis source, le site acheteur ou le DCE.</t>
        </is>
      </c>
      <c r="AS35" t="inlineStr">
        <is>
          <t>adresse, ville</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26-73122. Objet: Mise à disposition de professionnels paramédicaux et éducatifs pour la Direction de la protection de l'enfance et de la jeunesse.. Acheteur: Département du Val-de-Marne. Lien: https://www.boamp.fr/pages/avis/?q=idweb:26-73122.</t>
        </is>
      </c>
      <c r="AU35" t="inlineStr">
        <is>
          <t>Verifier url_avis et DCE si disponible</t>
        </is>
      </c>
      <c r="AV35" t="inlineStr"/>
      <c r="AW35" t="inlineStr"/>
      <c r="AX35" t="inlineStr"/>
      <c r="AY35" t="inlineStr"/>
      <c r="AZ35" t="inlineStr"/>
      <c r="BA35" t="inlineStr"/>
      <c r="BB35" t="inlineStr">
        <is>
          <t>0 pertinence metier faible | -20 gros budget (&gt; 500 000 EUR) | +10 delai confortable 45j</t>
        </is>
      </c>
      <c r="BC35" t="inlineStr">
        <is>
          <t>Département du Val-de-Marne publie un AO potentiellement pertinent pour CHRUTH : Mise à disposition de professionnels paramédicaux et éducatifs pour la Direction de la protection de l'enfance et de la jeunesse.. Zone : 94. Budget detecte environ 2 800 000 EUR. Verifier le lien source avant contact.</t>
        </is>
      </c>
      <c r="BD35" t="inlineStr">
        <is>
          <t>Bonjour,
Je me permets de vous contacter au sujet de votre appel d'offres : Mise à disposition de professionnels paramédicaux et éducatifs pour la Direction de la protection de l'enfance et de la jeunesse..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35"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2026-W30</t>
        </is>
      </c>
    </row>
    <row r="36">
      <c r="A36" t="inlineStr">
        <is>
          <t>BOAMP</t>
        </is>
      </c>
      <c r="B36" t="inlineStr">
        <is>
          <t>26-70414</t>
        </is>
      </c>
      <c r="C36" t="inlineStr">
        <is>
          <t>prestations de gestion de l'entretien et des réparations des flottes de véhicules terrestres d’un PTAC ≤ 3,5 tonnes et des prestations d’assistance pour les véhicules en auto assurance</t>
        </is>
      </c>
      <c r="D36" t="inlineStr">
        <is>
          <t>Direction des Achats de l'Etat (DAE)</t>
        </is>
      </c>
      <c r="E36" t="inlineStr">
        <is>
          <t>13002220500012</t>
        </is>
      </c>
      <c r="F36" t="inlineStr">
        <is>
          <t>130022205</t>
        </is>
      </c>
      <c r="G36" t="inlineStr"/>
      <c r="H36" t="inlineStr"/>
      <c r="I36" t="inlineStr">
        <is>
          <t>mobilite.dae@finances.gouv.fr</t>
        </is>
      </c>
      <c r="J36" t="inlineStr">
        <is>
          <t>0222050001</t>
        </is>
      </c>
      <c r="K36" t="inlineStr"/>
      <c r="L36" t="inlineStr"/>
      <c r="M36" t="inlineStr"/>
      <c r="N36" t="inlineStr">
        <is>
          <t>75</t>
        </is>
      </c>
      <c r="O36" t="inlineStr"/>
      <c r="P36" t="inlineStr">
        <is>
          <t>Ile-de-France</t>
        </is>
      </c>
      <c r="Q36" s="14" t="n">
        <v>46220</v>
      </c>
      <c r="R36" s="14" t="n">
        <v>46233</v>
      </c>
      <c r="S36" s="15" t="n">
        <v>580000000</v>
      </c>
      <c r="T36" t="inlineStr">
        <is>
          <t>BUDGET_EXPLICITE_OK</t>
        </is>
      </c>
      <c r="U36" t="inlineStr">
        <is>
          <t>1160000000</t>
        </is>
      </c>
      <c r="V36" t="inlineStr">
        <is>
          <t>oui</t>
        </is>
      </c>
      <c r="W36" t="inlineStr">
        <is>
          <t>Personnel</t>
        </is>
      </c>
      <c r="X36" t="inlineStr">
        <is>
          <t>Autre</t>
        </is>
      </c>
      <c r="Y36" t="inlineStr">
        <is>
          <t>SERVICES</t>
        </is>
      </c>
      <c r="Z36" t="inlineStr">
        <is>
          <t>Procédure Ouverte</t>
        </is>
      </c>
      <c r="AA36" t="inlineStr">
        <is>
          <t>Avis de marché</t>
        </is>
      </c>
      <c r="AB36" t="inlineStr">
        <is>
          <t>Prestations de services</t>
        </is>
      </c>
      <c r="AC36" t="inlineStr">
        <is>
          <t>['sociaux', 'environnementaux']</t>
        </is>
      </c>
      <c r="AD36" s="10" t="inlineStr">
        <is>
          <t>https://www.boamp.fr/pages/avis/?q=idweb:26-70414</t>
        </is>
      </c>
      <c r="AE36" t="inlineStr">
        <is>
          <t>https://www.marches-publics.gouv.fr</t>
        </is>
      </c>
      <c r="AF36" t="inlineStr">
        <is>
          <t>https://www.marches-publics.gouv.fr</t>
        </is>
      </c>
      <c r="AG36" t="inlineStr"/>
      <c r="AH36" t="inlineStr">
        <is>
          <t>3</t>
        </is>
      </c>
      <c r="AI36" t="inlineStr">
        <is>
          <t>60</t>
        </is>
      </c>
      <c r="AJ36" t="inlineStr">
        <is>
          <t>INFO_PARTIELLE</t>
        </is>
      </c>
      <c r="AK36" t="inlineStr">
        <is>
          <t>0</t>
        </is>
      </c>
      <c r="AL36" s="16" t="inlineStr">
        <is>
          <t>FROID</t>
        </is>
      </c>
      <c r="AM36" t="inlineStr"/>
      <c r="AN36" t="inlineStr"/>
      <c r="AO36" t="inlineStr"/>
      <c r="AP36" t="inlineStr"/>
      <c r="AQ36" t="inlineStr">
        <is>
          <t>IA_CONTACT_A_COMPLETER</t>
        </is>
      </c>
      <c r="AR36" t="inlineStr">
        <is>
          <t>Completer les champs manquants depuis l'avis source, le site acheteur ou le DCE.</t>
        </is>
      </c>
      <c r="AS36" t="inlineStr">
        <is>
          <t>adresse, ville</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26-70414. Objet: prestations de gestion de l'entretien et des réparations des flottes de véhicules terrestres d’un PTAC ≤ 3,5 tonnes et des prestations d’assistance pour les véhicules en auto assurance. Acheteur: Direction des Achats de l'Etat (DAE). Lien: https://www.boamp.fr/pages/avis/?q=idweb:26-70414.</t>
        </is>
      </c>
      <c r="AU36" t="inlineStr">
        <is>
          <t>Verifier url_avis et DCE si disponible</t>
        </is>
      </c>
      <c r="AV36" t="inlineStr"/>
      <c r="AW36" t="inlineStr"/>
      <c r="AX36" t="inlineStr"/>
      <c r="AY36" t="inlineStr"/>
      <c r="AZ36" t="inlineStr"/>
      <c r="BA36" t="inlineStr"/>
      <c r="BB36" t="inlineStr">
        <is>
          <t>0 pertinence metier faible | -20 gros budget (&gt; 500 000 EUR) | -15 delai critique 2j</t>
        </is>
      </c>
      <c r="BC36" t="inlineStr">
        <is>
          <t>Direction des Achats de l'Etat (DAE) publie un AO potentiellement pertinent pour CHRUTH : prestations de gestion de l'entretien et des réparations des flottes de véhicules terrestres d’un PTAC ≤ 3,5 tonnes et des prestations d’assistance pour les véhicules en auto assurance. Zone : 75. Budget detecte environ 580 000 000 EUR. Verifier le lien source avant contact.</t>
        </is>
      </c>
      <c r="BD36" t="inlineStr">
        <is>
          <t>Bonjour,
Je me permets de vous contacter au sujet de votre appel d'offres : prestations de gestion de l'entretien et des réparations des flottes de véhicules terrestres d’un PTAC ≤ 3,5 tonnes et des prestations d’assistance pour les véhicules en auto assurance.
CHRUTH accompagne les structures publiques et privées sur les besoins de nettoyage, d'entretien des locaux et d'organisation de prestations de service.
Serait-il possible d'échanger rapidement afin de vérifier les modalités de réponse et les attentes de Direction des Achats de l'Etat (DAE) ?
Cordialement,</t>
        </is>
      </c>
      <c r="BE36" t="inlineStr">
        <is>
          <t>Bonjour, je vous appelle concernant un appel d'offres publié par Direction des Achats de l'Etat (DAE).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26-70509</t>
        </is>
      </c>
      <c r="C37" t="inlineStr">
        <is>
          <t>GARDIENNAGE ET SURVEILLANCE DU CENTRE DE FORMATION DE GURCY-LE-CHATEL</t>
        </is>
      </c>
      <c r="D37" t="inlineStr">
        <is>
          <t>SDIS 77 de Seine-et-Marne</t>
        </is>
      </c>
      <c r="E37" t="inlineStr">
        <is>
          <t>28770831700014</t>
        </is>
      </c>
      <c r="F37" t="inlineStr">
        <is>
          <t>287708317</t>
        </is>
      </c>
      <c r="G37" t="inlineStr"/>
      <c r="H37" t="inlineStr"/>
      <c r="I37" t="inlineStr">
        <is>
          <t>marchespublics@sdis77.fr</t>
        </is>
      </c>
      <c r="J37" t="inlineStr">
        <is>
          <t>0831700014</t>
        </is>
      </c>
      <c r="K37" t="inlineStr"/>
      <c r="L37" t="inlineStr"/>
      <c r="M37" t="inlineStr"/>
      <c r="N37" t="inlineStr">
        <is>
          <t>77,91</t>
        </is>
      </c>
      <c r="O37" t="inlineStr"/>
      <c r="P37" t="inlineStr">
        <is>
          <t>Ile-de-France</t>
        </is>
      </c>
      <c r="Q37" s="14" t="n">
        <v>46220</v>
      </c>
      <c r="R37" t="inlineStr"/>
      <c r="S37" s="15" t="n">
        <v>250000</v>
      </c>
      <c r="T37" t="inlineStr">
        <is>
          <t>BUDGET_EXPLICITE_OK</t>
        </is>
      </c>
      <c r="U37" t="inlineStr">
        <is>
          <t>500000</t>
        </is>
      </c>
      <c r="V37" t="inlineStr">
        <is>
          <t>oui</t>
        </is>
      </c>
      <c r="W37" t="inlineStr">
        <is>
          <t>Personnel</t>
        </is>
      </c>
      <c r="X37" t="inlineStr">
        <is>
          <t>Autre</t>
        </is>
      </c>
      <c r="Y37" t="inlineStr">
        <is>
          <t>SERVICES</t>
        </is>
      </c>
      <c r="Z37" t="inlineStr">
        <is>
          <t>Procédure Restreinte</t>
        </is>
      </c>
      <c r="AA37" t="inlineStr">
        <is>
          <t>Avis de marché</t>
        </is>
      </c>
      <c r="AB37" t="inlineStr">
        <is>
          <t>Gardiennage</t>
        </is>
      </c>
      <c r="AC37" t="inlineStr">
        <is>
          <t>['environnementaux']</t>
        </is>
      </c>
      <c r="AD37" s="10" t="inlineStr">
        <is>
          <t>https://www.boamp.fr/pages/avis/?q=idweb:26-70509</t>
        </is>
      </c>
      <c r="AE37" t="inlineStr">
        <is>
          <t>http://melun.tribunal-administratif.fr</t>
        </is>
      </c>
      <c r="AF37" t="inlineStr"/>
      <c r="AG37" t="inlineStr"/>
      <c r="AH37" t="inlineStr">
        <is>
          <t>3</t>
        </is>
      </c>
      <c r="AI37" t="inlineStr">
        <is>
          <t>60</t>
        </is>
      </c>
      <c r="AJ37" t="inlineStr">
        <is>
          <t>INFO_PARTIELLE</t>
        </is>
      </c>
      <c r="AK37" t="inlineStr">
        <is>
          <t>0</t>
        </is>
      </c>
      <c r="AL37" s="16" t="inlineStr">
        <is>
          <t>FROID</t>
        </is>
      </c>
      <c r="AM37" t="inlineStr"/>
      <c r="AN37" t="inlineStr"/>
      <c r="AO37" t="inlineStr"/>
      <c r="AP37" t="inlineStr"/>
      <c r="AQ37" t="inlineStr">
        <is>
          <t>IA_CONTACT_A_COMPLETER</t>
        </is>
      </c>
      <c r="AR37" t="inlineStr">
        <is>
          <t>Completer les champs manquants depuis l'avis source, le site acheteur ou le DCE.</t>
        </is>
      </c>
      <c r="AS37" t="inlineStr">
        <is>
          <t>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26-70509. Objet: GARDIENNAGE ET SURVEILLANCE DU CENTRE DE FORMATION DE GURCY-LE-CHATEL. Acheteur: SDIS 77 de Seine-et-Marne. Lien: https://www.boamp.fr/pages/avis/?q=idweb:26-70509.</t>
        </is>
      </c>
      <c r="AU37" t="inlineStr">
        <is>
          <t>Verifier url_avis et DCE si disponible</t>
        </is>
      </c>
      <c r="AV37" t="inlineStr"/>
      <c r="AW37" t="inlineStr"/>
      <c r="AX37" t="inlineStr"/>
      <c r="AY37" t="inlineStr"/>
      <c r="AZ37" t="inlineStr"/>
      <c r="BA37" t="inlineStr"/>
      <c r="BB37" t="inlineStr">
        <is>
          <t>0 pertinence metier faible | -10 budget annualise &lt;= 500 000 EUR | 0 date limite absente</t>
        </is>
      </c>
      <c r="BC37" t="inlineStr">
        <is>
          <t>SDIS 77 de Seine-et-Marne publie un AO potentiellement pertinent pour CHRUTH : GARDIENNAGE ET SURVEILLANCE DU CENTRE DE FORMATION DE GURCY-LE-CHATEL. Zone : 77,91. Budget detecte environ 250 000 EUR. Verifier le lien source avant contact.</t>
        </is>
      </c>
      <c r="BD37" t="inlineStr">
        <is>
          <t>Bonjour,
Je me permets de vous contacter au sujet de votre appel d'offres : GARDIENNAGE ET SURVEILLANCE DU CENTRE DE FORMATION DE GURCY-LE-CHATEL.
CHRUTH accompagne les structures publiques et privées sur les besoins de nettoyage, d'entretien des locaux et d'organisation de prestations de service.
Serait-il possible d'échanger rapidement afin de vérifier les modalités de réponse et les attentes de SDIS 77 de Seine-et-Marne ?
Cordialement,</t>
        </is>
      </c>
      <c r="BE37" t="inlineStr">
        <is>
          <t>Bonjour, je vous appelle concernant un appel d'offres publié par SDIS 77 de Seine-et-Marne.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2026-W29</t>
        </is>
      </c>
    </row>
    <row r="38">
      <c r="A38" t="inlineStr">
        <is>
          <t>BOAMP</t>
        </is>
      </c>
      <c r="B38" t="inlineStr">
        <is>
          <t>26-70374</t>
        </is>
      </c>
      <c r="C38" t="inlineStr">
        <is>
          <t>Mise en propreté des abords du site principal du Centre National d’Art et de Culture Georges Pompidou et des bâtiments annexes (CNAC-GP) (2 lots) - Vague 2 : lot 2 (26-CP04-044-AC)</t>
        </is>
      </c>
      <c r="D38" t="inlineStr">
        <is>
          <t>CENTRE POMPIDOU</t>
        </is>
      </c>
      <c r="E38" t="inlineStr">
        <is>
          <t>18004602100028</t>
        </is>
      </c>
      <c r="F38" t="inlineStr">
        <is>
          <t>180046021</t>
        </is>
      </c>
      <c r="G38" t="inlineStr"/>
      <c r="H38" t="inlineStr"/>
      <c r="I38" t="inlineStr">
        <is>
          <t>achat@centrepompidou.fr</t>
        </is>
      </c>
      <c r="J38" t="inlineStr">
        <is>
          <t>0460210002</t>
        </is>
      </c>
      <c r="K38" t="inlineStr"/>
      <c r="L38" t="inlineStr"/>
      <c r="M38" t="inlineStr"/>
      <c r="N38" t="inlineStr">
        <is>
          <t>75</t>
        </is>
      </c>
      <c r="O38" t="inlineStr"/>
      <c r="P38" t="inlineStr">
        <is>
          <t>Ile-de-France</t>
        </is>
      </c>
      <c r="Q38" s="14" t="n">
        <v>46220</v>
      </c>
      <c r="R38" s="14" t="n">
        <v>46223</v>
      </c>
      <c r="S38" s="15" t="n">
        <v>600000</v>
      </c>
      <c r="T38" t="inlineStr">
        <is>
          <t>BUDGET_EXPLICITE_OK</t>
        </is>
      </c>
      <c r="U38" t="inlineStr">
        <is>
          <t>600000.0</t>
        </is>
      </c>
      <c r="V38" t="inlineStr">
        <is>
          <t>non</t>
        </is>
      </c>
      <c r="W38" t="inlineStr">
        <is>
          <t>Batiments</t>
        </is>
      </c>
      <c r="X38" t="inlineStr">
        <is>
          <t>Autre</t>
        </is>
      </c>
      <c r="Y38" t="inlineStr">
        <is>
          <t>SERVICES</t>
        </is>
      </c>
      <c r="Z38" t="inlineStr">
        <is>
          <t>Procédure Ouverte</t>
        </is>
      </c>
      <c r="AA38" t="inlineStr">
        <is>
          <t>Avis de marché</t>
        </is>
      </c>
      <c r="AB38" t="inlineStr">
        <is>
          <t>Nettoyage de locaux</t>
        </is>
      </c>
      <c r="AC38" t="inlineStr">
        <is>
          <t>['environnementaux']</t>
        </is>
      </c>
      <c r="AD38" s="10" t="inlineStr">
        <is>
          <t>https://www.boamp.fr/pages/avis/?q=idweb:26-70374</t>
        </is>
      </c>
      <c r="AE38" t="inlineStr">
        <is>
          <t>https://www.marches-publics.gouv.fr/</t>
        </is>
      </c>
      <c r="AF38" t="inlineStr">
        <is>
          <t>https://www.marches-publics.gouv.fr/</t>
        </is>
      </c>
      <c r="AG38" t="inlineStr">
        <is>
          <t>nettoyage, proprete</t>
        </is>
      </c>
      <c r="AH38" t="inlineStr">
        <is>
          <t>3</t>
        </is>
      </c>
      <c r="AI38" t="inlineStr">
        <is>
          <t>76</t>
        </is>
      </c>
      <c r="AJ38" t="inlineStr">
        <is>
          <t>INFO_PARTIELLE</t>
        </is>
      </c>
      <c r="AK38" t="inlineStr">
        <is>
          <t>0</t>
        </is>
      </c>
      <c r="AL38" s="16" t="inlineStr">
        <is>
          <t>FROID</t>
        </is>
      </c>
      <c r="AM38" t="inlineStr"/>
      <c r="AN38" t="inlineStr"/>
      <c r="AO38" t="inlineStr"/>
      <c r="AP38" t="inlineStr"/>
      <c r="AQ38" t="inlineStr">
        <is>
          <t>IA_CONTACT_A_COMPLETER</t>
        </is>
      </c>
      <c r="AR38" t="inlineStr">
        <is>
          <t>Completer les champs manquants depuis l'avis source, le site acheteur ou le DCE.</t>
        </is>
      </c>
      <c r="AS38" t="inlineStr">
        <is>
          <t>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26-70374. Objet: Mise en propreté des abords du site principal du Centre National d’Art et de Culture Georges Pompidou et des bâtiments annexes (CNAC-GP) (2 lots) - Vague 2 : lot 2 (26-CP04-044-AC). Acheteur: CENTRE POMPIDOU. Lien: https://www.boamp.fr/pages/avis/?q=idweb:26-70374.</t>
        </is>
      </c>
      <c r="AU38" t="inlineStr">
        <is>
          <t>Verifier url_avis et DCE si disponible</t>
        </is>
      </c>
      <c r="AV38" t="inlineStr"/>
      <c r="AW38" t="inlineStr"/>
      <c r="AX38" t="inlineStr"/>
      <c r="AY38" t="inlineStr"/>
      <c r="AZ38" t="inlineStr"/>
      <c r="BA38" t="inlineStr"/>
      <c r="BB38" t="inlineStr">
        <is>
          <t>+35 nettoyage + categorie claire | -20 gros budget (&gt; 500 000 EUR) | +15 procedure adaptee / MAPA / allotissement | -30 AO expire</t>
        </is>
      </c>
      <c r="BC38"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38"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38"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s>
  <pageMargins left="0.75" right="0.75" top="1" bottom="1" header="0.5" footer="0.5"/>
  <tableParts count="1">
    <tablePart xmlns:r="http://schemas.openxmlformats.org/officeDocument/2006/relationships" r:id="rId38"/>
  </tableParts>
</worksheet>
</file>

<file path=xl/worksheets/sheet6.xml><?xml version="1.0" encoding="utf-8"?>
<worksheet xmlns="http://schemas.openxmlformats.org/spreadsheetml/2006/main">
  <sheetPr>
    <outlinePr summaryBelow="1" summaryRight="1"/>
    <pageSetUpPr/>
  </sheetPr>
  <dimension ref="A1:BM38"/>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55" customWidth="1" min="4" max="4"/>
    <col width="16" customWidth="1" min="5" max="5"/>
    <col width="16" customWidth="1" min="6" max="6"/>
    <col width="47" customWidth="1" min="7" max="7"/>
    <col width="16" customWidth="1" min="8" max="8"/>
    <col width="43" customWidth="1" min="9" max="9"/>
    <col width="15" customWidth="1" min="10" max="10"/>
    <col width="55" customWidth="1" min="11" max="11"/>
    <col width="13" customWidth="1" min="12" max="12"/>
    <col width="17"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22" customWidth="1" min="26" max="26"/>
    <col width="16" customWidth="1" min="27" max="27"/>
    <col width="55" customWidth="1" min="28" max="28"/>
    <col width="33" customWidth="1" min="29" max="29"/>
    <col width="51" customWidth="1" min="30" max="30"/>
    <col width="55" customWidth="1" min="31" max="31"/>
    <col width="55" customWidth="1" min="32" max="32"/>
    <col width="42"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4" t="n">
        <v>46227</v>
      </c>
      <c r="R2" s="14"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0"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26-74949</t>
        </is>
      </c>
      <c r="C3" t="inlineStr">
        <is>
          <t>Prestations D'Entretien Ménager Des Gymnases De La Ville De Roissy-En-Brie</t>
        </is>
      </c>
      <c r="D3" t="inlineStr">
        <is>
          <t>Mairie de Roissy-en-Brie</t>
        </is>
      </c>
      <c r="E3" t="inlineStr">
        <is>
          <t>21770390900010</t>
        </is>
      </c>
      <c r="F3" t="inlineStr">
        <is>
          <t>217703909</t>
        </is>
      </c>
      <c r="G3" t="inlineStr">
        <is>
          <t>Service Commande Publique</t>
        </is>
      </c>
      <c r="H3" t="inlineStr"/>
      <c r="I3" t="inlineStr"/>
      <c r="J3" t="inlineStr">
        <is>
          <t>0390900010</t>
        </is>
      </c>
      <c r="K3" t="inlineStr">
        <is>
          <t>77680 - ROISSY-EN-BRIE</t>
        </is>
      </c>
      <c r="L3" t="inlineStr">
        <is>
          <t>77680</t>
        </is>
      </c>
      <c r="M3" t="inlineStr">
        <is>
          <t>ROISSY EN BRIE</t>
        </is>
      </c>
      <c r="N3" t="inlineStr">
        <is>
          <t>77</t>
        </is>
      </c>
      <c r="O3" t="inlineStr"/>
      <c r="P3" t="inlineStr">
        <is>
          <t>Ile-de-France</t>
        </is>
      </c>
      <c r="Q3" s="14" t="n">
        <v>46230</v>
      </c>
      <c r="R3" s="14" t="n">
        <v>46262</v>
      </c>
      <c r="S3" s="15" t="n">
        <v>77680</v>
      </c>
      <c r="T3" t="inlineStr">
        <is>
          <t>BUDGET_SOUS_SEUIL</t>
        </is>
      </c>
      <c r="U3" t="inlineStr">
        <is>
          <t>77680.0</t>
        </is>
      </c>
      <c r="V3" t="inlineStr">
        <is>
          <t>non</t>
        </is>
      </c>
      <c r="W3" t="inlineStr">
        <is>
          <t>Batiments</t>
        </is>
      </c>
      <c r="X3" t="inlineStr">
        <is>
          <t>Mairie</t>
        </is>
      </c>
      <c r="Y3" t="inlineStr">
        <is>
          <t>SERVICES</t>
        </is>
      </c>
      <c r="Z3" t="inlineStr">
        <is>
          <t>Procédure Ouverte</t>
        </is>
      </c>
      <c r="AA3" t="inlineStr">
        <is>
          <t>Avis de marché</t>
        </is>
      </c>
      <c r="AB3" t="inlineStr">
        <is>
          <t>Nettoyage de locaux</t>
        </is>
      </c>
      <c r="AC3" t="inlineStr"/>
      <c r="AD3" s="10" t="inlineStr">
        <is>
          <t>https://www.boamp.fr/pages/avis/?q=idweb:26-74949</t>
        </is>
      </c>
      <c r="AE3" t="inlineStr">
        <is>
          <t>https://www.marches-publics.info/mpiaws/index.cfm?fuseaction=dematent.login&amp;type=Dce&amp;Idm=1855543</t>
        </is>
      </c>
      <c r="AF3" t="inlineStr">
        <is>
          <t>https://www.marches-publics.info/mpiaws/index.cfm?fuseaction=dematent.login&amp;type=Dce&amp;Idm=1855543</t>
        </is>
      </c>
      <c r="AG3" t="inlineStr">
        <is>
          <t>nettoyage, entretien menager</t>
        </is>
      </c>
      <c r="AH3" t="inlineStr">
        <is>
          <t>5</t>
        </is>
      </c>
      <c r="AI3" t="inlineStr">
        <is>
          <t>92</t>
        </is>
      </c>
      <c r="AJ3" t="inlineStr">
        <is>
          <t>INFO_PARTIELLE</t>
        </is>
      </c>
      <c r="AK3" t="inlineStr">
        <is>
          <t>75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email</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3" t="inlineStr">
        <is>
          <t>Verifier url_avis et DCE si disponible</t>
        </is>
      </c>
      <c r="AV3" t="inlineStr">
        <is>
          <t>LIEN_SEUL</t>
        </is>
      </c>
      <c r="AW3" t="inlineStr"/>
      <c r="AX3" t="inlineStr"/>
      <c r="AY3" t="inlineStr"/>
      <c r="AZ3" t="inlineStr"/>
      <c r="BA3" t="inlineStr"/>
      <c r="BB3" t="inlineStr">
        <is>
          <t>+35 nettoyage + categorie claire | +20 budget annualise &lt;= 100 000 EUR | +10 secteur cible Mairie | +10 delai confortable 31j</t>
        </is>
      </c>
      <c r="BC3" t="inlineStr">
        <is>
          <t>Mairie de Roissy-en-Brie publie un AO potentiellement pertinent pour CHRUTH : Prestations D'Entretien Ménager Des Gymnases De La Ville De Roissy-En-Brie. Zone : ROISSY EN BRIE. Budget detecte environ 77 680 EUR. Verifier le lien source avant contact.</t>
        </is>
      </c>
      <c r="BD3"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3"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2026-W31</t>
        </is>
      </c>
    </row>
    <row r="4">
      <c r="A4" t="inlineStr">
        <is>
          <t>BOAMP</t>
        </is>
      </c>
      <c r="B4" t="inlineStr">
        <is>
          <t>26-74013</t>
        </is>
      </c>
      <c r="C4" t="inlineStr">
        <is>
          <t>Prestations de nettoyage des locaux de l'École nationale supérieure d’architecture de Paris-La Villette</t>
        </is>
      </c>
      <c r="D4" t="inlineStr">
        <is>
          <t>ENSA Paris-La Villette</t>
        </is>
      </c>
      <c r="E4" t="inlineStr">
        <is>
          <t>19751875600014</t>
        </is>
      </c>
      <c r="F4" t="inlineStr">
        <is>
          <t>197518756</t>
        </is>
      </c>
      <c r="G4" t="inlineStr">
        <is>
          <t>ACHOUR</t>
        </is>
      </c>
      <c r="H4" t="inlineStr"/>
      <c r="I4" t="inlineStr">
        <is>
          <t>safae.achour@paris-lavillette.archi.fr</t>
        </is>
      </c>
      <c r="J4" t="inlineStr">
        <is>
          <t>07-23 2026-09</t>
        </is>
      </c>
      <c r="K4" t="inlineStr">
        <is>
          <t>75019</t>
        </is>
      </c>
      <c r="L4" t="inlineStr">
        <is>
          <t>75019</t>
        </is>
      </c>
      <c r="M4" t="inlineStr">
        <is>
          <t>Paris</t>
        </is>
      </c>
      <c r="N4" t="inlineStr">
        <is>
          <t>75,92,93,91,95,77,94</t>
        </is>
      </c>
      <c r="O4" t="inlineStr"/>
      <c r="P4" t="inlineStr">
        <is>
          <t>Ile-de-France</t>
        </is>
      </c>
      <c r="Q4" s="14" t="n">
        <v>46226</v>
      </c>
      <c r="R4" s="14" t="n">
        <v>46293</v>
      </c>
      <c r="S4" s="15" t="n">
        <v>75019</v>
      </c>
      <c r="T4" t="inlineStr">
        <is>
          <t>BUDGET_SOUS_SEUIL</t>
        </is>
      </c>
      <c r="U4" t="inlineStr">
        <is>
          <t>75019.0</t>
        </is>
      </c>
      <c r="V4" t="inlineStr">
        <is>
          <t>non</t>
        </is>
      </c>
      <c r="W4" t="inlineStr">
        <is>
          <t>Batiments</t>
        </is>
      </c>
      <c r="X4" t="inlineStr">
        <is>
          <t>Ecole</t>
        </is>
      </c>
      <c r="Y4" t="inlineStr">
        <is>
          <t>SERVICES</t>
        </is>
      </c>
      <c r="Z4" t="inlineStr">
        <is>
          <t>Procédure Ouverte</t>
        </is>
      </c>
      <c r="AA4" t="inlineStr">
        <is>
          <t>Avis de marché</t>
        </is>
      </c>
      <c r="AB4" t="inlineStr">
        <is>
          <t>Nettoyage de locaux</t>
        </is>
      </c>
      <c r="AC4" t="inlineStr"/>
      <c r="AD4" s="10" t="inlineStr">
        <is>
          <t>https://www.boamp.fr/pages/avis/?q=idweb:26-74013</t>
        </is>
      </c>
      <c r="AE4" t="inlineStr">
        <is>
          <t>https://www.marches-publics.gouv.fr/entreprise/consultation/3044724?orgAcronyme=f5j</t>
        </is>
      </c>
      <c r="AF4" t="inlineStr">
        <is>
          <t>https://www.marches-publics.gouv.fr/entreprise/consultation/3044724?orgAcronyme=f5j</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Ecole | +10 delai confortable 62j</t>
        </is>
      </c>
      <c r="BC4"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4"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4"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26-72283</t>
        </is>
      </c>
      <c r="C5" t="inlineStr">
        <is>
          <t>Prestation d'écrivains publics interprètes à Montreuil</t>
        </is>
      </c>
      <c r="D5" t="inlineStr">
        <is>
          <t>Mairie de Montreuil</t>
        </is>
      </c>
      <c r="E5" t="inlineStr">
        <is>
          <t>21930048000015</t>
        </is>
      </c>
      <c r="F5" t="inlineStr">
        <is>
          <t>219300480</t>
        </is>
      </c>
      <c r="G5" t="inlineStr">
        <is>
          <t>Service des achats et de la commande publique</t>
        </is>
      </c>
      <c r="H5" t="inlineStr"/>
      <c r="I5" t="inlineStr">
        <is>
          <t>sacop@montreuil.fr</t>
        </is>
      </c>
      <c r="J5" t="inlineStr">
        <is>
          <t>+33 331487060</t>
        </is>
      </c>
      <c r="K5" t="inlineStr">
        <is>
          <t>(93) Seine-Saint-Denis</t>
        </is>
      </c>
      <c r="L5" t="inlineStr">
        <is>
          <t>93100</t>
        </is>
      </c>
      <c r="M5" t="inlineStr">
        <is>
          <t>Montreuil</t>
        </is>
      </c>
      <c r="N5" t="inlineStr">
        <is>
          <t>93</t>
        </is>
      </c>
      <c r="O5" t="inlineStr"/>
      <c r="P5" t="inlineStr">
        <is>
          <t>Ile-de-France</t>
        </is>
      </c>
      <c r="Q5" s="14" t="n">
        <v>46223</v>
      </c>
      <c r="R5" s="14" t="n">
        <v>46276</v>
      </c>
      <c r="S5" s="15" t="n">
        <v>93100</v>
      </c>
      <c r="T5" t="inlineStr">
        <is>
          <t>BUDGET_SOUS_SEUIL</t>
        </is>
      </c>
      <c r="U5" t="inlineStr">
        <is>
          <t>93100.0</t>
        </is>
      </c>
      <c r="V5" t="inlineStr">
        <is>
          <t>non</t>
        </is>
      </c>
      <c r="W5" t="inlineStr">
        <is>
          <t>Batiments</t>
        </is>
      </c>
      <c r="X5" t="inlineStr">
        <is>
          <t>Mairie</t>
        </is>
      </c>
      <c r="Y5" t="inlineStr">
        <is>
          <t>SERVICES</t>
        </is>
      </c>
      <c r="Z5" t="inlineStr">
        <is>
          <t>Procédure Ouverte</t>
        </is>
      </c>
      <c r="AA5" t="inlineStr">
        <is>
          <t>Avis de marché</t>
        </is>
      </c>
      <c r="AB5" t="inlineStr">
        <is>
          <t>Nettoyage de locaux</t>
        </is>
      </c>
      <c r="AC5" t="inlineStr"/>
      <c r="AD5" s="10" t="inlineStr">
        <is>
          <t>https://www.boamp.fr/pages/avis/?q=idweb:26-72283</t>
        </is>
      </c>
      <c r="AE5" t="inlineStr">
        <is>
          <t>https://marches.maximilien.fr/entreprise/consultation/943753?orgAcronyme=d6a</t>
        </is>
      </c>
      <c r="AF5" t="inlineStr">
        <is>
          <t>https://marches.maximilien.fr/entreprise/consultation/943753?orgAcronyme=d6a</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45j</t>
        </is>
      </c>
      <c r="BC5" t="inlineStr">
        <is>
          <t>Mairie de Montreuil publie un AO potentiellement pertinent pour CHRUTH : Prestation d'écrivains publics interprètes à Montreuil. Zone : Montreuil. Budget detecte environ 93 100 EUR. Verifier le lien source avant contact.</t>
        </is>
      </c>
      <c r="BD5"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5"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2026-W30</t>
        </is>
      </c>
    </row>
    <row r="6">
      <c r="A6" t="inlineStr">
        <is>
          <t>BOAMP</t>
        </is>
      </c>
      <c r="B6" t="inlineStr">
        <is>
          <t>26-70858</t>
        </is>
      </c>
      <c r="C6" t="inlineStr">
        <is>
          <t>Nettoyage des locaux de l'EPAMSA</t>
        </is>
      </c>
      <c r="D6" t="inlineStr">
        <is>
          <t>EPAMSA</t>
        </is>
      </c>
      <c r="E6" t="inlineStr">
        <is>
          <t>41063810000033</t>
        </is>
      </c>
      <c r="F6" t="inlineStr">
        <is>
          <t>410638100</t>
        </is>
      </c>
      <c r="G6" t="inlineStr">
        <is>
          <t>Courteille</t>
        </is>
      </c>
      <c r="H6" t="inlineStr"/>
      <c r="I6" t="inlineStr">
        <is>
          <t>t.courteille@epamsa.fr</t>
        </is>
      </c>
      <c r="J6" t="inlineStr">
        <is>
          <t>0638100000</t>
        </is>
      </c>
      <c r="K6" t="inlineStr">
        <is>
          <t>Mantes-la-Jolie</t>
        </is>
      </c>
      <c r="L6" t="inlineStr">
        <is>
          <t>78200</t>
        </is>
      </c>
      <c r="M6" t="inlineStr">
        <is>
          <t>MANTES-LA-JOLIE</t>
        </is>
      </c>
      <c r="N6" t="inlineStr">
        <is>
          <t>78</t>
        </is>
      </c>
      <c r="O6" t="inlineStr"/>
      <c r="P6" t="inlineStr">
        <is>
          <t>Ile-de-France</t>
        </is>
      </c>
      <c r="Q6" s="14" t="n">
        <v>46219</v>
      </c>
      <c r="R6" s="14" t="n">
        <v>46269</v>
      </c>
      <c r="S6" s="15" t="n">
        <v>78200</v>
      </c>
      <c r="T6" t="inlineStr">
        <is>
          <t>BUDGET_SOUS_SEUIL</t>
        </is>
      </c>
      <c r="U6" t="inlineStr">
        <is>
          <t>19550</t>
        </is>
      </c>
      <c r="V6" t="inlineStr">
        <is>
          <t>oui</t>
        </is>
      </c>
      <c r="W6" t="inlineStr">
        <is>
          <t>Batiments</t>
        </is>
      </c>
      <c r="X6" t="inlineStr">
        <is>
          <t>Autre</t>
        </is>
      </c>
      <c r="Y6" t="inlineStr">
        <is>
          <t>SERVICES</t>
        </is>
      </c>
      <c r="Z6" t="inlineStr">
        <is>
          <t>Procédure Ouverte</t>
        </is>
      </c>
      <c r="AA6" t="inlineStr">
        <is>
          <t>Avis de marché</t>
        </is>
      </c>
      <c r="AB6" t="inlineStr">
        <is>
          <t>Nettoyage de locaux</t>
        </is>
      </c>
      <c r="AC6" t="inlineStr">
        <is>
          <t>['sociaux', 'environnementaux']</t>
        </is>
      </c>
      <c r="AD6" s="10" t="inlineStr">
        <is>
          <t>https://www.boamp.fr/pages/avis/?q=idweb:26-70858</t>
        </is>
      </c>
      <c r="AE6" t="inlineStr">
        <is>
          <t>https://www.marches-publics.gouv.fr/entreprise/consultation/3039334?orgAcronyme=d4t</t>
        </is>
      </c>
      <c r="AF6" t="inlineStr">
        <is>
          <t>https://www.marches-publics.gouv.fr/entreprise/consultation/3039334?orgAcronyme=d4t</t>
        </is>
      </c>
      <c r="AG6" t="inlineStr">
        <is>
          <t>nettoyage</t>
        </is>
      </c>
      <c r="AH6" t="inlineStr">
        <is>
          <t>6</t>
        </is>
      </c>
      <c r="AI6" t="inlineStr">
        <is>
          <t>98</t>
        </is>
      </c>
      <c r="AJ6" t="inlineStr">
        <is>
          <t>INFO_PARTIELLE</t>
        </is>
      </c>
      <c r="AK6" t="inlineStr">
        <is>
          <t>70</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6" t="inlineStr">
        <is>
          <t>Verifier url_avis et DCE si disponible</t>
        </is>
      </c>
      <c r="AV6" t="inlineStr"/>
      <c r="AW6" t="inlineStr"/>
      <c r="AX6" t="inlineStr"/>
      <c r="AY6" t="inlineStr"/>
      <c r="AZ6" t="inlineStr"/>
      <c r="BA6" t="inlineStr"/>
      <c r="BB6" t="inlineStr">
        <is>
          <t>+35 nettoyage + categorie claire | +25 budget annualise &lt;= 50 000 EUR | +10 delai confortable 38j</t>
        </is>
      </c>
      <c r="BC6" t="inlineStr">
        <is>
          <t>EPAMSA publie un AO potentiellement pertinent pour CHRUTH : Nettoyage des locaux de l'EPAMSA. Zone : MANTES-LA-JOLIE. Budget detecte environ 78 200 EUR. Verifier le lien source avant contact.</t>
        </is>
      </c>
      <c r="BD6"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6"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2026-W29</t>
        </is>
      </c>
    </row>
    <row r="7">
      <c r="A7" t="inlineStr">
        <is>
          <t>BOAMP</t>
        </is>
      </c>
      <c r="B7" t="inlineStr">
        <is>
          <t>26-70565</t>
        </is>
      </c>
      <c r="C7" t="inlineStr">
        <is>
          <t>TRAVAUX D'AMÉNAGEMENT INTÉRIEUR DU R+1 ET COMBLE DE LA FERME DURPÉ</t>
        </is>
      </c>
      <c r="D7" t="inlineStr">
        <is>
          <t>COMMUNE DE MAGNY LE HONGRE</t>
        </is>
      </c>
      <c r="E7" t="inlineStr">
        <is>
          <t>21770268700013</t>
        </is>
      </c>
      <c r="F7" t="inlineStr">
        <is>
          <t>217702687</t>
        </is>
      </c>
      <c r="G7" t="inlineStr">
        <is>
          <t>M. SOW LAMARANA</t>
        </is>
      </c>
      <c r="H7" t="inlineStr"/>
      <c r="I7" t="inlineStr">
        <is>
          <t>service-mp@magnylehongre.fr</t>
        </is>
      </c>
      <c r="J7" t="inlineStr">
        <is>
          <t>0268700013</t>
        </is>
      </c>
      <c r="K7" t="inlineStr">
        <is>
          <t>1 rue de l'Église - 77700 MAGNY LE HONGRE</t>
        </is>
      </c>
      <c r="L7" t="inlineStr">
        <is>
          <t>77700</t>
        </is>
      </c>
      <c r="M7" t="inlineStr">
        <is>
          <t>MAGNY LE HONGRE</t>
        </is>
      </c>
      <c r="N7" t="inlineStr">
        <is>
          <t>77,75,78,91</t>
        </is>
      </c>
      <c r="O7" t="inlineStr"/>
      <c r="P7" t="inlineStr">
        <is>
          <t>Ile-de-France</t>
        </is>
      </c>
      <c r="Q7" s="14" t="n">
        <v>46218</v>
      </c>
      <c r="R7" s="14" t="n">
        <v>46275</v>
      </c>
      <c r="S7" s="15" t="n">
        <v>77700</v>
      </c>
      <c r="T7" t="inlineStr">
        <is>
          <t>BUDGET_SOUS_SEUIL</t>
        </is>
      </c>
      <c r="U7" t="inlineStr">
        <is>
          <t>77700.0</t>
        </is>
      </c>
      <c r="V7" t="inlineStr">
        <is>
          <t>non</t>
        </is>
      </c>
      <c r="W7" t="inlineStr">
        <is>
          <t>Mixte/Autre</t>
        </is>
      </c>
      <c r="X7" t="inlineStr">
        <is>
          <t>Mairie</t>
        </is>
      </c>
      <c r="Y7" t="inlineStr">
        <is>
          <t>TRAVAUX</t>
        </is>
      </c>
      <c r="Z7" t="inlineStr">
        <is>
          <t>Procédure Ouverte</t>
        </is>
      </c>
      <c r="AA7" t="inlineStr">
        <is>
          <t>Avis de marché</t>
        </is>
      </c>
      <c r="AB7" t="inlineStr">
        <is>
          <t>Plomberie (travaux), Peinture (travaux), Electricité (travaux)</t>
        </is>
      </c>
      <c r="AC7" t="inlineStr">
        <is>
          <t>['environnementaux']</t>
        </is>
      </c>
      <c r="AD7" s="10" t="inlineStr">
        <is>
          <t>https://www.boamp.fr/pages/avis/?q=idweb:26-70565</t>
        </is>
      </c>
      <c r="AE7" t="inlineStr">
        <is>
          <t>https://marches.maximilien.fr/?page=Entreprise.EntrepriseAdvancedSearch&amp;AllCons&amp;id=942965&amp;orgAcronyme=a4d</t>
        </is>
      </c>
      <c r="AF7" t="inlineStr">
        <is>
          <t>https://marches.maximilien.fr/?page=Entreprise.EntrepriseAdvancedSearch&amp;AllCons&amp;id=942965&amp;orgAcronyme=a4d</t>
        </is>
      </c>
      <c r="AG7" t="inlineStr">
        <is>
          <t>nettoyage</t>
        </is>
      </c>
      <c r="AH7" t="inlineStr">
        <is>
          <t>6</t>
        </is>
      </c>
      <c r="AI7" t="inlineStr">
        <is>
          <t>98</t>
        </is>
      </c>
      <c r="AJ7" t="inlineStr">
        <is>
          <t>INFO_PARTIELLE</t>
        </is>
      </c>
      <c r="AK7" t="inlineStr">
        <is>
          <t>70</t>
        </is>
      </c>
      <c r="AL7" s="13" t="inlineStr">
        <is>
          <t>CHAUD</t>
        </is>
      </c>
      <c r="AM7" t="inlineStr"/>
      <c r="AN7" t="inlineStr"/>
      <c r="AO7" t="inlineStr"/>
      <c r="AP7" t="inlineStr"/>
      <c r="AQ7" t="inlineStr">
        <is>
          <t>IA_CONTROLE_SOURCE</t>
        </is>
      </c>
      <c r="AR7" t="inlineStr">
        <is>
          <t>Verifier rapidement la source avant contact.</t>
        </is>
      </c>
      <c r="AS7" t="inlineStr">
        <is>
          <t>Aucun champ critique manquant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7" t="inlineStr">
        <is>
          <t>Verifier url_avis et DCE si disponible</t>
        </is>
      </c>
      <c r="AV7" t="inlineStr"/>
      <c r="AW7" t="inlineStr"/>
      <c r="AX7" t="inlineStr"/>
      <c r="AY7" t="inlineStr"/>
      <c r="AZ7" t="inlineStr"/>
      <c r="BA7" t="inlineStr"/>
      <c r="BB7" t="inlineStr">
        <is>
          <t>+30 mots-cles nettoyage forts | +20 budget annualise &lt;= 100 000 EUR | +10 secteur cible Mairie | +10 delai confortable 44j</t>
        </is>
      </c>
      <c r="BC7" t="inlineStr">
        <is>
          <t>COMMUNE DE MAGNY LE HONGRE publie un AO potentiellement pertinent pour CHRUTH : TRAVAUX D'AMÉNAGEMENT INTÉRIEUR DU R+1 ET COMBLE DE LA FERME DURPÉ. Zone : MAGNY LE HONGRE. Budget detecte environ 77 700 EUR. Verifier le lien source avant contact.</t>
        </is>
      </c>
      <c r="BD7"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7"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2026-W29</t>
        </is>
      </c>
    </row>
    <row r="8">
      <c r="A8" t="inlineStr">
        <is>
          <t>BOAMP</t>
        </is>
      </c>
      <c r="B8" t="inlineStr">
        <is>
          <t>26-72708</t>
        </is>
      </c>
      <c r="C8" t="inlineStr">
        <is>
          <t>Entretien ménager des locaux des sites mégalithiques de Carnac et Locmariaquer</t>
        </is>
      </c>
      <c r="D8" t="inlineStr">
        <is>
          <t>Centre Monuments Nationaux</t>
        </is>
      </c>
      <c r="E8" t="inlineStr">
        <is>
          <t>18004601300017</t>
        </is>
      </c>
      <c r="F8" t="inlineStr">
        <is>
          <t>180046013</t>
        </is>
      </c>
      <c r="G8" t="inlineStr"/>
      <c r="H8" t="inlineStr"/>
      <c r="I8" t="inlineStr">
        <is>
          <t>marches-publics@monuments-nationaux.fr</t>
        </is>
      </c>
      <c r="J8" t="inlineStr">
        <is>
          <t>0460130001</t>
        </is>
      </c>
      <c r="K8" t="inlineStr"/>
      <c r="L8" t="inlineStr"/>
      <c r="M8" t="inlineStr"/>
      <c r="N8" t="inlineStr">
        <is>
          <t>75,56</t>
        </is>
      </c>
      <c r="O8" t="inlineStr"/>
      <c r="P8" t="inlineStr">
        <is>
          <t>Ile-de-France</t>
        </is>
      </c>
      <c r="Q8" s="14" t="n">
        <v>46226</v>
      </c>
      <c r="R8" s="14" t="n">
        <v>46276</v>
      </c>
      <c r="S8" s="15" t="n">
        <v>60000</v>
      </c>
      <c r="T8" t="inlineStr">
        <is>
          <t>BUDGET_SOUS_SEUIL</t>
        </is>
      </c>
      <c r="U8" t="inlineStr">
        <is>
          <t>60000.0</t>
        </is>
      </c>
      <c r="V8" t="inlineStr">
        <is>
          <t>non</t>
        </is>
      </c>
      <c r="W8" t="inlineStr">
        <is>
          <t>Batiments</t>
        </is>
      </c>
      <c r="X8" t="inlineStr">
        <is>
          <t>Autre</t>
        </is>
      </c>
      <c r="Y8" t="inlineStr">
        <is>
          <t>SERVICES</t>
        </is>
      </c>
      <c r="Z8" t="inlineStr">
        <is>
          <t>Procédure Ouverte</t>
        </is>
      </c>
      <c r="AA8" t="inlineStr">
        <is>
          <t>Avis de marché</t>
        </is>
      </c>
      <c r="AB8" t="inlineStr">
        <is>
          <t>Nettoyage de locaux, Monuments historiques</t>
        </is>
      </c>
      <c r="AC8" t="inlineStr"/>
      <c r="AD8" s="10" t="inlineStr">
        <is>
          <t>https://www.boamp.fr/pages/avis/?q=idweb:26-72708</t>
        </is>
      </c>
      <c r="AE8" t="inlineStr">
        <is>
          <t>https://www.marches-publics.gouv.fr/entreprise</t>
        </is>
      </c>
      <c r="AF8" t="inlineStr">
        <is>
          <t>https://www.marches-publics.gouv.fr/entreprise</t>
        </is>
      </c>
      <c r="AG8" t="inlineStr">
        <is>
          <t>nettoyage, entretien menager</t>
        </is>
      </c>
      <c r="AH8" t="inlineStr">
        <is>
          <t>3</t>
        </is>
      </c>
      <c r="AI8" t="inlineStr">
        <is>
          <t>72</t>
        </is>
      </c>
      <c r="AJ8" t="inlineStr">
        <is>
          <t>INFO_PARTIELLE</t>
        </is>
      </c>
      <c r="AK8" t="inlineStr">
        <is>
          <t>65</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8" t="inlineStr">
        <is>
          <t>Verifier url_avis et DCE si disponible</t>
        </is>
      </c>
      <c r="AV8" t="inlineStr"/>
      <c r="AW8" t="inlineStr"/>
      <c r="AX8" t="inlineStr"/>
      <c r="AY8" t="inlineStr"/>
      <c r="AZ8" t="inlineStr"/>
      <c r="BA8" t="inlineStr"/>
      <c r="BB8" t="inlineStr">
        <is>
          <t>+35 nettoyage + categorie claire | +20 budget annualise &lt;= 100 000 EUR | +10 delai confortable 45j</t>
        </is>
      </c>
      <c r="BC8" t="inlineStr">
        <is>
          <t>Centre Monuments Nationaux publie un AO potentiellement pertinent pour CHRUTH : Entretien ménager des locaux des sites mégalithiques de Carnac et Locmariaquer. Zone : 75,56. Budget detecte environ 60 000 EUR. Verifier le lien source avant contact.</t>
        </is>
      </c>
      <c r="BD8"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8"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26-71675</t>
        </is>
      </c>
      <c r="C9" t="inlineStr">
        <is>
          <t>Décontamination, dépoussiérage et reconditionnement des réserves documentaires n°2 et 3 du Château de Sceaux</t>
        </is>
      </c>
      <c r="D9" t="inlineStr">
        <is>
          <t>Département des Hauts-de-Seine</t>
        </is>
      </c>
      <c r="E9" t="inlineStr">
        <is>
          <t>22920050600611</t>
        </is>
      </c>
      <c r="F9" t="inlineStr">
        <is>
          <t>229200506</t>
        </is>
      </c>
      <c r="G9" t="inlineStr">
        <is>
          <t>cellulecontact.achats@hauts-de-seine.fr</t>
        </is>
      </c>
      <c r="H9" t="inlineStr"/>
      <c r="I9" t="inlineStr">
        <is>
          <t>cellulecontact.achats@hauts-de-seine.fr</t>
        </is>
      </c>
      <c r="J9" t="inlineStr">
        <is>
          <t>+33 806000092</t>
        </is>
      </c>
      <c r="K9" t="inlineStr">
        <is>
          <t>Château de Sceaux 92330 - SCEAUX</t>
        </is>
      </c>
      <c r="L9" t="inlineStr">
        <is>
          <t>92000</t>
        </is>
      </c>
      <c r="M9" t="inlineStr">
        <is>
          <t>NANTERRE</t>
        </is>
      </c>
      <c r="N9" t="inlineStr">
        <is>
          <t>92</t>
        </is>
      </c>
      <c r="O9" t="inlineStr"/>
      <c r="P9" t="inlineStr">
        <is>
          <t>Ile-de-France</t>
        </is>
      </c>
      <c r="Q9" s="14" t="n">
        <v>46220</v>
      </c>
      <c r="R9" s="14" t="n">
        <v>46276</v>
      </c>
      <c r="S9" s="15" t="n">
        <v>92000</v>
      </c>
      <c r="T9" t="inlineStr">
        <is>
          <t>BUDGET_SOUS_SEUIL</t>
        </is>
      </c>
      <c r="U9" t="inlineStr">
        <is>
          <t>92000.0</t>
        </is>
      </c>
      <c r="V9" t="inlineStr">
        <is>
          <t>non</t>
        </is>
      </c>
      <c r="W9" t="inlineStr">
        <is>
          <t>Batiments</t>
        </is>
      </c>
      <c r="X9" t="inlineStr">
        <is>
          <t>Autre</t>
        </is>
      </c>
      <c r="Y9" t="inlineStr">
        <is>
          <t>SERVICES</t>
        </is>
      </c>
      <c r="Z9" t="inlineStr">
        <is>
          <t>Procédure Ouverte</t>
        </is>
      </c>
      <c r="AA9" t="inlineStr">
        <is>
          <t>Avis de marché</t>
        </is>
      </c>
      <c r="AB9" t="inlineStr">
        <is>
          <t>Prestations de services</t>
        </is>
      </c>
      <c r="AC9" t="inlineStr">
        <is>
          <t>['environnementaux']</t>
        </is>
      </c>
      <c r="AD9" s="10" t="inlineStr">
        <is>
          <t>https://www.boamp.fr/pages/avis/?q=idweb:26-71675</t>
        </is>
      </c>
      <c r="AE9" t="inlineStr">
        <is>
          <t>https://www.marches-publics.info/mpiaws/index.cfm?fuseaction=dematent.login&amp;type=Dce&amp;Idm=1851815</t>
        </is>
      </c>
      <c r="AF9" t="inlineStr">
        <is>
          <t>https://www.marches-publics.info/mpiaws/index.cfm?fuseaction=dematent.login&amp;type=Dce&amp;Idm=1851815</t>
        </is>
      </c>
      <c r="AG9" t="inlineStr">
        <is>
          <t>nettoyage</t>
        </is>
      </c>
      <c r="AH9" t="inlineStr">
        <is>
          <t>6</t>
        </is>
      </c>
      <c r="AI9" t="inlineStr">
        <is>
          <t>98</t>
        </is>
      </c>
      <c r="AJ9" t="inlineStr">
        <is>
          <t>INFO_PARTIELLE</t>
        </is>
      </c>
      <c r="AK9" t="inlineStr">
        <is>
          <t>65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9" t="inlineStr">
        <is>
          <t>Verifier url_avis et DCE si disponible</t>
        </is>
      </c>
      <c r="AV9" t="inlineStr"/>
      <c r="AW9" t="inlineStr"/>
      <c r="AX9" t="inlineStr"/>
      <c r="AY9" t="inlineStr"/>
      <c r="AZ9" t="inlineStr"/>
      <c r="BA9" t="inlineStr"/>
      <c r="BB9" t="inlineStr">
        <is>
          <t>+35 nettoyage + categorie claire | +20 budget annualise &lt;= 100 000 EUR | +10 delai confortable 45j</t>
        </is>
      </c>
      <c r="BC9"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9"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9"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26-71198</t>
        </is>
      </c>
      <c r="C10" t="inlineStr">
        <is>
          <t>CONCESSION DE SERVICE PUBLIC 
PORTANT SUR LA GESTION ET L'EXPLOITATION DES MARCHES FORAINS DE LA VILLE DE MONTROUGE</t>
        </is>
      </c>
      <c r="D10" t="inlineStr">
        <is>
          <t>Ville de Montrouge</t>
        </is>
      </c>
      <c r="E10" t="inlineStr"/>
      <c r="F10" t="inlineStr"/>
      <c r="G10" t="inlineStr">
        <is>
          <t>Le Bassard</t>
        </is>
      </c>
      <c r="H10" t="inlineStr"/>
      <c r="I10" t="inlineStr">
        <is>
          <t>marches@ville-montrouge.fr</t>
        </is>
      </c>
      <c r="J10" t="inlineStr">
        <is>
          <t>0146127303</t>
        </is>
      </c>
      <c r="K10" t="inlineStr"/>
      <c r="L10" t="inlineStr">
        <is>
          <t>92121</t>
        </is>
      </c>
      <c r="M10" t="inlineStr">
        <is>
          <t>Montrouge cedex</t>
        </is>
      </c>
      <c r="N10" t="inlineStr">
        <is>
          <t>92,75</t>
        </is>
      </c>
      <c r="O10" t="inlineStr"/>
      <c r="P10" t="inlineStr">
        <is>
          <t>Ile-de-France</t>
        </is>
      </c>
      <c r="Q10" s="14" t="n">
        <v>46219</v>
      </c>
      <c r="R10" s="14" t="n">
        <v>46295</v>
      </c>
      <c r="S10" t="inlineStr"/>
      <c r="T10" t="inlineStr">
        <is>
          <t>A_VERIFIER_BUDGET</t>
        </is>
      </c>
      <c r="U10" t="inlineStr"/>
      <c r="V10" t="inlineStr">
        <is>
          <t>non</t>
        </is>
      </c>
      <c r="W10" t="inlineStr">
        <is>
          <t>Batiments</t>
        </is>
      </c>
      <c r="X10" t="inlineStr">
        <is>
          <t>Mairie</t>
        </is>
      </c>
      <c r="Y10" t="inlineStr">
        <is>
          <t>SERVICES</t>
        </is>
      </c>
      <c r="Z10" t="inlineStr">
        <is>
          <t>Procédure NC</t>
        </is>
      </c>
      <c r="AA10" t="inlineStr">
        <is>
          <t>Avis de marché</t>
        </is>
      </c>
      <c r="AB10" t="inlineStr">
        <is>
          <t>Denrées alimentaires</t>
        </is>
      </c>
      <c r="AC10" t="inlineStr">
        <is>
          <t>['sociaux', 'environnementaux']</t>
        </is>
      </c>
      <c r="AD10" s="10" t="inlineStr">
        <is>
          <t>https://www.boamp.fr/pages/avis/?q=idweb:26-71198</t>
        </is>
      </c>
      <c r="AE10" t="inlineStr">
        <is>
          <t>https://www.achatpublic.com/sdm/ent2/gen/index.jsp</t>
        </is>
      </c>
      <c r="AF10" t="inlineStr">
        <is>
          <t>https://www.achatpublic.com/sdm/ent2/gen/index.jsp</t>
        </is>
      </c>
      <c r="AG10" t="inlineStr">
        <is>
          <t>nettoyage, proprete</t>
        </is>
      </c>
      <c r="AH10" t="inlineStr">
        <is>
          <t>4</t>
        </is>
      </c>
      <c r="AI10" t="inlineStr">
        <is>
          <t>86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SIRET, adresse,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64j</t>
        </is>
      </c>
      <c r="BC10"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10"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10"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2026-W29</t>
        </is>
      </c>
    </row>
    <row r="11">
      <c r="A11" t="inlineStr">
        <is>
          <t>BOAMP</t>
        </is>
      </c>
      <c r="B11" t="inlineStr">
        <is>
          <t>26-72948</t>
        </is>
      </c>
      <c r="C11" t="inlineStr">
        <is>
          <t>26MF026 - Fourniture d'appareils ménagers et d'équipements professionnels</t>
        </is>
      </c>
      <c r="D11" t="inlineStr">
        <is>
          <t>Ville de Plaisir</t>
        </is>
      </c>
      <c r="E11" t="inlineStr">
        <is>
          <t>21780490500016</t>
        </is>
      </c>
      <c r="F11" t="inlineStr">
        <is>
          <t>217804905</t>
        </is>
      </c>
      <c r="G11" t="inlineStr"/>
      <c r="H11" t="inlineStr"/>
      <c r="I11" t="inlineStr">
        <is>
          <t>vermuseau-ma@ville-plaisir.fr</t>
        </is>
      </c>
      <c r="J11" t="inlineStr">
        <is>
          <t>0490500016</t>
        </is>
      </c>
      <c r="K11" t="inlineStr"/>
      <c r="L11" t="inlineStr"/>
      <c r="M11" t="inlineStr"/>
      <c r="N11" t="inlineStr">
        <is>
          <t>78</t>
        </is>
      </c>
      <c r="O11" t="inlineStr"/>
      <c r="P11" t="inlineStr">
        <is>
          <t>Ile-de-France</t>
        </is>
      </c>
      <c r="Q11" s="14" t="n">
        <v>46226</v>
      </c>
      <c r="R11" s="14" t="n">
        <v>46261</v>
      </c>
      <c r="S11" t="inlineStr"/>
      <c r="T11" t="inlineStr">
        <is>
          <t>A_VERIFIER_BUDGET</t>
        </is>
      </c>
      <c r="U11" t="inlineStr"/>
      <c r="V11" t="inlineStr">
        <is>
          <t>non</t>
        </is>
      </c>
      <c r="W11" t="inlineStr">
        <is>
          <t>Mixte/Autre</t>
        </is>
      </c>
      <c r="X11" t="inlineStr">
        <is>
          <t>Mairie</t>
        </is>
      </c>
      <c r="Y11" t="inlineStr">
        <is>
          <t>FOURNITURES</t>
        </is>
      </c>
      <c r="Z11" t="inlineStr">
        <is>
          <t>Procédure Ouverte</t>
        </is>
      </c>
      <c r="AA11" t="inlineStr">
        <is>
          <t>Avis de marché</t>
        </is>
      </c>
      <c r="AB11" t="inlineStr">
        <is>
          <t>Electroménager</t>
        </is>
      </c>
      <c r="AC11" t="inlineStr"/>
      <c r="AD11" s="10" t="inlineStr">
        <is>
          <t>https://www.boamp.fr/pages/avis/?q=idweb:26-72948</t>
        </is>
      </c>
      <c r="AE11" t="inlineStr">
        <is>
          <t>https://ville-plaisir.e-marches-publics.com</t>
        </is>
      </c>
      <c r="AF11" t="inlineStr"/>
      <c r="AG11" t="inlineStr">
        <is>
          <t>nettoyage</t>
        </is>
      </c>
      <c r="AH11" t="inlineStr">
        <is>
          <t>3</t>
        </is>
      </c>
      <c r="AI11" t="inlineStr">
        <is>
          <t>68</t>
        </is>
      </c>
      <c r="AJ11" t="inlineStr">
        <is>
          <t>INFO_PARTIELLE</t>
        </is>
      </c>
      <c r="AK11" t="inlineStr">
        <is>
          <t>60</t>
        </is>
      </c>
      <c r="AL11" t="inlineStr">
        <is>
          <t>TIEDE</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11" t="inlineStr">
        <is>
          <t>Verifier url_avis et DCE si disponible</t>
        </is>
      </c>
      <c r="AV11" t="inlineStr">
        <is>
          <t>LIEN_SEUL</t>
        </is>
      </c>
      <c r="AW11" t="inlineStr"/>
      <c r="AX11" t="inlineStr"/>
      <c r="AY11" t="inlineStr"/>
      <c r="AZ11" t="inlineStr"/>
      <c r="BA11" t="inlineStr"/>
      <c r="BB11" t="inlineStr">
        <is>
          <t>+30 mots-cles nettoyage forts | +10 budget non affiche (a verifier) | +10 secteur cible Mairie | +10 delai confortable 30j</t>
        </is>
      </c>
      <c r="BC11" t="inlineStr">
        <is>
          <t>Ville de Plaisir publie un AO potentiellement pertinent pour CHRUTH : 26MF026 - Fourniture d'appareils ménagers et d'équipements professionnels. Zone : 78. Budget a verifier. Verifier le lien source avant contact.</t>
        </is>
      </c>
      <c r="BD11"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11"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2026-W30</t>
        </is>
      </c>
    </row>
    <row r="12">
      <c r="A12" t="inlineStr">
        <is>
          <t>BOAMP</t>
        </is>
      </c>
      <c r="B12" t="inlineStr">
        <is>
          <t>26-71986</t>
        </is>
      </c>
      <c r="C12" t="inlineStr">
        <is>
          <t>Nettoyage des locaux communaux et des vitreries des bâtiments communaux</t>
        </is>
      </c>
      <c r="D12" t="inlineStr">
        <is>
          <t>Ville de Fontenay-aux-Roses</t>
        </is>
      </c>
      <c r="E12" t="inlineStr"/>
      <c r="F12" t="inlineStr"/>
      <c r="G12" t="inlineStr"/>
      <c r="H12" t="inlineStr"/>
      <c r="I12" t="inlineStr">
        <is>
          <t>publications-joue@aws-france.com</t>
        </is>
      </c>
      <c r="J12" t="inlineStr">
        <is>
          <t>+33480041260</t>
        </is>
      </c>
      <c r="K12" t="inlineStr"/>
      <c r="L12" t="inlineStr"/>
      <c r="M12" t="inlineStr"/>
      <c r="N12" t="inlineStr">
        <is>
          <t>92</t>
        </is>
      </c>
      <c r="O12" t="inlineStr"/>
      <c r="P12" t="inlineStr">
        <is>
          <t>Ile-de-France</t>
        </is>
      </c>
      <c r="Q12" s="14" t="n">
        <v>46224</v>
      </c>
      <c r="R12" s="14" t="n">
        <v>46240</v>
      </c>
      <c r="S12" t="inlineStr"/>
      <c r="T12" t="inlineStr">
        <is>
          <t>A_VERIFIER_BUDGET</t>
        </is>
      </c>
      <c r="U12" t="inlineStr"/>
      <c r="V12" t="inlineStr">
        <is>
          <t>non</t>
        </is>
      </c>
      <c r="W12" t="inlineStr">
        <is>
          <t>Vitres</t>
        </is>
      </c>
      <c r="X12" t="inlineStr">
        <is>
          <t>Mairie</t>
        </is>
      </c>
      <c r="Y12" t="inlineStr">
        <is>
          <t>SERVICES</t>
        </is>
      </c>
      <c r="Z12" t="inlineStr">
        <is>
          <t>Procédure Ouverte</t>
        </is>
      </c>
      <c r="AA12" t="inlineStr">
        <is>
          <t>Avis de marché</t>
        </is>
      </c>
      <c r="AB12" t="inlineStr">
        <is>
          <t>Nettoyage de locaux, Vitrerie</t>
        </is>
      </c>
      <c r="AC12" t="inlineStr">
        <is>
          <t>['environnementaux']</t>
        </is>
      </c>
      <c r="AD12" s="10" t="inlineStr">
        <is>
          <t>https://www.boamp.fr/pages/avis/?q=idweb:26-71986</t>
        </is>
      </c>
      <c r="AE12" t="inlineStr">
        <is>
          <t>https://www.marches-publics.info/accueil.htm</t>
        </is>
      </c>
      <c r="AF12" t="inlineStr">
        <is>
          <t>https://www.marches-publics.info/accueil.htm</t>
        </is>
      </c>
      <c r="AG12" t="inlineStr">
        <is>
          <t>nettoyage</t>
        </is>
      </c>
      <c r="AH12" t="inlineStr">
        <is>
          <t>2</t>
        </is>
      </c>
      <c r="AI12" t="inlineStr">
        <is>
          <t>58</t>
        </is>
      </c>
      <c r="AJ12" t="inlineStr">
        <is>
          <t>INFO_PARTIELLE</t>
        </is>
      </c>
      <c r="AK12" t="inlineStr">
        <is>
          <t>60</t>
        </is>
      </c>
      <c r="AL12" t="inlineStr">
        <is>
          <t>TIEDE</t>
        </is>
      </c>
      <c r="AM12" t="inlineStr"/>
      <c r="AN12" t="inlineStr"/>
      <c r="AO12" t="inlineStr"/>
      <c r="AP12" t="inlineStr"/>
      <c r="AQ12" t="inlineStr">
        <is>
          <t>IA_BUDGET_A_VERIFIER</t>
        </is>
      </c>
      <c r="AR12" t="inlineStr">
        <is>
          <t>Verifier le budget dans l'avis source ou le DCE avant decision commerciale.</t>
        </is>
      </c>
      <c r="AS12" t="inlineStr">
        <is>
          <t>SIRET, 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12" t="inlineStr">
        <is>
          <t>Verifier url_avis et DCE si disponible</t>
        </is>
      </c>
      <c r="AV12" t="inlineStr">
        <is>
          <t>LIEN_SEUL</t>
        </is>
      </c>
      <c r="AW12" t="inlineStr"/>
      <c r="AX12" t="inlineStr"/>
      <c r="AY12" t="inlineStr"/>
      <c r="AZ12" t="inlineStr"/>
      <c r="BA12" t="inlineStr"/>
      <c r="BB12" t="inlineStr">
        <is>
          <t>+35 nettoyage + categorie claire | +10 budget non affiche (a verifier) | +10 secteur cible Mairie | +5 delai court 9j</t>
        </is>
      </c>
      <c r="BC12" t="inlineStr">
        <is>
          <t>Ville de Fontenay-aux-Roses publie un AO potentiellement pertinent pour CHRUTH : Nettoyage des locaux communaux et des vitreries des bâtiments communaux. Zone : 92. Budget a verifier. Verifier le lien source avant contact.</t>
        </is>
      </c>
      <c r="BD12"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2"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2026-W30</t>
        </is>
      </c>
    </row>
    <row r="13">
      <c r="A13" t="inlineStr">
        <is>
          <t>BOAMP</t>
        </is>
      </c>
      <c r="B13" t="inlineStr">
        <is>
          <t>26-71545</t>
        </is>
      </c>
      <c r="C13" t="inlineStr">
        <is>
          <t>Exploitation, maintenance des dispositifs de collecte pneumatique fixes et mobiles des déchets ménagers et transport de ces déchets</t>
        </is>
      </c>
      <c r="D13" t="inlineStr">
        <is>
          <t>Grand Paris Seine Ouest</t>
        </is>
      </c>
      <c r="E13" t="inlineStr">
        <is>
          <t>20005797400012</t>
        </is>
      </c>
      <c r="F13" t="inlineStr">
        <is>
          <t>200057974</t>
        </is>
      </c>
      <c r="G13" t="inlineStr"/>
      <c r="H13" t="inlineStr"/>
      <c r="I13" t="inlineStr">
        <is>
          <t>judith.comminsoli@seineouest.fr</t>
        </is>
      </c>
      <c r="J13" t="inlineStr">
        <is>
          <t>0579740001</t>
        </is>
      </c>
      <c r="K13" t="inlineStr"/>
      <c r="L13" t="inlineStr"/>
      <c r="M13" t="inlineStr"/>
      <c r="N13" t="inlineStr">
        <is>
          <t>92</t>
        </is>
      </c>
      <c r="O13" t="inlineStr"/>
      <c r="P13" t="inlineStr">
        <is>
          <t>Ile-de-France</t>
        </is>
      </c>
      <c r="Q13" s="14" t="n">
        <v>46222</v>
      </c>
      <c r="R13" s="14" t="n">
        <v>46275</v>
      </c>
      <c r="S13" s="15" t="n">
        <v>300000</v>
      </c>
      <c r="T13" t="inlineStr">
        <is>
          <t>BUDGET_EXPLICITE_OK</t>
        </is>
      </c>
      <c r="U13" t="inlineStr">
        <is>
          <t>75000</t>
        </is>
      </c>
      <c r="V13" t="inlineStr">
        <is>
          <t>oui</t>
        </is>
      </c>
      <c r="W13" t="inlineStr">
        <is>
          <t>Mixte/Autre</t>
        </is>
      </c>
      <c r="X13" t="inlineStr">
        <is>
          <t>Autre</t>
        </is>
      </c>
      <c r="Y13" t="inlineStr">
        <is>
          <t>SERVICES</t>
        </is>
      </c>
      <c r="Z13" t="inlineStr">
        <is>
          <t>Procédure Ouverte</t>
        </is>
      </c>
      <c r="AA13" t="inlineStr">
        <is>
          <t>Avis de marché</t>
        </is>
      </c>
      <c r="AB13" t="inlineStr">
        <is>
          <t>Collecte sélective</t>
        </is>
      </c>
      <c r="AC13" t="inlineStr">
        <is>
          <t>['environnementaux']</t>
        </is>
      </c>
      <c r="AD13" s="10" t="inlineStr">
        <is>
          <t>https://www.boamp.fr/pages/avis/?q=idweb:26-71545</t>
        </is>
      </c>
      <c r="AE13" t="inlineStr">
        <is>
          <t>https://marches.maximilien.fr/</t>
        </is>
      </c>
      <c r="AF13" t="inlineStr">
        <is>
          <t>https://marches.maximilien.fr/</t>
        </is>
      </c>
      <c r="AG13" t="inlineStr">
        <is>
          <t>nettoyage</t>
        </is>
      </c>
      <c r="AH13" t="inlineStr">
        <is>
          <t>3</t>
        </is>
      </c>
      <c r="AI13" t="inlineStr">
        <is>
          <t>68</t>
        </is>
      </c>
      <c r="AJ13" t="inlineStr">
        <is>
          <t>INFO_PARTIELLE</t>
        </is>
      </c>
      <c r="AK13" t="inlineStr">
        <is>
          <t>60</t>
        </is>
      </c>
      <c r="AL13" t="inlineStr">
        <is>
          <t>TIEDE</t>
        </is>
      </c>
      <c r="AM13" t="inlineStr"/>
      <c r="AN13" t="inlineStr"/>
      <c r="AO13" t="inlineStr"/>
      <c r="AP13" t="inlineStr"/>
      <c r="AQ13" t="inlineStr">
        <is>
          <t>IA_CONTACT_A_COMPLETER</t>
        </is>
      </c>
      <c r="AR13" t="inlineStr">
        <is>
          <t>Completer les champs manquants depuis l'avis source, le site acheteur ou le DCE.</t>
        </is>
      </c>
      <c r="AS13" t="inlineStr">
        <is>
          <t>adresse, ville</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13" t="inlineStr">
        <is>
          <t>Verifier url_avis et DCE si disponible</t>
        </is>
      </c>
      <c r="AV13" t="inlineStr"/>
      <c r="AW13" t="inlineStr"/>
      <c r="AX13" t="inlineStr"/>
      <c r="AY13" t="inlineStr"/>
      <c r="AZ13" t="inlineStr"/>
      <c r="BA13" t="inlineStr"/>
      <c r="BB13" t="inlineStr">
        <is>
          <t>+30 mots-cles nettoyage forts | +20 budget annualise &lt;= 100 000 EUR | +10 delai confortable 44j</t>
        </is>
      </c>
      <c r="BC13"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13"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13"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26-73898</t>
        </is>
      </c>
      <c r="C14" t="inlineStr">
        <is>
          <t>Fourniture de petits matériels et de consommables d'entretien et d'hygiène</t>
        </is>
      </c>
      <c r="D14" t="inlineStr">
        <is>
          <t>Département des Hauts-de-Seine</t>
        </is>
      </c>
      <c r="E14" t="inlineStr"/>
      <c r="F14" t="inlineStr"/>
      <c r="G14" t="inlineStr"/>
      <c r="H14" t="inlineStr"/>
      <c r="I14" t="inlineStr">
        <is>
          <t>publications-joue@aws-france.com</t>
        </is>
      </c>
      <c r="J14" t="inlineStr">
        <is>
          <t>+33480041260</t>
        </is>
      </c>
      <c r="K14" t="inlineStr"/>
      <c r="L14" t="inlineStr"/>
      <c r="M14" t="inlineStr"/>
      <c r="N14" t="inlineStr">
        <is>
          <t>92</t>
        </is>
      </c>
      <c r="O14" t="inlineStr"/>
      <c r="P14" t="inlineStr">
        <is>
          <t>Ile-de-France</t>
        </is>
      </c>
      <c r="Q14" s="14" t="n">
        <v>46228</v>
      </c>
      <c r="R14" s="14" t="n">
        <v>46280</v>
      </c>
      <c r="S14" t="inlineStr"/>
      <c r="T14" t="inlineStr">
        <is>
          <t>A_VERIFIER_BUDGET</t>
        </is>
      </c>
      <c r="U14" t="inlineStr"/>
      <c r="V14" t="inlineStr">
        <is>
          <t>non</t>
        </is>
      </c>
      <c r="W14" t="inlineStr">
        <is>
          <t>Batiments</t>
        </is>
      </c>
      <c r="X14" t="inlineStr">
        <is>
          <t>Autre</t>
        </is>
      </c>
      <c r="Y14" t="inlineStr">
        <is>
          <t>FOURNITURES</t>
        </is>
      </c>
      <c r="Z14" t="inlineStr">
        <is>
          <t>Procédure Ouverte</t>
        </is>
      </c>
      <c r="AA14" t="inlineStr">
        <is>
          <t>Avis de marché</t>
        </is>
      </c>
      <c r="AB14" t="inlineStr">
        <is>
          <t>Produits d'entretien</t>
        </is>
      </c>
      <c r="AC14" t="inlineStr">
        <is>
          <t>['sociaux', 'environnementaux']</t>
        </is>
      </c>
      <c r="AD14" s="10" t="inlineStr">
        <is>
          <t>https://www.boamp.fr/pages/avis/?q=idweb:26-73898</t>
        </is>
      </c>
      <c r="AE14" t="inlineStr">
        <is>
          <t>https://www.marches-publics.info/mpiaws/index.cfm?fuseaction=dematEnt.login&amp;amp;type=DCE&amp;amp;IDM=1854121</t>
        </is>
      </c>
      <c r="AF14" t="inlineStr">
        <is>
          <t>https://www.marches-publics.info/mpiaws/index.cfm?fuseaction=dematEnt.login&amp;amp;type=DCE&amp;amp;IDM=1854121</t>
        </is>
      </c>
      <c r="AG14" t="inlineStr">
        <is>
          <t>hygiene des locaux</t>
        </is>
      </c>
      <c r="AH14" t="inlineStr">
        <is>
          <t>2</t>
        </is>
      </c>
      <c r="AI14" t="inlineStr">
        <is>
          <t>58</t>
        </is>
      </c>
      <c r="AJ14" t="inlineStr">
        <is>
          <t>INFO_PARTIELLE</t>
        </is>
      </c>
      <c r="AK14" t="inlineStr">
        <is>
          <t>55</t>
        </is>
      </c>
      <c r="AL14" t="inlineStr">
        <is>
          <t>TIEDE</t>
        </is>
      </c>
      <c r="AM14" t="inlineStr"/>
      <c r="AN14" t="inlineStr"/>
      <c r="AO14" t="inlineStr"/>
      <c r="AP14" t="inlineStr"/>
      <c r="AQ14" t="inlineStr">
        <is>
          <t>IA_BUDGET_A_VERIFIER</t>
        </is>
      </c>
      <c r="AR14" t="inlineStr">
        <is>
          <t>Verifier le budget dans l'avis source ou le DCE avant decision commerciale.</t>
        </is>
      </c>
      <c r="AS14" t="inlineStr">
        <is>
          <t>SIRET, 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delai confortable 49j</t>
        </is>
      </c>
      <c r="BC14" t="inlineStr">
        <is>
          <t>Département des Hauts-de-Seine publie un AO potentiellement pertinent pour CHRUTH : Fourniture de petits matériels et de consommables d'entretien et d'hygiène. Zone : 92. Budget a verifier. Verifier le lien source avant contact.</t>
        </is>
      </c>
      <c r="BD14"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14"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2026-W30</t>
        </is>
      </c>
    </row>
    <row r="15">
      <c r="A15" t="inlineStr">
        <is>
          <t>BOAMP</t>
        </is>
      </c>
      <c r="B15" t="inlineStr">
        <is>
          <t>26-72955</t>
        </is>
      </c>
      <c r="C15" t="inlineStr">
        <is>
          <t>Prestations de nettoyage courant des locaux du CNRS et de vitreries incluant la fourniture des produits d’entretien et d’hygiène</t>
        </is>
      </c>
      <c r="D15" t="inlineStr">
        <is>
          <t>CNRS Délégation paris-Centre</t>
        </is>
      </c>
      <c r="E15" t="inlineStr">
        <is>
          <t>18008901303282</t>
        </is>
      </c>
      <c r="F15" t="inlineStr">
        <is>
          <t>180089013</t>
        </is>
      </c>
      <c r="G15" t="inlineStr"/>
      <c r="H15" t="inlineStr"/>
      <c r="I15" t="inlineStr">
        <is>
          <t>marchesdr2@dr2.cnrs.fr</t>
        </is>
      </c>
      <c r="J15" t="inlineStr">
        <is>
          <t>0890130328</t>
        </is>
      </c>
      <c r="K15" t="inlineStr"/>
      <c r="L15" t="inlineStr"/>
      <c r="M15" t="inlineStr"/>
      <c r="N15" t="inlineStr">
        <is>
          <t>75,77,78,91,92,93,94,95</t>
        </is>
      </c>
      <c r="O15" t="inlineStr"/>
      <c r="P15" t="inlineStr">
        <is>
          <t>Ile-de-France</t>
        </is>
      </c>
      <c r="Q15" s="14" t="n">
        <v>46225</v>
      </c>
      <c r="R15" s="14" t="n">
        <v>46269</v>
      </c>
      <c r="S15" t="inlineStr"/>
      <c r="T15" t="inlineStr">
        <is>
          <t>A_VERIFIER_BUDGET</t>
        </is>
      </c>
      <c r="U15" t="inlineStr"/>
      <c r="V15" t="inlineStr">
        <is>
          <t>non</t>
        </is>
      </c>
      <c r="W15" t="inlineStr">
        <is>
          <t>Batiments</t>
        </is>
      </c>
      <c r="X15" t="inlineStr">
        <is>
          <t>Autre</t>
        </is>
      </c>
      <c r="Y15" t="inlineStr">
        <is>
          <t>SERVICES</t>
        </is>
      </c>
      <c r="Z15" t="inlineStr">
        <is>
          <t>Procédure Ouverte</t>
        </is>
      </c>
      <c r="AA15" t="inlineStr">
        <is>
          <t>Avis de marché</t>
        </is>
      </c>
      <c r="AB15" t="inlineStr">
        <is>
          <t>Nettoyage de locaux</t>
        </is>
      </c>
      <c r="AC15" t="inlineStr"/>
      <c r="AD15" s="10" t="inlineStr">
        <is>
          <t>https://www.boamp.fr/pages/avis/?q=idweb:26-72955</t>
        </is>
      </c>
      <c r="AE15" t="inlineStr">
        <is>
          <t>https://www.marches-publics.gouv.fr</t>
        </is>
      </c>
      <c r="AF15" t="inlineStr">
        <is>
          <t>https://www.marches-publics.gouv.fr</t>
        </is>
      </c>
      <c r="AG15" t="inlineStr">
        <is>
          <t>nettoyage</t>
        </is>
      </c>
      <c r="AH15" t="inlineStr">
        <is>
          <t>3</t>
        </is>
      </c>
      <c r="AI15" t="inlineStr">
        <is>
          <t>68</t>
        </is>
      </c>
      <c r="AJ15" t="inlineStr">
        <is>
          <t>INFO_PARTIELLE</t>
        </is>
      </c>
      <c r="AK15" t="inlineStr">
        <is>
          <t>55</t>
        </is>
      </c>
      <c r="AL15" t="inlineStr">
        <is>
          <t>TIEDE</t>
        </is>
      </c>
      <c r="AM15" t="inlineStr"/>
      <c r="AN15" t="inlineStr"/>
      <c r="AO15" t="inlineStr"/>
      <c r="AP15" t="inlineStr"/>
      <c r="AQ15" t="inlineStr">
        <is>
          <t>IA_BUDGET_A_VERIFIER</t>
        </is>
      </c>
      <c r="AR15" t="inlineStr">
        <is>
          <t>Verifier le budget dans l'avis source ou le DCE avant decision commerciale.</t>
        </is>
      </c>
      <c r="AS15" t="inlineStr">
        <is>
          <t>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delai confortable 38j</t>
        </is>
      </c>
      <c r="BC15"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15"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15"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2026-W30</t>
        </is>
      </c>
    </row>
    <row r="16">
      <c r="A16" t="inlineStr">
        <is>
          <t>BOAMP</t>
        </is>
      </c>
      <c r="B16" t="inlineStr">
        <is>
          <t>26-72105</t>
        </is>
      </c>
      <c r="C16" t="inlineStr">
        <is>
          <t>PRESTATIONS DE SERVICES DE NETTOYAGE ET BIONETTOYAGE DES LOCAUX, DE LA VITRERIE ET SERVICES ASSOCIES POUR LE CHIMM</t>
        </is>
      </c>
      <c r="D16" t="inlineStr">
        <is>
          <t>Centre Hospitalier Poissy/Saint-Germain-En-Laye</t>
        </is>
      </c>
      <c r="E16" t="inlineStr">
        <is>
          <t>26780580200316</t>
        </is>
      </c>
      <c r="F16" t="inlineStr">
        <is>
          <t>267805802</t>
        </is>
      </c>
      <c r="G16" t="inlineStr"/>
      <c r="H16" t="inlineStr"/>
      <c r="I16" t="inlineStr">
        <is>
          <t>clementine.hee@ght-yvelinesnord.fr</t>
        </is>
      </c>
      <c r="J16" t="inlineStr">
        <is>
          <t>0580200316</t>
        </is>
      </c>
      <c r="K16" t="inlineStr"/>
      <c r="L16" t="inlineStr"/>
      <c r="M16" t="inlineStr"/>
      <c r="N16" t="inlineStr">
        <is>
          <t>78</t>
        </is>
      </c>
      <c r="O16" t="inlineStr"/>
      <c r="P16" t="inlineStr">
        <is>
          <t>Ile-de-France</t>
        </is>
      </c>
      <c r="Q16" s="14" t="n">
        <v>46224</v>
      </c>
      <c r="R16" s="14" t="n">
        <v>46293</v>
      </c>
      <c r="S16" t="inlineStr"/>
      <c r="T16" t="inlineStr">
        <is>
          <t>A_VERIFIER_BUDGET</t>
        </is>
      </c>
      <c r="U16" t="inlineStr"/>
      <c r="V16" t="inlineStr">
        <is>
          <t>non</t>
        </is>
      </c>
      <c r="W16" t="inlineStr">
        <is>
          <t>Vitres</t>
        </is>
      </c>
      <c r="X16" t="inlineStr">
        <is>
          <t>Autre</t>
        </is>
      </c>
      <c r="Y16" t="inlineStr">
        <is>
          <t>SERVICES</t>
        </is>
      </c>
      <c r="Z16" t="inlineStr">
        <is>
          <t>Procédure Ouverte</t>
        </is>
      </c>
      <c r="AA16" t="inlineStr">
        <is>
          <t>Avis de marché</t>
        </is>
      </c>
      <c r="AB16" t="inlineStr">
        <is>
          <t>Nettoyage de locaux, Vitrerie</t>
        </is>
      </c>
      <c r="AC16" t="inlineStr"/>
      <c r="AD16" s="10" t="inlineStr">
        <is>
          <t>https://www.boamp.fr/pages/avis/?q=idweb:26-72105</t>
        </is>
      </c>
      <c r="AE16" t="inlineStr">
        <is>
          <t>https://marches.maximilien.fr/entreprise/consultation/943757?orgAcronyme=a2k</t>
        </is>
      </c>
      <c r="AF16" t="inlineStr">
        <is>
          <t>https://marches.maximilien.fr/entreprise/consultation/943757?orgAcronyme=a2k</t>
        </is>
      </c>
      <c r="AG16" t="inlineStr">
        <is>
          <t>nettoyage, bionettoyage</t>
        </is>
      </c>
      <c r="AH16" t="inlineStr">
        <is>
          <t>3</t>
        </is>
      </c>
      <c r="AI16" t="inlineStr">
        <is>
          <t>76</t>
        </is>
      </c>
      <c r="AJ16" t="inlineStr">
        <is>
          <t>INFO_PARTIELLE</t>
        </is>
      </c>
      <c r="AK16" t="inlineStr">
        <is>
          <t>55</t>
        </is>
      </c>
      <c r="AL16" t="inlineStr">
        <is>
          <t>TIEDE</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delai confortable 62j</t>
        </is>
      </c>
      <c r="BC16"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16"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16"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2026-W30</t>
        </is>
      </c>
    </row>
    <row r="17">
      <c r="A17" t="inlineStr">
        <is>
          <t>BOAMP</t>
        </is>
      </c>
      <c r="B17" t="inlineStr">
        <is>
          <t>26-70522</t>
        </is>
      </c>
      <c r="C17" t="inlineStr">
        <is>
          <t>PRESTATIONS DE COACHING ET D’ACCOMPAGNEMENT DES MEMBRES D’UN CODIR AU PROFIT DE L’EPIDE</t>
        </is>
      </c>
      <c r="D17" t="inlineStr">
        <is>
          <t>EPIDE</t>
        </is>
      </c>
      <c r="E17" t="inlineStr">
        <is>
          <t>18009259500131</t>
        </is>
      </c>
      <c r="F17" t="inlineStr">
        <is>
          <t>180092595</t>
        </is>
      </c>
      <c r="G17" t="inlineStr"/>
      <c r="H17" t="inlineStr"/>
      <c r="I17" t="inlineStr">
        <is>
          <t>achats@epide.fr</t>
        </is>
      </c>
      <c r="J17" t="inlineStr">
        <is>
          <t>0925950013</t>
        </is>
      </c>
      <c r="K17" t="inlineStr"/>
      <c r="L17" t="inlineStr"/>
      <c r="M17" t="inlineStr"/>
      <c r="N17" t="inlineStr">
        <is>
          <t>92,67,68,24,33,40,47,64,3</t>
        </is>
      </c>
      <c r="O17" t="inlineStr"/>
      <c r="P17" t="inlineStr">
        <is>
          <t>Ile-de-France</t>
        </is>
      </c>
      <c r="Q17" s="14" t="n">
        <v>46220</v>
      </c>
      <c r="R17" s="14" t="n">
        <v>46259</v>
      </c>
      <c r="S17" t="inlineStr"/>
      <c r="T17" t="inlineStr">
        <is>
          <t>A_VERIFIER_BUDGET</t>
        </is>
      </c>
      <c r="U17" t="inlineStr"/>
      <c r="V17" t="inlineStr">
        <is>
          <t>non</t>
        </is>
      </c>
      <c r="W17" t="inlineStr">
        <is>
          <t>Batiments</t>
        </is>
      </c>
      <c r="X17" t="inlineStr">
        <is>
          <t>Autre</t>
        </is>
      </c>
      <c r="Y17" t="inlineStr">
        <is>
          <t>SERVICES</t>
        </is>
      </c>
      <c r="Z17" t="inlineStr">
        <is>
          <t>Procédure Ouverte</t>
        </is>
      </c>
      <c r="AA17" t="inlineStr">
        <is>
          <t>Avis de marché</t>
        </is>
      </c>
      <c r="AB17" t="inlineStr">
        <is>
          <t>Nettoyage de locaux</t>
        </is>
      </c>
      <c r="AC17" t="inlineStr"/>
      <c r="AD17" s="10" t="inlineStr">
        <is>
          <t>https://www.boamp.fr/pages/avis/?q=idweb:26-70522</t>
        </is>
      </c>
      <c r="AE17" t="inlineStr">
        <is>
          <t>https://www.epide.fr/</t>
        </is>
      </c>
      <c r="AF17" t="inlineStr"/>
      <c r="AG17" t="inlineStr">
        <is>
          <t>nettoyage</t>
        </is>
      </c>
      <c r="AH17" t="inlineStr">
        <is>
          <t>3</t>
        </is>
      </c>
      <c r="AI17" t="inlineStr">
        <is>
          <t>68</t>
        </is>
      </c>
      <c r="AJ17" t="inlineStr">
        <is>
          <t>INFO_PARTIELLE</t>
        </is>
      </c>
      <c r="AK17" t="inlineStr">
        <is>
          <t>55</t>
        </is>
      </c>
      <c r="AL17" t="inlineStr">
        <is>
          <t>TIEDE</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delai confortable 28j</t>
        </is>
      </c>
      <c r="BC17" t="inlineStr">
        <is>
          <t>EPIDE publie un AO potentiellement pertinent pour CHRUTH : PRESTATIONS DE COACHING ET D’ACCOMPAGNEMENT DES MEMBRES D’UN CODIR AU PROFIT DE L’EPIDE. Zone : 92,67,68,24,33,40,47,64,3. Budget a verifier. Verifier le lien source avant contact.</t>
        </is>
      </c>
      <c r="BD17"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17"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2026-W29</t>
        </is>
      </c>
    </row>
    <row r="18">
      <c r="A18" t="inlineStr">
        <is>
          <t>BOAMP</t>
        </is>
      </c>
      <c r="B18" t="inlineStr">
        <is>
          <t>26-70503</t>
        </is>
      </c>
      <c r="C18" t="inlineStr">
        <is>
          <t>Prestations de nettoyage des locaux et de la vitrerie et prestations associées pour les sites du GHT Grand Paris Nord-Est</t>
        </is>
      </c>
      <c r="D18" t="inlineStr">
        <is>
          <t>GHT GPNE</t>
        </is>
      </c>
      <c r="E18" t="inlineStr">
        <is>
          <t>20001803400013</t>
        </is>
      </c>
      <c r="F18" t="inlineStr">
        <is>
          <t>200018034</t>
        </is>
      </c>
      <c r="G18" t="inlineStr"/>
      <c r="H18" t="inlineStr"/>
      <c r="I18" t="inlineStr">
        <is>
          <t>ght.cellule-des-marches@ght-gpne.fr</t>
        </is>
      </c>
      <c r="J18" t="inlineStr">
        <is>
          <t>0180340001</t>
        </is>
      </c>
      <c r="K18" t="inlineStr"/>
      <c r="L18" t="inlineStr"/>
      <c r="M18" t="inlineStr"/>
      <c r="N18" t="inlineStr">
        <is>
          <t>93</t>
        </is>
      </c>
      <c r="O18" t="inlineStr"/>
      <c r="P18" t="inlineStr">
        <is>
          <t>Ile-de-France</t>
        </is>
      </c>
      <c r="Q18" s="14" t="n">
        <v>46220</v>
      </c>
      <c r="R18" s="14" t="n">
        <v>46269</v>
      </c>
      <c r="S18" t="inlineStr"/>
      <c r="T18" t="inlineStr">
        <is>
          <t>A_VERIFIER_BUDGET</t>
        </is>
      </c>
      <c r="U18" t="inlineStr"/>
      <c r="V18" t="inlineStr">
        <is>
          <t>non</t>
        </is>
      </c>
      <c r="W18" t="inlineStr">
        <is>
          <t>Vitres</t>
        </is>
      </c>
      <c r="X18" t="inlineStr">
        <is>
          <t>Autre</t>
        </is>
      </c>
      <c r="Y18" t="inlineStr">
        <is>
          <t>SERVICES</t>
        </is>
      </c>
      <c r="Z18" t="inlineStr">
        <is>
          <t>Procédure Ouverte</t>
        </is>
      </c>
      <c r="AA18" t="inlineStr">
        <is>
          <t>Avis de marché</t>
        </is>
      </c>
      <c r="AB18" t="inlineStr">
        <is>
          <t>Nettoyage de locaux</t>
        </is>
      </c>
      <c r="AC18" t="inlineStr"/>
      <c r="AD18" s="10" t="inlineStr">
        <is>
          <t>https://www.boamp.fr/pages/avis/?q=idweb:26-70503</t>
        </is>
      </c>
      <c r="AE18" t="inlineStr">
        <is>
          <t>https://marches.maximilien.fr/entreprise/consultation/943277?orgAcronyme=a1j</t>
        </is>
      </c>
      <c r="AF18" t="inlineStr">
        <is>
          <t>https://marches.maximilien.fr/entreprise/consultation/943277?orgAcronyme=a1j</t>
        </is>
      </c>
      <c r="AG18" t="inlineStr">
        <is>
          <t>nettoyage</t>
        </is>
      </c>
      <c r="AH18" t="inlineStr">
        <is>
          <t>3</t>
        </is>
      </c>
      <c r="AI18" t="inlineStr">
        <is>
          <t>68</t>
        </is>
      </c>
      <c r="AJ18" t="inlineStr">
        <is>
          <t>INFO_PARTIELLE</t>
        </is>
      </c>
      <c r="AK18" t="inlineStr">
        <is>
          <t>55</t>
        </is>
      </c>
      <c r="AL18" t="inlineStr">
        <is>
          <t>TIEDE</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delai confortable 38j</t>
        </is>
      </c>
      <c r="BC18" t="inlineStr">
        <is>
          <t>GHT GPNE publie un AO potentiellement pertinent pour CHRUTH : Prestations de nettoyage des locaux et de la vitrerie et prestations associées pour les sites du GHT Grand Paris Nord-Est. Zone : 93. Budget a verifier. Verifier le lien source avant contact.</t>
        </is>
      </c>
      <c r="BD18"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18"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2026-W29</t>
        </is>
      </c>
    </row>
    <row r="19">
      <c r="A19" t="inlineStr">
        <is>
          <t>BOAMP</t>
        </is>
      </c>
      <c r="B19" t="inlineStr">
        <is>
          <t>26-72690</t>
        </is>
      </c>
      <c r="C19" t="inlineStr">
        <is>
          <t>Service de mise à disposition de personnel</t>
        </is>
      </c>
      <c r="D19" t="inlineStr">
        <is>
          <t>Mairie d&amp;#039;ANTONY</t>
        </is>
      </c>
      <c r="E19" t="inlineStr">
        <is>
          <t>21920002900011</t>
        </is>
      </c>
      <c r="F19" t="inlineStr">
        <is>
          <t>219200029</t>
        </is>
      </c>
      <c r="G19" t="inlineStr"/>
      <c r="H19" t="inlineStr"/>
      <c r="I19" t="inlineStr">
        <is>
          <t>marchespublics@ville-antony.fr</t>
        </is>
      </c>
      <c r="J19" t="inlineStr">
        <is>
          <t>+33 140966840</t>
        </is>
      </c>
      <c r="K19" t="inlineStr"/>
      <c r="L19" t="inlineStr"/>
      <c r="M19" t="inlineStr"/>
      <c r="N19" t="inlineStr">
        <is>
          <t>92</t>
        </is>
      </c>
      <c r="O19" t="inlineStr"/>
      <c r="P19" t="inlineStr">
        <is>
          <t>Ile-de-France</t>
        </is>
      </c>
      <c r="Q19" s="14" t="n">
        <v>46225</v>
      </c>
      <c r="R19" s="14" t="n">
        <v>46274</v>
      </c>
      <c r="S19" s="15" t="n">
        <v>150000</v>
      </c>
      <c r="T19" t="inlineStr">
        <is>
          <t>BUDGET_EXPLICITE_OK</t>
        </is>
      </c>
      <c r="U19" t="inlineStr">
        <is>
          <t>37500</t>
        </is>
      </c>
      <c r="V19" t="inlineStr">
        <is>
          <t>oui</t>
        </is>
      </c>
      <c r="W19" t="inlineStr">
        <is>
          <t>Personnel</t>
        </is>
      </c>
      <c r="X19" t="inlineStr">
        <is>
          <t>Mairie</t>
        </is>
      </c>
      <c r="Y19" t="inlineStr">
        <is>
          <t>SERVICES</t>
        </is>
      </c>
      <c r="Z19" t="inlineStr">
        <is>
          <t>Procédure Ouverte</t>
        </is>
      </c>
      <c r="AA19" t="inlineStr">
        <is>
          <t>Avis de marché</t>
        </is>
      </c>
      <c r="AB19" t="inlineStr">
        <is>
          <t>Mise à disposition de personnel</t>
        </is>
      </c>
      <c r="AC19" t="inlineStr"/>
      <c r="AD19" s="10" t="inlineStr">
        <is>
          <t>https://www.boamp.fr/pages/avis/?q=idweb:26-72690</t>
        </is>
      </c>
      <c r="AE19" t="inlineStr">
        <is>
          <t>https://marches.maximilien.fr/</t>
        </is>
      </c>
      <c r="AF19" t="inlineStr">
        <is>
          <t>https://marches.maximilien.fr/</t>
        </is>
      </c>
      <c r="AG19" t="inlineStr"/>
      <c r="AH19" t="inlineStr">
        <is>
          <t>3</t>
        </is>
      </c>
      <c r="AI19" t="inlineStr">
        <is>
          <t>60</t>
        </is>
      </c>
      <c r="AJ19" t="inlineStr">
        <is>
          <t>INFO_PARTIELLE</t>
        </is>
      </c>
      <c r="AK19" t="inlineStr">
        <is>
          <t>45</t>
        </is>
      </c>
      <c r="AL19" t="inlineStr">
        <is>
          <t>TIEDE</t>
        </is>
      </c>
      <c r="AM19" t="inlineStr"/>
      <c r="AN19" t="inlineStr"/>
      <c r="AO19" t="inlineStr"/>
      <c r="AP19" t="inlineStr"/>
      <c r="AQ19" t="inlineStr">
        <is>
          <t>IA_CONTACT_A_COMPLETER</t>
        </is>
      </c>
      <c r="AR19" t="inlineStr">
        <is>
          <t>Completer les champs manquants depuis l'avis source, le site acheteur ou le DCE.</t>
        </is>
      </c>
      <c r="AS19" t="inlineStr">
        <is>
          <t>adresse, ville</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19" t="inlineStr">
        <is>
          <t>Verifier url_avis et DCE si disponible</t>
        </is>
      </c>
      <c r="AV19" t="inlineStr"/>
      <c r="AW19" t="inlineStr"/>
      <c r="AX19" t="inlineStr"/>
      <c r="AY19" t="inlineStr"/>
      <c r="AZ19" t="inlineStr"/>
      <c r="BA19" t="inlineStr"/>
      <c r="BB19" t="inlineStr">
        <is>
          <t>0 pertinence metier faible | +25 budget annualise &lt;= 50 000 EUR | +10 secteur cible Mairie | +10 delai confortable 43j</t>
        </is>
      </c>
      <c r="BC19" t="inlineStr">
        <is>
          <t>Mairie d&amp;#039;ANTONY publie un AO potentiellement pertinent pour CHRUTH : Service de mise à disposition de personnel. Zone : 92. Budget detecte environ 150 000 EUR. Verifier le lien source avant contact.</t>
        </is>
      </c>
      <c r="BD19"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19"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2026-W30</t>
        </is>
      </c>
    </row>
    <row r="20">
      <c r="A20" t="inlineStr">
        <is>
          <t>BOAMP</t>
        </is>
      </c>
      <c r="B20" t="inlineStr">
        <is>
          <t>26-70805</t>
        </is>
      </c>
      <c r="C20" t="inlineStr">
        <is>
          <t>Prestation de paie externalisée</t>
        </is>
      </c>
      <c r="D20" t="inlineStr">
        <is>
          <t>Les Eaux de la Confluence</t>
        </is>
      </c>
      <c r="E20" t="inlineStr">
        <is>
          <t>10133050400016</t>
        </is>
      </c>
      <c r="F20" t="inlineStr">
        <is>
          <t>101330504</t>
        </is>
      </c>
      <c r="G20" t="inlineStr">
        <is>
          <t>Service achat</t>
        </is>
      </c>
      <c r="H20" t="inlineStr"/>
      <c r="I20" t="inlineStr">
        <is>
          <t>juliette.gontier@leseauxdelaconfluence.fr</t>
        </is>
      </c>
      <c r="J20" t="inlineStr">
        <is>
          <t>0133050400</t>
        </is>
      </c>
      <c r="K20" t="inlineStr">
        <is>
          <t>(95) Val-d'Oise</t>
        </is>
      </c>
      <c r="L20" t="inlineStr">
        <is>
          <t>95027</t>
        </is>
      </c>
      <c r="M20" t="inlineStr">
        <is>
          <t>Cergy-Pontoise</t>
        </is>
      </c>
      <c r="N20" t="inlineStr">
        <is>
          <t>95</t>
        </is>
      </c>
      <c r="O20" t="inlineStr"/>
      <c r="P20" t="inlineStr">
        <is>
          <t>Ile-de-France</t>
        </is>
      </c>
      <c r="Q20" s="14" t="n">
        <v>46219</v>
      </c>
      <c r="R20" s="14" t="n">
        <v>46240</v>
      </c>
      <c r="S20" s="15" t="n">
        <v>95027</v>
      </c>
      <c r="T20" t="inlineStr">
        <is>
          <t>BUDGET_SOUS_SEUIL</t>
        </is>
      </c>
      <c r="U20" t="inlineStr">
        <is>
          <t>190054</t>
        </is>
      </c>
      <c r="V20" t="inlineStr">
        <is>
          <t>oui</t>
        </is>
      </c>
      <c r="W20" t="inlineStr">
        <is>
          <t>Batiments</t>
        </is>
      </c>
      <c r="X20" t="inlineStr">
        <is>
          <t>Autre</t>
        </is>
      </c>
      <c r="Y20" t="inlineStr">
        <is>
          <t>SERVICES</t>
        </is>
      </c>
      <c r="Z20" t="inlineStr">
        <is>
          <t>Procédure Ouverte</t>
        </is>
      </c>
      <c r="AA20" t="inlineStr">
        <is>
          <t>Avis de marché</t>
        </is>
      </c>
      <c r="AB20" t="inlineStr">
        <is>
          <t>Nettoyage de locaux</t>
        </is>
      </c>
      <c r="AC20" t="inlineStr"/>
      <c r="AD20" s="10" t="inlineStr">
        <is>
          <t>https://www.boamp.fr/pages/avis/?q=idweb:26-70805</t>
        </is>
      </c>
      <c r="AE20" t="inlineStr">
        <is>
          <t>https://marches.maximilien.fr/entreprise/consultation/943427?orgAcronyme=a7q</t>
        </is>
      </c>
      <c r="AF20" t="inlineStr">
        <is>
          <t>https://marches.maximilien.fr/entreprise/consultation/943427?orgAcronyme=a7q</t>
        </is>
      </c>
      <c r="AG20" t="inlineStr">
        <is>
          <t>nettoyage</t>
        </is>
      </c>
      <c r="AH20" t="inlineStr">
        <is>
          <t>6</t>
        </is>
      </c>
      <c r="AI20" t="inlineStr">
        <is>
          <t>98</t>
        </is>
      </c>
      <c r="AJ20" t="inlineStr">
        <is>
          <t>INFO_PARTIELLE</t>
        </is>
      </c>
      <c r="AK20" t="inlineStr">
        <is>
          <t>45</t>
        </is>
      </c>
      <c r="AL20" t="inlineStr">
        <is>
          <t>TIEDE</t>
        </is>
      </c>
      <c r="AM20" t="inlineStr"/>
      <c r="AN20" t="inlineStr"/>
      <c r="AO20" t="inlineStr"/>
      <c r="AP20" t="inlineStr"/>
      <c r="AQ20" t="inlineStr">
        <is>
          <t>IA_CONTROLE_SOURCE</t>
        </is>
      </c>
      <c r="AR20" t="inlineStr">
        <is>
          <t>Verifier rapidement la source avant contact.</t>
        </is>
      </c>
      <c r="AS20" t="inlineStr">
        <is>
          <t>Aucun champ critique manquant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20" t="inlineStr">
        <is>
          <t>Verifier url_avis et DCE si disponible</t>
        </is>
      </c>
      <c r="AV20" t="inlineStr"/>
      <c r="AW20" t="inlineStr"/>
      <c r="AX20" t="inlineStr"/>
      <c r="AY20" t="inlineStr"/>
      <c r="AZ20" t="inlineStr"/>
      <c r="BA20" t="inlineStr"/>
      <c r="BB20" t="inlineStr">
        <is>
          <t>+35 nettoyage + categorie claire | +5 budget annualise &lt;= 200 000 EUR | +5 delai court 9j</t>
        </is>
      </c>
      <c r="BC20" t="inlineStr">
        <is>
          <t>Les Eaux de la Confluence publie un AO potentiellement pertinent pour CHRUTH : Prestation de paie externalisée. Zone : Cergy-Pontoise. Budget detecte environ 95 027 EUR. Verifier le lien source avant contact.</t>
        </is>
      </c>
      <c r="BD20"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20"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2026-W29</t>
        </is>
      </c>
    </row>
    <row r="21">
      <c r="A21" t="inlineStr">
        <is>
          <t>BOAMP</t>
        </is>
      </c>
      <c r="B21" t="inlineStr">
        <is>
          <t>26-70259</t>
        </is>
      </c>
      <c r="C21" t="inlineStr">
        <is>
          <t>Marché de prestations de gardiennage lors de manifestations sur sites
Le titulaire du présent marché sera capable d'assurer sa mission de gardiennage dans le cadre d'interventions planifiée</t>
        </is>
      </c>
      <c r="D21" t="inlineStr">
        <is>
          <t>Mairie de Sannois</t>
        </is>
      </c>
      <c r="E21" t="inlineStr"/>
      <c r="F21" t="inlineStr"/>
      <c r="G21" t="inlineStr"/>
      <c r="H21" t="inlineStr"/>
      <c r="I21" t="inlineStr">
        <is>
          <t>publications-joue@aws-france.com</t>
        </is>
      </c>
      <c r="J21" t="inlineStr">
        <is>
          <t>+33480041260</t>
        </is>
      </c>
      <c r="K21" t="inlineStr"/>
      <c r="L21" t="inlineStr"/>
      <c r="M21" t="inlineStr"/>
      <c r="N21" t="inlineStr">
        <is>
          <t>95</t>
        </is>
      </c>
      <c r="O21" t="inlineStr"/>
      <c r="P21" t="inlineStr">
        <is>
          <t>Ile-de-France</t>
        </is>
      </c>
      <c r="Q21" s="14" t="n">
        <v>46219</v>
      </c>
      <c r="R21" s="14" t="n">
        <v>46251</v>
      </c>
      <c r="S21" s="15" t="n">
        <v>55000</v>
      </c>
      <c r="T21" t="inlineStr">
        <is>
          <t>BUDGET_SOUS_SEUIL</t>
        </is>
      </c>
      <c r="U21" t="inlineStr">
        <is>
          <t>55000.0</t>
        </is>
      </c>
      <c r="V21" t="inlineStr">
        <is>
          <t>non</t>
        </is>
      </c>
      <c r="W21" t="inlineStr">
        <is>
          <t>Personnel</t>
        </is>
      </c>
      <c r="X21" t="inlineStr">
        <is>
          <t>Mairie</t>
        </is>
      </c>
      <c r="Y21" t="inlineStr">
        <is>
          <t>SERVICES</t>
        </is>
      </c>
      <c r="Z21" t="inlineStr">
        <is>
          <t>Procédure Ouverte</t>
        </is>
      </c>
      <c r="AA21" t="inlineStr">
        <is>
          <t>Avis de marché</t>
        </is>
      </c>
      <c r="AB21" t="inlineStr">
        <is>
          <t>Gardiennage, Prestations de services, Surveillance</t>
        </is>
      </c>
      <c r="AC21" t="inlineStr">
        <is>
          <t>['sociaux', 'environnementaux']</t>
        </is>
      </c>
      <c r="AD21" s="10" t="inlineStr">
        <is>
          <t>https://www.boamp.fr/pages/avis/?q=idweb:26-70259</t>
        </is>
      </c>
      <c r="AE21" t="inlineStr">
        <is>
          <t>https://www.achatpublic.com/</t>
        </is>
      </c>
      <c r="AF21" t="inlineStr">
        <is>
          <t>https://www.achatpublic.com/</t>
        </is>
      </c>
      <c r="AG21" t="inlineStr"/>
      <c r="AH21" t="inlineStr">
        <is>
          <t>2</t>
        </is>
      </c>
      <c r="AI21" t="inlineStr">
        <is>
          <t>50</t>
        </is>
      </c>
      <c r="AJ21" t="inlineStr">
        <is>
          <t>INFO_PARTIELLE</t>
        </is>
      </c>
      <c r="AK21" t="inlineStr">
        <is>
          <t>40</t>
        </is>
      </c>
      <c r="AL21" t="inlineStr">
        <is>
          <t>TIEDE</t>
        </is>
      </c>
      <c r="AM21" t="inlineStr"/>
      <c r="AN21" t="inlineStr"/>
      <c r="AO21" t="inlineStr"/>
      <c r="AP21" t="inlineStr"/>
      <c r="AQ21" t="inlineStr">
        <is>
          <t>IA_CONTACT_A_COMPLETER</t>
        </is>
      </c>
      <c r="AR21" t="inlineStr">
        <is>
          <t>Completer les champs manquants depuis l'avis source, le site acheteur ou le DCE.</t>
        </is>
      </c>
      <c r="AS21" t="inlineStr">
        <is>
          <t>SIRET, 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21" t="inlineStr">
        <is>
          <t>Verifier url_avis et DCE si disponible</t>
        </is>
      </c>
      <c r="AV21" t="inlineStr"/>
      <c r="AW21" t="inlineStr"/>
      <c r="AX21" t="inlineStr"/>
      <c r="AY21" t="inlineStr"/>
      <c r="AZ21" t="inlineStr"/>
      <c r="BA21" t="inlineStr"/>
      <c r="BB21" t="inlineStr">
        <is>
          <t>0 pertinence metier faible | +20 budget annualise &lt;= 100 000 EUR | +10 secteur cible Mairie | +10 delai confortable 20j</t>
        </is>
      </c>
      <c r="BC21"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21"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21"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row r="22">
      <c r="A22" t="inlineStr">
        <is>
          <t>BOAMP</t>
        </is>
      </c>
      <c r="B22" t="inlineStr">
        <is>
          <t>26-74504</t>
        </is>
      </c>
      <c r="C22" t="inlineStr">
        <is>
          <t>chalet DGAC pour le salon du Bourget</t>
        </is>
      </c>
      <c r="D22" t="inlineStr">
        <is>
          <t>SG / SDF2</t>
        </is>
      </c>
      <c r="E22" t="inlineStr">
        <is>
          <t>12006401900074</t>
        </is>
      </c>
      <c r="F22" t="inlineStr">
        <is>
          <t>120064019</t>
        </is>
      </c>
      <c r="G22" t="inlineStr">
        <is>
          <t>SDF2 - Pole achats et marchés</t>
        </is>
      </c>
      <c r="H22" t="inlineStr"/>
      <c r="I22" t="inlineStr">
        <is>
          <t>pmi-dgac@aviation-civile.gouv.fr</t>
        </is>
      </c>
      <c r="J22" t="inlineStr">
        <is>
          <t>0640190007</t>
        </is>
      </c>
      <c r="K22" t="inlineStr">
        <is>
          <t>Le parc des expositions de Paris-Le Bourget, aéroport Paris-Le Bourget, 93 350 Le Bourget</t>
        </is>
      </c>
      <c r="L22" t="inlineStr">
        <is>
          <t>75720</t>
        </is>
      </c>
      <c r="M22" t="inlineStr">
        <is>
          <t>Paris Cedex 15</t>
        </is>
      </c>
      <c r="N22" t="inlineStr">
        <is>
          <t>75,93</t>
        </is>
      </c>
      <c r="O22" t="inlineStr"/>
      <c r="P22" t="inlineStr">
        <is>
          <t>Ile-de-France</t>
        </is>
      </c>
      <c r="Q22" s="14" t="n">
        <v>46227</v>
      </c>
      <c r="R22" s="14" t="n">
        <v>46279</v>
      </c>
      <c r="S22" s="15" t="n">
        <v>570000</v>
      </c>
      <c r="T22" t="inlineStr">
        <is>
          <t>BUDGET_EXPLICITE_OK</t>
        </is>
      </c>
      <c r="U22" t="inlineStr">
        <is>
          <t>285000</t>
        </is>
      </c>
      <c r="V22" t="inlineStr">
        <is>
          <t>oui</t>
        </is>
      </c>
      <c r="W22" t="inlineStr">
        <is>
          <t>Personnel</t>
        </is>
      </c>
      <c r="X22" t="inlineStr">
        <is>
          <t>Autre</t>
        </is>
      </c>
      <c r="Y22" t="inlineStr">
        <is>
          <t>TRAVAUX</t>
        </is>
      </c>
      <c r="Z22" t="inlineStr">
        <is>
          <t>Procédure Ouverte</t>
        </is>
      </c>
      <c r="AA22" t="inlineStr">
        <is>
          <t>Avis de marché</t>
        </is>
      </c>
      <c r="AB22" t="inlineStr">
        <is>
          <t>Stand, Evénementiel</t>
        </is>
      </c>
      <c r="AC22" t="inlineStr">
        <is>
          <t>['environnementaux']</t>
        </is>
      </c>
      <c r="AD22" s="10" t="inlineStr">
        <is>
          <t>https://www.boamp.fr/pages/avis/?q=idweb:26-74504</t>
        </is>
      </c>
      <c r="AE22" t="inlineStr">
        <is>
          <t>https://www.marches-publics.gouv.fr/entreprise/consultation/3043184?orgAcronyme=d4t</t>
        </is>
      </c>
      <c r="AF22" t="inlineStr">
        <is>
          <t>https://www.marches-publics.gouv.fr/entreprise/consultation/3043184?orgAcronyme=d4t</t>
        </is>
      </c>
      <c r="AG22" t="inlineStr">
        <is>
          <t>nettoyage</t>
        </is>
      </c>
      <c r="AH22" t="inlineStr">
        <is>
          <t>6</t>
        </is>
      </c>
      <c r="AI22" t="inlineStr">
        <is>
          <t>98</t>
        </is>
      </c>
      <c r="AJ22" t="inlineStr">
        <is>
          <t>INFO_COMPLETE</t>
        </is>
      </c>
      <c r="AK22" t="inlineStr">
        <is>
          <t>35</t>
        </is>
      </c>
      <c r="AL22" s="16" t="inlineStr">
        <is>
          <t>FROID</t>
        </is>
      </c>
      <c r="AM22" t="inlineStr"/>
      <c r="AN22" t="inlineStr"/>
      <c r="AO22" t="inlineStr"/>
      <c r="AP22" t="inlineStr"/>
      <c r="AQ22" t="inlineStr">
        <is>
          <t>IA_CONTROLE_SOURCE</t>
        </is>
      </c>
      <c r="AR22" t="inlineStr">
        <is>
          <t>Verifier rapidement la source avant contact.</t>
        </is>
      </c>
      <c r="AS22" t="inlineStr">
        <is>
          <t>Aucun champ critique manquant</t>
        </is>
      </c>
      <c r="AT2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26-74504. Objet: chalet DGAC pour le salon du Bourget. Acheteur: SG / SDF2. Lien: https://www.boamp.fr/pages/avis/?q=idweb:26-74504.</t>
        </is>
      </c>
      <c r="AU22" t="inlineStr">
        <is>
          <t>Verifier url_avis et DCE si disponible</t>
        </is>
      </c>
      <c r="AV22" t="inlineStr"/>
      <c r="AW22" t="inlineStr"/>
      <c r="AX22" t="inlineStr"/>
      <c r="AY22" t="inlineStr"/>
      <c r="AZ22" t="inlineStr"/>
      <c r="BA22" t="inlineStr"/>
      <c r="BB22" t="inlineStr">
        <is>
          <t>+35 nettoyage + categorie claire | -10 budget annualise &lt;= 500 000 EUR | +10 delai confortable 48j</t>
        </is>
      </c>
      <c r="BC22" t="inlineStr">
        <is>
          <t>SG / SDF2 publie un AO potentiellement pertinent pour CHRUTH : chalet DGAC pour le salon du Bourget. Zone : Paris Cedex 15. Budget detecte environ 570 000 EUR. Verifier le lien source avant contact.</t>
        </is>
      </c>
      <c r="BD22" t="inlineStr">
        <is>
          <t>Bonjour,
Je me permets de vous contacter au sujet de votre appel d'offres : chalet DGAC pour le salon du Bourget.
CHRUTH accompagne les structures publiques et privées sur les besoins de nettoyage, d'entretien des locaux et d'organisation de prestations de service.
Serait-il possible d'échanger rapidement afin de vérifier les modalités de réponse et les attentes de SG / SDF2 ?
Cordialement,</t>
        </is>
      </c>
      <c r="BE22" t="inlineStr">
        <is>
          <t>Bonjour, je vous appelle concernant un appel d'offres publié par SG / SDF2. Je souhaite vérifier les informations pratiques : périmètre des prestations, date limite, modalités de visite, contact technique et pièces attendues. Pouvez-vous m'indiquer la bonne personne à contacter ?</t>
        </is>
      </c>
      <c r="BF22" t="inlineStr"/>
      <c r="BG22" t="inlineStr"/>
      <c r="BH22" t="inlineStr"/>
      <c r="BI22" t="inlineStr"/>
      <c r="BJ22" t="inlineStr"/>
      <c r="BK22" t="inlineStr"/>
      <c r="BL22" t="inlineStr"/>
      <c r="BM22" t="inlineStr">
        <is>
          <t>2026-W30</t>
        </is>
      </c>
    </row>
    <row r="23">
      <c r="A23" t="inlineStr">
        <is>
          <t>BOAMP</t>
        </is>
      </c>
      <c r="B23" t="inlineStr">
        <is>
          <t>26-73442</t>
        </is>
      </c>
      <c r="C23" t="inlineStr">
        <is>
          <t>Travaux de menuiseries extérieures et de vitrerie dans les bâtiments communaux</t>
        </is>
      </c>
      <c r="D23" t="inlineStr">
        <is>
          <t>Ville de Montrouge
Direction des bâtiments, énergie et propreté 
43 avenue de la République
92120 MONTROUGE</t>
        </is>
      </c>
      <c r="E23" t="inlineStr">
        <is>
          <t>21920049000015</t>
        </is>
      </c>
      <c r="F23" t="inlineStr">
        <is>
          <t>219200490</t>
        </is>
      </c>
      <c r="G23" t="inlineStr"/>
      <c r="H23" t="inlineStr"/>
      <c r="I23" t="inlineStr">
        <is>
          <t>o.satouri@ville-montrouge.fr</t>
        </is>
      </c>
      <c r="J23" t="inlineStr">
        <is>
          <t>0146127540</t>
        </is>
      </c>
      <c r="K23" t="inlineStr"/>
      <c r="L23" t="inlineStr"/>
      <c r="M23" t="inlineStr"/>
      <c r="N23" t="inlineStr">
        <is>
          <t>92,75</t>
        </is>
      </c>
      <c r="O23" t="inlineStr"/>
      <c r="P23" t="inlineStr">
        <is>
          <t>Ile-de-France</t>
        </is>
      </c>
      <c r="Q23" s="14" t="n">
        <v>46227</v>
      </c>
      <c r="R23" s="14" t="n">
        <v>46293</v>
      </c>
      <c r="S23" s="15" t="n">
        <v>3200000</v>
      </c>
      <c r="T23" t="inlineStr">
        <is>
          <t>BUDGET_EXPLICITE_OK</t>
        </is>
      </c>
      <c r="U23" t="inlineStr">
        <is>
          <t>3200000.0</t>
        </is>
      </c>
      <c r="V23" t="inlineStr">
        <is>
          <t>non</t>
        </is>
      </c>
      <c r="W23" t="inlineStr">
        <is>
          <t>Vitres</t>
        </is>
      </c>
      <c r="X23" t="inlineStr">
        <is>
          <t>Mairie</t>
        </is>
      </c>
      <c r="Y23" t="inlineStr">
        <is>
          <t>TRAVAUX</t>
        </is>
      </c>
      <c r="Z23" t="inlineStr">
        <is>
          <t>Procédure Ouverte</t>
        </is>
      </c>
      <c r="AA23" t="inlineStr">
        <is>
          <t>Avis de marché</t>
        </is>
      </c>
      <c r="AB23" t="inlineStr">
        <is>
          <t>Menuiserie</t>
        </is>
      </c>
      <c r="AC23" t="inlineStr">
        <is>
          <t>['environnementaux']</t>
        </is>
      </c>
      <c r="AD23" s="10" t="inlineStr">
        <is>
          <t>https://www.boamp.fr/pages/avis/?q=idweb:26-73442</t>
        </is>
      </c>
      <c r="AE23" t="inlineStr">
        <is>
          <t>https://www.achatpublic.com/sdm/ent/gen/ent_detail.do?PCSLID=CSL_2026_YLyiWdUZqH</t>
        </is>
      </c>
      <c r="AF23" t="inlineStr">
        <is>
          <t>https://www.achatpublic.com/sdm/ent/gen/ent_detail.do?PCSLID=CSL_2026_YLyiWdUZqH</t>
        </is>
      </c>
      <c r="AG23" t="inlineStr">
        <is>
          <t>proprete</t>
        </is>
      </c>
      <c r="AH23" t="inlineStr">
        <is>
          <t>3</t>
        </is>
      </c>
      <c r="AI23" t="inlineStr">
        <is>
          <t>68</t>
        </is>
      </c>
      <c r="AJ23" t="inlineStr">
        <is>
          <t>INFO_PARTIELLE</t>
        </is>
      </c>
      <c r="AK23" t="inlineStr">
        <is>
          <t>35</t>
        </is>
      </c>
      <c r="AL23" s="16" t="inlineStr">
        <is>
          <t>FROID</t>
        </is>
      </c>
      <c r="AM23" t="inlineStr"/>
      <c r="AN23" t="inlineStr"/>
      <c r="AO23" t="inlineStr"/>
      <c r="AP23" t="inlineStr"/>
      <c r="AQ23" t="inlineStr">
        <is>
          <t>IA_CONTACT_A_COMPLETER</t>
        </is>
      </c>
      <c r="AR23" t="inlineStr">
        <is>
          <t>Completer les champs manquants depuis l'avis source, le site acheteur ou le DCE.</t>
        </is>
      </c>
      <c r="AS23" t="inlineStr">
        <is>
          <t>adresse, ville</t>
        </is>
      </c>
      <c r="AT2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26-73442. Objet: Travaux de menuiseries extérieures et de vitrerie dans les bâtiments communaux. Acheteur: Ville de Montrouge
Direction des bâtiments, énergie et propreté 
43 avenue de la République
92120 MONTROUGE. Lien: https://www.boamp.fr/pages/avis/?q=idweb:26-73442.</t>
        </is>
      </c>
      <c r="AU23" t="inlineStr">
        <is>
          <t>Verifier url_avis et DCE si disponible</t>
        </is>
      </c>
      <c r="AV23" t="inlineStr"/>
      <c r="AW23" t="inlineStr"/>
      <c r="AX23" t="inlineStr"/>
      <c r="AY23" t="inlineStr"/>
      <c r="AZ23" t="inlineStr"/>
      <c r="BA23" t="inlineStr"/>
      <c r="BB23" t="inlineStr">
        <is>
          <t>+35 nettoyage + categorie claire | -20 gros budget (&gt; 500 000 EUR) | +10 secteur cible Mairie | +10 delai confortable 62j</t>
        </is>
      </c>
      <c r="BC23" t="inlineStr">
        <is>
          <t>Ville de Montrouge
Direction des bâtiments, énergie et propreté 
43 avenue de la République
92120 MONTROUGE publie un AO potentiellement pertinent pour CHRUTH : Travaux de menuiseries extérieures et de vitrerie dans les bâtiments communaux. Zone : 92,75. Budget detecte environ 3 200 000 EUR. Verifier le lien source avant contact.</t>
        </is>
      </c>
      <c r="BD23" t="inlineStr">
        <is>
          <t>Bonjour,
Je me permets de vous contacter au sujet de votre appel d'offres : Travaux de menuiseries extérieures et de vitrerie dans les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Montrouge
Direction des bâtiments, énergie et propreté 
43 avenue de la République
92120 MONTROUGE ?
Cordialement,</t>
        </is>
      </c>
      <c r="BE23" t="inlineStr">
        <is>
          <t>Bonjour, je vous appelle concernant un appel d'offres publié par Ville de Montrouge
Direction des bâtiments, énergie et propreté 
43 avenue de la République
92120 MONTROUGE. Je souhaite vérifier les informations pratiques : périmètre des prestations, date limite, modalités de visite, contact technique et pièces attendues. Pouvez-vous m'indiquer la bonne personne à contacter ?</t>
        </is>
      </c>
      <c r="BF23" t="inlineStr"/>
      <c r="BG23" t="inlineStr"/>
      <c r="BH23" t="inlineStr"/>
      <c r="BI23" t="inlineStr"/>
      <c r="BJ23" t="inlineStr"/>
      <c r="BK23" t="inlineStr"/>
      <c r="BL23" t="inlineStr"/>
      <c r="BM23" t="inlineStr">
        <is>
          <t>2026-W30</t>
        </is>
      </c>
    </row>
    <row r="24">
      <c r="A24" t="inlineStr">
        <is>
          <t>BOAMP</t>
        </is>
      </c>
      <c r="B24" t="inlineStr">
        <is>
          <t>26-73389</t>
        </is>
      </c>
      <c r="C24" t="inlineStr">
        <is>
          <t>PRESTATIONS DE SECURITE, GARDIENNAGE ET SURETE DES ARENES DE GRAND PARIS SUD</t>
        </is>
      </c>
      <c r="D24" t="inlineStr">
        <is>
          <t>CA GRAND PARIS SUD SEINE ESSONNE SENART</t>
        </is>
      </c>
      <c r="E24" t="inlineStr">
        <is>
          <t>20005922800011</t>
        </is>
      </c>
      <c r="F24" t="inlineStr">
        <is>
          <t>200059228</t>
        </is>
      </c>
      <c r="G24" t="inlineStr"/>
      <c r="H24" t="inlineStr"/>
      <c r="I24" t="inlineStr">
        <is>
          <t>commande.publique@grandparissud.fr</t>
        </is>
      </c>
      <c r="J24" t="inlineStr">
        <is>
          <t>0592280001</t>
        </is>
      </c>
      <c r="K24" t="inlineStr"/>
      <c r="L24" t="inlineStr"/>
      <c r="M24" t="inlineStr"/>
      <c r="N24" t="inlineStr">
        <is>
          <t>91,77</t>
        </is>
      </c>
      <c r="O24" t="inlineStr"/>
      <c r="P24" t="inlineStr">
        <is>
          <t>Ile-de-France</t>
        </is>
      </c>
      <c r="Q24" s="14" t="n">
        <v>46227</v>
      </c>
      <c r="R24" s="14" t="n">
        <v>46293</v>
      </c>
      <c r="S24" s="15" t="n">
        <v>300000</v>
      </c>
      <c r="T24" t="inlineStr">
        <is>
          <t>BUDGET_EXPLICITE_OK</t>
        </is>
      </c>
      <c r="U24" t="inlineStr">
        <is>
          <t>75000</t>
        </is>
      </c>
      <c r="V24" t="inlineStr">
        <is>
          <t>oui</t>
        </is>
      </c>
      <c r="W24" t="inlineStr">
        <is>
          <t>Personnel</t>
        </is>
      </c>
      <c r="X24" t="inlineStr">
        <is>
          <t>Autre</t>
        </is>
      </c>
      <c r="Y24" t="inlineStr">
        <is>
          <t>SERVICES</t>
        </is>
      </c>
      <c r="Z24" t="inlineStr">
        <is>
          <t>Procédure Ouverte</t>
        </is>
      </c>
      <c r="AA24" t="inlineStr">
        <is>
          <t>Avis de marché</t>
        </is>
      </c>
      <c r="AB24" t="inlineStr">
        <is>
          <t>Surveillance</t>
        </is>
      </c>
      <c r="AC24" t="inlineStr">
        <is>
          <t>['sociaux', 'environnementaux']</t>
        </is>
      </c>
      <c r="AD24" s="10" t="inlineStr">
        <is>
          <t>https://www.boamp.fr/pages/avis/?q=idweb:26-73389</t>
        </is>
      </c>
      <c r="AE24" t="inlineStr">
        <is>
          <t>https://www.achatpublic.com/sdm/ent/gen/ent_detail.do?PCSLID=CSL_2026_drUDYVSvmp</t>
        </is>
      </c>
      <c r="AF24" t="inlineStr">
        <is>
          <t>https://www.achatpublic.com/sdm/ent/gen/ent_detail.do?PCSLID=CSL_2026_drUDYVSvmp</t>
        </is>
      </c>
      <c r="AG24" t="inlineStr"/>
      <c r="AH24" t="inlineStr">
        <is>
          <t>3</t>
        </is>
      </c>
      <c r="AI24" t="inlineStr">
        <is>
          <t>60</t>
        </is>
      </c>
      <c r="AJ24" t="inlineStr">
        <is>
          <t>INFO_PARTIELLE</t>
        </is>
      </c>
      <c r="AK24" t="inlineStr">
        <is>
          <t>30</t>
        </is>
      </c>
      <c r="AL24" s="16" t="inlineStr">
        <is>
          <t>FROID</t>
        </is>
      </c>
      <c r="AM24" t="inlineStr"/>
      <c r="AN24" t="inlineStr"/>
      <c r="AO24" t="inlineStr"/>
      <c r="AP24" t="inlineStr"/>
      <c r="AQ24" t="inlineStr">
        <is>
          <t>IA_CONTACT_A_COMPLETER</t>
        </is>
      </c>
      <c r="AR24" t="inlineStr">
        <is>
          <t>Completer les champs manquants depuis l'avis source, le site acheteur ou le DCE.</t>
        </is>
      </c>
      <c r="AS24" t="inlineStr">
        <is>
          <t>adresse, ville</t>
        </is>
      </c>
      <c r="AT2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26-73389. Objet: PRESTATIONS DE SECURITE, GARDIENNAGE ET SURETE DES ARENES DE GRAND PARIS SUD. Acheteur: CA GRAND PARIS SUD SEINE ESSONNE SENART. Lien: https://www.boamp.fr/pages/avis/?q=idweb:26-73389.</t>
        </is>
      </c>
      <c r="AU24" t="inlineStr">
        <is>
          <t>Verifier url_avis et DCE si disponible</t>
        </is>
      </c>
      <c r="AV24" t="inlineStr"/>
      <c r="AW24" t="inlineStr"/>
      <c r="AX24" t="inlineStr"/>
      <c r="AY24" t="inlineStr"/>
      <c r="AZ24" t="inlineStr"/>
      <c r="BA24" t="inlineStr"/>
      <c r="BB24" t="inlineStr">
        <is>
          <t>0 pertinence metier faible | +20 budget annualise &lt;= 100 000 EUR | +10 delai confortable 62j</t>
        </is>
      </c>
      <c r="BC24" t="inlineStr">
        <is>
          <t>CA GRAND PARIS SUD SEINE ESSONNE SENART publie un AO potentiellement pertinent pour CHRUTH : PRESTATIONS DE SECURITE, GARDIENNAGE ET SURETE DES ARENES DE GRAND PARIS SUD. Zone : 91,77. Budget detecte environ 300 000 EUR. Verifier le lien source avant contact.</t>
        </is>
      </c>
      <c r="BD24" t="inlineStr">
        <is>
          <t>Bonjour,
Je me permets de vous contacter au sujet de votre appel d'offres : PRESTATIONS DE SECURITE, GARDIENNAGE ET SURETE DES ARENES DE GRAND PARIS SUD.
CHRUTH accompagne les structures publiques et privées sur les besoins de nettoyage, d'entretien des locaux et d'organisation de prestations de service.
Serait-il possible d'échanger rapidement afin de vérifier les modalités de réponse et les attentes de CA GRAND PARIS SUD SEINE ESSONNE SENART ?
Cordialement,</t>
        </is>
      </c>
      <c r="BE24" t="inlineStr">
        <is>
          <t>Bonjour, je vous appelle concernant un appel d'offres publié par CA GRAND PARIS SUD SEINE ESSONNE SENART. Je souhaite vérifier les informations pratiques : périmètre des prestations, date limite, modalités de visite, contact technique et pièces attendues. Pouvez-vous m'indiquer la bonne personne à contacter ?</t>
        </is>
      </c>
      <c r="BF24" t="inlineStr"/>
      <c r="BG24" t="inlineStr"/>
      <c r="BH24" t="inlineStr"/>
      <c r="BI24" t="inlineStr"/>
      <c r="BJ24" t="inlineStr"/>
      <c r="BK24" t="inlineStr"/>
      <c r="BL24" t="inlineStr"/>
      <c r="BM24" t="inlineStr">
        <is>
          <t>2026-W30</t>
        </is>
      </c>
    </row>
    <row r="25">
      <c r="A25" t="inlineStr">
        <is>
          <t>BOAMP</t>
        </is>
      </c>
      <c r="B25" t="inlineStr">
        <is>
          <t>26-74661</t>
        </is>
      </c>
      <c r="C25" t="inlineStr">
        <is>
          <t>Services de mise à disposition de personnels temporaires pour le Ccca-Btp</t>
        </is>
      </c>
      <c r="D25" t="inlineStr">
        <is>
          <t>Comité de concertation et de coordination de l'apprentissage du Btp</t>
        </is>
      </c>
      <c r="E25" t="inlineStr">
        <is>
          <t>77568322000104</t>
        </is>
      </c>
      <c r="F25" t="inlineStr">
        <is>
          <t>775683220</t>
        </is>
      </c>
      <c r="G25" t="inlineStr">
        <is>
          <t>cm.pragma9@ccca-btp.fr</t>
        </is>
      </c>
      <c r="H25" t="inlineStr"/>
      <c r="I25" t="inlineStr">
        <is>
          <t>cm.pragma9@ccca-btp.fr</t>
        </is>
      </c>
      <c r="J25" t="inlineStr">
        <is>
          <t>07-24 2026-09</t>
        </is>
      </c>
      <c r="K25" t="inlineStr">
        <is>
          <t>rue du Père Corentin 75014 - PARIS</t>
        </is>
      </c>
      <c r="L25" t="inlineStr">
        <is>
          <t>75014</t>
        </is>
      </c>
      <c r="M25" t="inlineStr">
        <is>
          <t>Paris</t>
        </is>
      </c>
      <c r="N25" t="inlineStr">
        <is>
          <t>75</t>
        </is>
      </c>
      <c r="O25" t="inlineStr"/>
      <c r="P25" t="inlineStr">
        <is>
          <t>Ile-de-France</t>
        </is>
      </c>
      <c r="Q25" s="14" t="n">
        <v>46227</v>
      </c>
      <c r="R25" s="14" t="n">
        <v>46269</v>
      </c>
      <c r="S25" s="15" t="n">
        <v>75014</v>
      </c>
      <c r="T25" t="inlineStr">
        <is>
          <t>BUDGET_SOUS_SEUIL</t>
        </is>
      </c>
      <c r="U25" t="inlineStr">
        <is>
          <t>75014.0</t>
        </is>
      </c>
      <c r="V25" t="inlineStr">
        <is>
          <t>non</t>
        </is>
      </c>
      <c r="W25" t="inlineStr">
        <is>
          <t>Personnel</t>
        </is>
      </c>
      <c r="X25" t="inlineStr">
        <is>
          <t>Autre</t>
        </is>
      </c>
      <c r="Y25" t="inlineStr">
        <is>
          <t>SERVICES</t>
        </is>
      </c>
      <c r="Z25" t="inlineStr">
        <is>
          <t>Procédure Ouverte</t>
        </is>
      </c>
      <c r="AA25" t="inlineStr">
        <is>
          <t>Avis de marché</t>
        </is>
      </c>
      <c r="AB25" t="inlineStr">
        <is>
          <t>Mise à disposition de personnel</t>
        </is>
      </c>
      <c r="AC25" t="inlineStr">
        <is>
          <t>['environnementaux']</t>
        </is>
      </c>
      <c r="AD25" s="10" t="inlineStr">
        <is>
          <t>https://www.boamp.fr/pages/avis/?q=idweb:26-74661</t>
        </is>
      </c>
      <c r="AE25" t="inlineStr">
        <is>
          <t>https://www.marches-publics.info/mpiaws/index.cfm?fuseaction=dematent.login&amp;type=Dce&amp;Idm=1855311</t>
        </is>
      </c>
      <c r="AF25" t="inlineStr">
        <is>
          <t>https://www.marches-publics.info/mpiaws/index.cfm?fuseaction=dematent.login&amp;type=Dce&amp;Idm=1855311</t>
        </is>
      </c>
      <c r="AG25" t="inlineStr"/>
      <c r="AH25" t="inlineStr">
        <is>
          <t>6</t>
        </is>
      </c>
      <c r="AI25" t="inlineStr">
        <is>
          <t>90</t>
        </is>
      </c>
      <c r="AJ25" t="inlineStr">
        <is>
          <t>INFO_PARTIELLE</t>
        </is>
      </c>
      <c r="AK25" t="inlineStr">
        <is>
          <t>30</t>
        </is>
      </c>
      <c r="AL25" s="16" t="inlineStr">
        <is>
          <t>FROID</t>
        </is>
      </c>
      <c r="AM25" t="inlineStr"/>
      <c r="AN25" t="inlineStr"/>
      <c r="AO25" t="inlineStr"/>
      <c r="AP25" t="inlineStr"/>
      <c r="AQ25" t="inlineStr">
        <is>
          <t>IA_CONTROLE_SOURCE</t>
        </is>
      </c>
      <c r="AR25" t="inlineStr">
        <is>
          <t>Verifier rapidement la source avant contact.</t>
        </is>
      </c>
      <c r="AS25" t="inlineStr">
        <is>
          <t>Aucun champ critique manquant</t>
        </is>
      </c>
      <c r="AT2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26-74661. Objet: Services de mise à disposition de personnels temporaires pour le Ccca-Btp. Acheteur: Comité de concertation et de coordination de l'apprentissage du Btp. Lien: https://www.boamp.fr/pages/avis/?q=idweb:26-74661.</t>
        </is>
      </c>
      <c r="AU25" t="inlineStr">
        <is>
          <t>Verifier url_avis et DCE si disponible</t>
        </is>
      </c>
      <c r="AV25" t="inlineStr"/>
      <c r="AW25" t="inlineStr"/>
      <c r="AX25" t="inlineStr"/>
      <c r="AY25" t="inlineStr"/>
      <c r="AZ25" t="inlineStr"/>
      <c r="BA25" t="inlineStr"/>
      <c r="BB25" t="inlineStr">
        <is>
          <t>0 pertinence metier faible | +20 budget annualise &lt;= 100 000 EUR | +10 delai confortable 38j</t>
        </is>
      </c>
      <c r="BC25" t="inlineStr">
        <is>
          <t>Comité de concertation et de coordination de l'apprentissage du Btp publie un AO potentiellement pertinent pour CHRUTH : Services de mise à disposition de personnels temporaires pour le Ccca-Btp. Zone : Paris. Budget detecte environ 75 014 EUR. Verifier le lien source avant contact.</t>
        </is>
      </c>
      <c r="BD25" t="inlineStr">
        <is>
          <t>Bonjour,
Je me permets de vous contacter au sujet de votre appel d'offres : Services de mise à disposition de personnels temporaires pour le Ccca-Btp.
CHRUTH accompagne les structures publiques et privées sur les besoins de nettoyage, d'entretien des locaux et d'organisation de prestations de service.
Serait-il possible d'échanger rapidement afin de vérifier les modalités de réponse et les attentes de Comité de concertation et de coordination de l'apprentissage du Btp ?
Cordialement,</t>
        </is>
      </c>
      <c r="BE25" t="inlineStr">
        <is>
          <t>Bonjour, je vous appelle concernant un appel d'offres publié par Comité de concertation et de coordination de l'apprentissage du Btp. Je souhaite vérifier les informations pratiques : périmètre des prestations, date limite, modalités de visite, contact technique et pièces attendues. Pouvez-vous m'indiquer la bonne personne à contacter ?</t>
        </is>
      </c>
      <c r="BF25" t="inlineStr"/>
      <c r="BG25" t="inlineStr"/>
      <c r="BH25" t="inlineStr"/>
      <c r="BI25" t="inlineStr"/>
      <c r="BJ25" t="inlineStr"/>
      <c r="BK25" t="inlineStr"/>
      <c r="BL25" t="inlineStr"/>
      <c r="BM25" t="inlineStr">
        <is>
          <t>2026-W30</t>
        </is>
      </c>
    </row>
    <row r="26">
      <c r="A26" t="inlineStr">
        <is>
          <t>BOAMP</t>
        </is>
      </c>
      <c r="B26" t="inlineStr">
        <is>
          <t>26-74239</t>
        </is>
      </c>
      <c r="C26" t="inlineStr">
        <is>
          <t>Prestations de nettoyage des loacux et de la vitrerie de la grande chancellerie de la Légion d'honneur et de la maison d'éducation de Saint-Denis</t>
        </is>
      </c>
      <c r="D26" t="inlineStr">
        <is>
          <t>GCLH.</t>
        </is>
      </c>
      <c r="E26" t="inlineStr">
        <is>
          <t>18000001000017</t>
        </is>
      </c>
      <c r="F26" t="inlineStr">
        <is>
          <t>180000010</t>
        </is>
      </c>
      <c r="G26" t="inlineStr"/>
      <c r="H26" t="inlineStr"/>
      <c r="I26" t="inlineStr">
        <is>
          <t>marches@legiondhonneur.fr</t>
        </is>
      </c>
      <c r="J26" t="inlineStr">
        <is>
          <t>0140628348</t>
        </is>
      </c>
      <c r="K26" t="inlineStr"/>
      <c r="L26" t="inlineStr"/>
      <c r="M26" t="inlineStr"/>
      <c r="N26" t="inlineStr">
        <is>
          <t>75,93,78</t>
        </is>
      </c>
      <c r="O26" t="inlineStr"/>
      <c r="P26" t="inlineStr">
        <is>
          <t>Ile-de-France</t>
        </is>
      </c>
      <c r="Q26" s="14" t="n">
        <v>46229</v>
      </c>
      <c r="R26" s="14" t="n">
        <v>46280</v>
      </c>
      <c r="S26" s="15" t="n">
        <v>17750005500013</v>
      </c>
      <c r="T26" t="inlineStr">
        <is>
          <t>BUDGET_EXPLICITE_OK</t>
        </is>
      </c>
      <c r="U26" t="inlineStr">
        <is>
          <t>17750005500013.0</t>
        </is>
      </c>
      <c r="V26" t="inlineStr">
        <is>
          <t>non</t>
        </is>
      </c>
      <c r="W26" t="inlineStr">
        <is>
          <t>Vitres</t>
        </is>
      </c>
      <c r="X26" t="inlineStr">
        <is>
          <t>Autre</t>
        </is>
      </c>
      <c r="Y26" t="inlineStr">
        <is>
          <t>SERVICES</t>
        </is>
      </c>
      <c r="Z26" t="inlineStr">
        <is>
          <t>Procédure Ouverte</t>
        </is>
      </c>
      <c r="AA26" t="inlineStr">
        <is>
          <t>Avis de marché</t>
        </is>
      </c>
      <c r="AB26" t="inlineStr">
        <is>
          <t>Nettoyage de locaux, Vitrerie</t>
        </is>
      </c>
      <c r="AC26" t="inlineStr"/>
      <c r="AD26" s="10" t="inlineStr">
        <is>
          <t>https://www.boamp.fr/pages/avis/?q=idweb:26-74239</t>
        </is>
      </c>
      <c r="AE26" t="inlineStr">
        <is>
          <t>https://www.marches-publics.gouv.fr/entreprise</t>
        </is>
      </c>
      <c r="AF26" t="inlineStr">
        <is>
          <t>https://www.marches-publics.gouv.fr/entreprise</t>
        </is>
      </c>
      <c r="AG26" t="inlineStr">
        <is>
          <t>nettoyage, entretien des locaux</t>
        </is>
      </c>
      <c r="AH26" t="inlineStr">
        <is>
          <t>3</t>
        </is>
      </c>
      <c r="AI26" t="inlineStr">
        <is>
          <t>76</t>
        </is>
      </c>
      <c r="AJ26" t="inlineStr">
        <is>
          <t>INFO_PARTIELLE</t>
        </is>
      </c>
      <c r="AK26" t="inlineStr">
        <is>
          <t>25</t>
        </is>
      </c>
      <c r="AL26" s="16" t="inlineStr">
        <is>
          <t>FROID</t>
        </is>
      </c>
      <c r="AM26" t="inlineStr"/>
      <c r="AN26" t="inlineStr"/>
      <c r="AO26" t="inlineStr"/>
      <c r="AP26" t="inlineStr"/>
      <c r="AQ26" t="inlineStr">
        <is>
          <t>IA_CONTACT_A_COMPLETER</t>
        </is>
      </c>
      <c r="AR26" t="inlineStr">
        <is>
          <t>Completer les champs manquants depuis l'avis source, le site acheteur ou le DCE.</t>
        </is>
      </c>
      <c r="AS26" t="inlineStr">
        <is>
          <t>adresse, ville</t>
        </is>
      </c>
      <c r="AT2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26-74239. Objet: Prestations de nettoyage des loacux et de la vitrerie de la grande chancellerie de la Légion d'honneur et de la maison d'éducation de Saint-Denis. Acheteur: GCLH.. Lien: https://www.boamp.fr/pages/avis/?q=idweb:26-74239.</t>
        </is>
      </c>
      <c r="AU26" t="inlineStr">
        <is>
          <t>Verifier url_avis et DCE si disponible</t>
        </is>
      </c>
      <c r="AV26" t="inlineStr"/>
      <c r="AW26" t="inlineStr"/>
      <c r="AX26" t="inlineStr"/>
      <c r="AY26" t="inlineStr"/>
      <c r="AZ26" t="inlineStr"/>
      <c r="BA26" t="inlineStr"/>
      <c r="BB26" t="inlineStr">
        <is>
          <t>+35 nettoyage + categorie claire | -20 gros budget (&gt; 500 000 EUR) | +10 delai confortable 49j</t>
        </is>
      </c>
      <c r="BC26" t="inlineStr">
        <is>
          <t>GCLH. publie un AO potentiellement pertinent pour CHRUTH : Prestations de nettoyage des loacux et de la vitrerie de la grande chancellerie de la Légion d'honneur et de la maison d'éducation de Saint-Denis. Zone : 75,93,78. Budget detecte environ 17 750 005 500 013 EUR. Verifier le lien source avant contact.</t>
        </is>
      </c>
      <c r="BD26" t="inlineStr">
        <is>
          <t>Bonjour,
Je me permets de vous contacter au sujet de votre appel d'offres : Prestations de nettoyage des loacux et de la vitrerie de la grande chancellerie de la Légion d'honneur et de la maison d'éducation de Saint-Denis.
CHRUTH accompagne les structures publiques et privées sur les besoins de nettoyage, d'entretien des locaux et d'organisation de prestations de service.
Serait-il possible d'échanger rapidement afin de vérifier les modalités de réponse et les attentes de GCLH. ?
Cordialement,</t>
        </is>
      </c>
      <c r="BE26" t="inlineStr">
        <is>
          <t>Bonjour, je vous appelle concernant un appel d'offres publié par GCLH.. Je souhaite vérifier les informations pratiques : périmètre des prestations, date limite, modalités de visite, contact technique et pièces attendues. Pouvez-vous m'indiquer la bonne personne à contacter ?</t>
        </is>
      </c>
      <c r="BF26" t="inlineStr"/>
      <c r="BG26" t="inlineStr"/>
      <c r="BH26" t="inlineStr"/>
      <c r="BI26" t="inlineStr"/>
      <c r="BJ26" t="inlineStr"/>
      <c r="BK26" t="inlineStr"/>
      <c r="BL26" t="inlineStr"/>
      <c r="BM26" t="inlineStr">
        <is>
          <t>2026-W30</t>
        </is>
      </c>
    </row>
    <row r="27">
      <c r="A27" t="inlineStr">
        <is>
          <t>BOAMP</t>
        </is>
      </c>
      <c r="B27" t="inlineStr">
        <is>
          <t>26-73266</t>
        </is>
      </c>
      <c r="C27" t="inlineStr">
        <is>
          <t>PRESTATIONS DE NETTOYAGE DES SITES DE L'ENFANCE</t>
        </is>
      </c>
      <c r="D27" t="inlineStr">
        <is>
          <t>Département du Val-de-Marne</t>
        </is>
      </c>
      <c r="E27" t="inlineStr">
        <is>
          <t>22940028800010</t>
        </is>
      </c>
      <c r="F27" t="inlineStr">
        <is>
          <t>229400288</t>
        </is>
      </c>
      <c r="G27" t="inlineStr"/>
      <c r="H27" t="inlineStr"/>
      <c r="I27" t="inlineStr">
        <is>
          <t>dl@valdemarne.fr</t>
        </is>
      </c>
      <c r="J27" t="inlineStr">
        <is>
          <t>0704900017</t>
        </is>
      </c>
      <c r="K27" t="inlineStr"/>
      <c r="L27" t="inlineStr"/>
      <c r="M27" t="inlineStr"/>
      <c r="N27" t="inlineStr">
        <is>
          <t>94</t>
        </is>
      </c>
      <c r="O27" t="inlineStr"/>
      <c r="P27" t="inlineStr">
        <is>
          <t>Ile-de-France</t>
        </is>
      </c>
      <c r="Q27" s="14" t="n">
        <v>46227</v>
      </c>
      <c r="R27" s="14" t="n">
        <v>46289</v>
      </c>
      <c r="S27" s="15" t="n">
        <v>15520000</v>
      </c>
      <c r="T27" t="inlineStr">
        <is>
          <t>BUDGET_EXPLICITE_OK</t>
        </is>
      </c>
      <c r="U27" t="inlineStr">
        <is>
          <t>93120000</t>
        </is>
      </c>
      <c r="V27" t="inlineStr">
        <is>
          <t>oui</t>
        </is>
      </c>
      <c r="W27" t="inlineStr">
        <is>
          <t>Batiments</t>
        </is>
      </c>
      <c r="X27" t="inlineStr">
        <is>
          <t>Autre</t>
        </is>
      </c>
      <c r="Y27" t="inlineStr">
        <is>
          <t>SERVICES</t>
        </is>
      </c>
      <c r="Z27" t="inlineStr">
        <is>
          <t>Procédure Ouverte</t>
        </is>
      </c>
      <c r="AA27" t="inlineStr">
        <is>
          <t>Avis de marché</t>
        </is>
      </c>
      <c r="AB27" t="inlineStr">
        <is>
          <t>Nettoyage de locaux</t>
        </is>
      </c>
      <c r="AC27" t="inlineStr">
        <is>
          <t>['sociaux', 'environnementaux']</t>
        </is>
      </c>
      <c r="AD27" s="10" t="inlineStr">
        <is>
          <t>https://www.boamp.fr/pages/avis/?q=idweb:26-73266</t>
        </is>
      </c>
      <c r="AE27" t="inlineStr">
        <is>
          <t>http://www.maximilien.fr</t>
        </is>
      </c>
      <c r="AF27" t="inlineStr">
        <is>
          <t>http://www.maximilien.fr</t>
        </is>
      </c>
      <c r="AG27" t="inlineStr">
        <is>
          <t>nettoyage, proprete, proprete des locaux</t>
        </is>
      </c>
      <c r="AH27" t="inlineStr">
        <is>
          <t>3</t>
        </is>
      </c>
      <c r="AI27" t="inlineStr">
        <is>
          <t>80</t>
        </is>
      </c>
      <c r="AJ27" t="inlineStr">
        <is>
          <t>INFO_PARTIELLE</t>
        </is>
      </c>
      <c r="AK27" t="inlineStr">
        <is>
          <t>25</t>
        </is>
      </c>
      <c r="AL27" s="16" t="inlineStr">
        <is>
          <t>FROID</t>
        </is>
      </c>
      <c r="AM27" t="inlineStr"/>
      <c r="AN27" t="inlineStr"/>
      <c r="AO27" t="inlineStr"/>
      <c r="AP27" t="inlineStr"/>
      <c r="AQ27" t="inlineStr">
        <is>
          <t>IA_CONTACT_A_COMPLETER</t>
        </is>
      </c>
      <c r="AR27" t="inlineStr">
        <is>
          <t>Completer les champs manquants depuis l'avis source, le site acheteur ou le DCE.</t>
        </is>
      </c>
      <c r="AS27" t="inlineStr">
        <is>
          <t>adresse, ville</t>
        </is>
      </c>
      <c r="AT2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26-73266. Objet: PRESTATIONS DE NETTOYAGE DES SITES DE L'ENFANCE. Acheteur: Département du Val-de-Marne. Lien: https://www.boamp.fr/pages/avis/?q=idweb:26-73266.</t>
        </is>
      </c>
      <c r="AU27" t="inlineStr">
        <is>
          <t>Verifier url_avis et DCE si disponible</t>
        </is>
      </c>
      <c r="AV27" t="inlineStr"/>
      <c r="AW27" t="inlineStr"/>
      <c r="AX27" t="inlineStr"/>
      <c r="AY27" t="inlineStr"/>
      <c r="AZ27" t="inlineStr"/>
      <c r="BA27" t="inlineStr"/>
      <c r="BB27" t="inlineStr">
        <is>
          <t>+35 nettoyage + categorie claire | -20 gros budget (&gt; 500 000 EUR) | +10 delai confortable 58j</t>
        </is>
      </c>
      <c r="BC27" t="inlineStr">
        <is>
          <t>Département du Val-de-Marne publie un AO potentiellement pertinent pour CHRUTH : PRESTATIONS DE NETTOYAGE DES SITES DE L'ENFANCE. Zone : 94. Budget detecte environ 15 520 000 EUR. Verifier le lien source avant contact.</t>
        </is>
      </c>
      <c r="BD27" t="inlineStr">
        <is>
          <t>Bonjour,
Je me permets de vous contacter au sujet de votre appel d'offres : PRESTATIONS DE NETTOYAGE DES SITES DE L'ENFANCE.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27"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27" t="inlineStr"/>
      <c r="BG27" t="inlineStr"/>
      <c r="BH27" t="inlineStr"/>
      <c r="BI27" t="inlineStr"/>
      <c r="BJ27" t="inlineStr"/>
      <c r="BK27" t="inlineStr"/>
      <c r="BL27" t="inlineStr"/>
      <c r="BM27" t="inlineStr">
        <is>
          <t>2026-W30</t>
        </is>
      </c>
    </row>
    <row r="28">
      <c r="A28" t="inlineStr">
        <is>
          <t>BOAMP</t>
        </is>
      </c>
      <c r="B28" t="inlineStr">
        <is>
          <t>26-70752</t>
        </is>
      </c>
      <c r="C28" t="inlineStr">
        <is>
          <t>Nettoyage des locaux et de la vitrerie des bâtiments intercommunaux de l'agglomération Roissy Pays de France</t>
        </is>
      </c>
      <c r="D28" t="inlineStr">
        <is>
          <t>Agglomération Roissy Pays de France</t>
        </is>
      </c>
      <c r="E28" t="inlineStr"/>
      <c r="F28" t="inlineStr"/>
      <c r="G28" t="inlineStr"/>
      <c r="H28" t="inlineStr"/>
      <c r="I28" t="inlineStr">
        <is>
          <t>publications-joue@aws-france.com</t>
        </is>
      </c>
      <c r="J28" t="inlineStr">
        <is>
          <t>+33480041260</t>
        </is>
      </c>
      <c r="K28" t="inlineStr"/>
      <c r="L28" t="inlineStr"/>
      <c r="M28" t="inlineStr"/>
      <c r="N28" t="inlineStr">
        <is>
          <t>95</t>
        </is>
      </c>
      <c r="O28" t="inlineStr"/>
      <c r="P28" t="inlineStr">
        <is>
          <t>Ile-de-France</t>
        </is>
      </c>
      <c r="Q28" s="14" t="n">
        <v>46220</v>
      </c>
      <c r="R28" s="14" t="n">
        <v>46280</v>
      </c>
      <c r="S28" s="15" t="n">
        <v>4000000</v>
      </c>
      <c r="T28" t="inlineStr">
        <is>
          <t>BUDGET_EXPLICITE_OK</t>
        </is>
      </c>
      <c r="U28" t="inlineStr">
        <is>
          <t>1333333</t>
        </is>
      </c>
      <c r="V28" t="inlineStr">
        <is>
          <t>oui</t>
        </is>
      </c>
      <c r="W28" t="inlineStr">
        <is>
          <t>Vitres</t>
        </is>
      </c>
      <c r="X28" t="inlineStr">
        <is>
          <t>Autre</t>
        </is>
      </c>
      <c r="Y28" t="inlineStr">
        <is>
          <t>SERVICES</t>
        </is>
      </c>
      <c r="Z28" t="inlineStr">
        <is>
          <t>Procédure Ouverte</t>
        </is>
      </c>
      <c r="AA28" t="inlineStr">
        <is>
          <t>Avis de marché</t>
        </is>
      </c>
      <c r="AB28" t="inlineStr">
        <is>
          <t>Nettoyage de locaux, Vitrerie</t>
        </is>
      </c>
      <c r="AC28" t="inlineStr">
        <is>
          <t>['sociaux', 'environnementaux']</t>
        </is>
      </c>
      <c r="AD28" s="10" t="inlineStr">
        <is>
          <t>https://www.boamp.fr/pages/avis/?q=idweb:26-70752</t>
        </is>
      </c>
      <c r="AE28" t="inlineStr">
        <is>
          <t>https://www.marches-publics.info/mpiaws/index.cfm?fuseaction=dematEnt.login&amp;amp;type=DCE&amp;amp;IDM=1850945</t>
        </is>
      </c>
      <c r="AF28" t="inlineStr">
        <is>
          <t>https://www.marches-publics.info/mpiaws/index.cfm?fuseaction=dematEnt.login&amp;amp;type=DCE&amp;amp;IDM=1850945</t>
        </is>
      </c>
      <c r="AG28" t="inlineStr">
        <is>
          <t>nettoyage</t>
        </is>
      </c>
      <c r="AH28" t="inlineStr">
        <is>
          <t>2</t>
        </is>
      </c>
      <c r="AI28" t="inlineStr">
        <is>
          <t>58</t>
        </is>
      </c>
      <c r="AJ28" t="inlineStr">
        <is>
          <t>INFO_PARTIELLE</t>
        </is>
      </c>
      <c r="AK28" t="inlineStr">
        <is>
          <t>25</t>
        </is>
      </c>
      <c r="AL28" s="16" t="inlineStr">
        <is>
          <t>FROID</t>
        </is>
      </c>
      <c r="AM28" t="inlineStr"/>
      <c r="AN28" t="inlineStr"/>
      <c r="AO28" t="inlineStr"/>
      <c r="AP28" t="inlineStr"/>
      <c r="AQ28" t="inlineStr">
        <is>
          <t>IA_CONTACT_A_COMPLETER</t>
        </is>
      </c>
      <c r="AR28" t="inlineStr">
        <is>
          <t>Completer les champs manquants depuis l'avis source, le site acheteur ou le DCE.</t>
        </is>
      </c>
      <c r="AS28" t="inlineStr">
        <is>
          <t>SIRET, adresse, ville</t>
        </is>
      </c>
      <c r="AT2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26-70752. Objet: Nettoyage des locaux et de la vitrerie des bâtiments intercommunaux de l'agglomération Roissy Pays de France. Acheteur: Agglomération Roissy Pays de France. Lien: https://www.boamp.fr/pages/avis/?q=idweb:26-70752.</t>
        </is>
      </c>
      <c r="AU28" t="inlineStr">
        <is>
          <t>Verifier url_avis et DCE si disponible</t>
        </is>
      </c>
      <c r="AV28" t="inlineStr"/>
      <c r="AW28" t="inlineStr"/>
      <c r="AX28" t="inlineStr"/>
      <c r="AY28" t="inlineStr"/>
      <c r="AZ28" t="inlineStr"/>
      <c r="BA28" t="inlineStr"/>
      <c r="BB28" t="inlineStr">
        <is>
          <t>+35 nettoyage + categorie claire | -20 gros budget (&gt; 500 000 EUR) | +10 delai confortable 49j</t>
        </is>
      </c>
      <c r="BC28" t="inlineStr">
        <is>
          <t>Agglomération Roissy Pays de France publie un AO potentiellement pertinent pour CHRUTH : Nettoyage des locaux et de la vitrerie des bâtiments intercommunaux de l'agglomération Roissy Pays de France. Zone : 95. Budget detecte environ 4 000 000 EUR. Verifier le lien source avant contact.</t>
        </is>
      </c>
      <c r="BD28" t="inlineStr">
        <is>
          <t>Bonjour,
Je me permets de vous contacter au sujet de votre appel d'offres : Nettoyage des locaux et de la vitrerie des bâtiments intercommunaux de l'agglomération Roissy Pays de France.
CHRUTH accompagne les structures publiques et privées sur les besoins de nettoyage, d'entretien des locaux et d'organisation de prestations de service.
Serait-il possible d'échanger rapidement afin de vérifier les modalités de réponse et les attentes de Agglomération Roissy Pays de France ?
Cordialement,</t>
        </is>
      </c>
      <c r="BE28" t="inlineStr">
        <is>
          <t>Bonjour, je vous appelle concernant un appel d'offres publié par Agglomération Roissy Pays de France. Je souhaite vérifier les informations pratiques : périmètre des prestations, date limite, modalités de visite, contact technique et pièces attendues. Pouvez-vous m'indiquer la bonne personne à contacter ?</t>
        </is>
      </c>
      <c r="BF28" t="inlineStr"/>
      <c r="BG28" t="inlineStr"/>
      <c r="BH28" t="inlineStr"/>
      <c r="BI28" t="inlineStr"/>
      <c r="BJ28" t="inlineStr"/>
      <c r="BK28" t="inlineStr"/>
      <c r="BL28" t="inlineStr"/>
      <c r="BM28" t="inlineStr">
        <is>
          <t>2026-W29</t>
        </is>
      </c>
    </row>
    <row r="29">
      <c r="A29" t="inlineStr">
        <is>
          <t>BOAMP</t>
        </is>
      </c>
      <c r="B29" t="inlineStr">
        <is>
          <t>26-70841</t>
        </is>
      </c>
      <c r="C29" t="inlineStr">
        <is>
          <t>Prestations d'hébergement de l'Espace d'exposition faisant partie du pavillon Occitanie pour le 56e Salon International de l'Aéronautique et de l'Espace Paris - Relance consultation 26OCC09L</t>
        </is>
      </c>
      <c r="D29" t="inlineStr">
        <is>
          <t>CCI OCCITANIE PYRENEES-MEDITERRANEE</t>
        </is>
      </c>
      <c r="E29" t="inlineStr"/>
      <c r="F29" t="inlineStr"/>
      <c r="G29" t="inlineStr"/>
      <c r="H29" t="inlineStr"/>
      <c r="I29" t="inlineStr">
        <is>
          <t>publications-joue@aws-france.com</t>
        </is>
      </c>
      <c r="J29" t="inlineStr">
        <is>
          <t>+33480041260</t>
        </is>
      </c>
      <c r="K29" t="inlineStr"/>
      <c r="L29" t="inlineStr"/>
      <c r="M29" t="inlineStr"/>
      <c r="N29" t="inlineStr">
        <is>
          <t>75</t>
        </is>
      </c>
      <c r="O29" t="inlineStr"/>
      <c r="P29" t="inlineStr">
        <is>
          <t>Ile-de-France</t>
        </is>
      </c>
      <c r="Q29" s="14" t="n">
        <v>46220</v>
      </c>
      <c r="R29" s="14" t="n">
        <v>46251</v>
      </c>
      <c r="S29" t="inlineStr"/>
      <c r="T29" t="inlineStr">
        <is>
          <t>A_VERIFIER_BUDGET</t>
        </is>
      </c>
      <c r="U29" t="inlineStr"/>
      <c r="V29" t="inlineStr">
        <is>
          <t>non</t>
        </is>
      </c>
      <c r="W29" t="inlineStr">
        <is>
          <t>Personnel</t>
        </is>
      </c>
      <c r="X29" t="inlineStr">
        <is>
          <t>Autre</t>
        </is>
      </c>
      <c r="Y29" t="inlineStr">
        <is>
          <t>SERVICES</t>
        </is>
      </c>
      <c r="Z29" t="inlineStr">
        <is>
          <t>Procédure Ouverte</t>
        </is>
      </c>
      <c r="AA29" t="inlineStr">
        <is>
          <t>Avis de marché</t>
        </is>
      </c>
      <c r="AB29" t="inlineStr">
        <is>
          <t>Evénementiel</t>
        </is>
      </c>
      <c r="AC29" t="inlineStr"/>
      <c r="AD29" s="10" t="inlineStr">
        <is>
          <t>https://www.boamp.fr/pages/avis/?q=idweb:26-70841</t>
        </is>
      </c>
      <c r="AE29" t="inlineStr">
        <is>
          <t>https://www.marches-publics.gouv.fr/entreprise</t>
        </is>
      </c>
      <c r="AF29" t="inlineStr">
        <is>
          <t>https://www.marches-publics.gouv.fr/entreprise</t>
        </is>
      </c>
      <c r="AG29" t="inlineStr"/>
      <c r="AH29" t="inlineStr">
        <is>
          <t>2</t>
        </is>
      </c>
      <c r="AI29" t="inlineStr">
        <is>
          <t>50</t>
        </is>
      </c>
      <c r="AJ29" t="inlineStr">
        <is>
          <t>INFO_PARTIELLE</t>
        </is>
      </c>
      <c r="AK29" t="inlineStr">
        <is>
          <t>20</t>
        </is>
      </c>
      <c r="AL29" s="16" t="inlineStr">
        <is>
          <t>FROID</t>
        </is>
      </c>
      <c r="AM29" t="inlineStr"/>
      <c r="AN29" t="inlineStr"/>
      <c r="AO29" t="inlineStr"/>
      <c r="AP29" t="inlineStr"/>
      <c r="AQ29" t="inlineStr">
        <is>
          <t>IA_BUDGET_A_VERIFIER</t>
        </is>
      </c>
      <c r="AR29" t="inlineStr">
        <is>
          <t>Verifier le budget dans l'avis source ou le DCE avant decision commerciale.</t>
        </is>
      </c>
      <c r="AS29" t="inlineStr">
        <is>
          <t>SIRET, adresse, ville, budget</t>
        </is>
      </c>
      <c r="AT2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29" t="inlineStr">
        <is>
          <t>Verifier url_avis et DCE si disponible</t>
        </is>
      </c>
      <c r="AV29" t="inlineStr">
        <is>
          <t>LIEN_SEUL</t>
        </is>
      </c>
      <c r="AW29" t="inlineStr"/>
      <c r="AX29" t="inlineStr"/>
      <c r="AY29" t="inlineStr"/>
      <c r="AZ29" t="inlineStr"/>
      <c r="BA29" t="inlineStr"/>
      <c r="BB29" t="inlineStr">
        <is>
          <t>0 pertinence metier faible | +10 budget non affiche (a verifier) | +10 delai confortable 20j</t>
        </is>
      </c>
      <c r="BC29"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29"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29"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29" t="inlineStr"/>
      <c r="BG29" t="inlineStr"/>
      <c r="BH29" t="inlineStr"/>
      <c r="BI29" t="inlineStr"/>
      <c r="BJ29" t="inlineStr"/>
      <c r="BK29" t="inlineStr"/>
      <c r="BL29" t="inlineStr"/>
      <c r="BM29" t="inlineStr">
        <is>
          <t>2026-W29</t>
        </is>
      </c>
    </row>
    <row r="30">
      <c r="A30" t="inlineStr">
        <is>
          <t>BOAMP</t>
        </is>
      </c>
      <c r="B30" t="inlineStr">
        <is>
          <t>26-70040</t>
        </is>
      </c>
      <c r="C30" t="inlineStr">
        <is>
          <t>Prestations de gardiennage et sécurité incendie pour le campus HEC Paris</t>
        </is>
      </c>
      <c r="D30" t="inlineStr">
        <is>
          <t>HEC Paris</t>
        </is>
      </c>
      <c r="E30" t="inlineStr"/>
      <c r="F30" t="inlineStr"/>
      <c r="G30" t="inlineStr"/>
      <c r="H30" t="inlineStr"/>
      <c r="I30" t="inlineStr">
        <is>
          <t>publications-joue@aws-france.com</t>
        </is>
      </c>
      <c r="J30" t="inlineStr">
        <is>
          <t>+33480041260</t>
        </is>
      </c>
      <c r="K30" t="inlineStr"/>
      <c r="L30" t="inlineStr"/>
      <c r="M30" t="inlineStr"/>
      <c r="N30" t="inlineStr">
        <is>
          <t>78</t>
        </is>
      </c>
      <c r="O30" t="inlineStr"/>
      <c r="P30" t="inlineStr">
        <is>
          <t>Ile-de-France</t>
        </is>
      </c>
      <c r="Q30" s="14" t="n">
        <v>46218</v>
      </c>
      <c r="R30" s="14" t="n">
        <v>46282</v>
      </c>
      <c r="S30" t="inlineStr"/>
      <c r="T30" t="inlineStr">
        <is>
          <t>A_VERIFIER_BUDGET</t>
        </is>
      </c>
      <c r="U30" t="inlineStr"/>
      <c r="V30" t="inlineStr">
        <is>
          <t>non</t>
        </is>
      </c>
      <c r="W30" t="inlineStr">
        <is>
          <t>Personnel</t>
        </is>
      </c>
      <c r="X30" t="inlineStr">
        <is>
          <t>Autre</t>
        </is>
      </c>
      <c r="Y30" t="inlineStr">
        <is>
          <t>SERVICES</t>
        </is>
      </c>
      <c r="Z30" t="inlineStr">
        <is>
          <t>Procédure Ouverte</t>
        </is>
      </c>
      <c r="AA30" t="inlineStr">
        <is>
          <t>Avis de marché</t>
        </is>
      </c>
      <c r="AB30" t="inlineStr">
        <is>
          <t>Sécurité incendie, Gardiennage</t>
        </is>
      </c>
      <c r="AC30" t="inlineStr">
        <is>
          <t>['sociaux', 'environnementaux']</t>
        </is>
      </c>
      <c r="AD30" s="10" t="inlineStr">
        <is>
          <t>https://www.boamp.fr/pages/avis/?q=idweb:26-70040</t>
        </is>
      </c>
      <c r="AE30" t="inlineStr">
        <is>
          <t>https://www.marches-publics.info/mpiaws/index.cfm?fuseaction=dematEnt.login&amp;amp;type=DCE&amp;amp;IDM=1850314</t>
        </is>
      </c>
      <c r="AF30" t="inlineStr">
        <is>
          <t>https://www.marches-publics.info/mpiaws/index.cfm?fuseaction=dematEnt.login&amp;amp;type=DCE&amp;amp;IDM=1850314</t>
        </is>
      </c>
      <c r="AG30" t="inlineStr"/>
      <c r="AH30" t="inlineStr">
        <is>
          <t>2</t>
        </is>
      </c>
      <c r="AI30" t="inlineStr">
        <is>
          <t>50</t>
        </is>
      </c>
      <c r="AJ30" t="inlineStr">
        <is>
          <t>INFO_PARTIELLE</t>
        </is>
      </c>
      <c r="AK30" t="inlineStr">
        <is>
          <t>20</t>
        </is>
      </c>
      <c r="AL30" s="16" t="inlineStr">
        <is>
          <t>FROID</t>
        </is>
      </c>
      <c r="AM30" t="inlineStr"/>
      <c r="AN30" t="inlineStr"/>
      <c r="AO30" t="inlineStr"/>
      <c r="AP30" t="inlineStr"/>
      <c r="AQ30" t="inlineStr">
        <is>
          <t>IA_BUDGET_A_VERIFIER</t>
        </is>
      </c>
      <c r="AR30" t="inlineStr">
        <is>
          <t>Verifier le budget dans l'avis source ou le DCE avant decision commerciale.</t>
        </is>
      </c>
      <c r="AS30" t="inlineStr">
        <is>
          <t>SIRET, adresse, ville, budget</t>
        </is>
      </c>
      <c r="AT3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30" t="inlineStr">
        <is>
          <t>Verifier url_avis et DCE si disponible</t>
        </is>
      </c>
      <c r="AV30" t="inlineStr">
        <is>
          <t>LIEN_SEUL</t>
        </is>
      </c>
      <c r="AW30" t="inlineStr"/>
      <c r="AX30" t="inlineStr"/>
      <c r="AY30" t="inlineStr"/>
      <c r="AZ30" t="inlineStr"/>
      <c r="BA30" t="inlineStr"/>
      <c r="BB30" t="inlineStr">
        <is>
          <t>0 pertinence metier faible | +10 budget non affiche (a verifier) | +10 delai confortable 51j</t>
        </is>
      </c>
      <c r="BC30" t="inlineStr">
        <is>
          <t>HEC Paris publie un AO potentiellement pertinent pour CHRUTH : Prestations de gardiennage et sécurité incendie pour le campus HEC Paris. Zone : 78. Budget a verifier. Verifier le lien source avant contact.</t>
        </is>
      </c>
      <c r="BD30"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30"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30" t="inlineStr"/>
      <c r="BG30" t="inlineStr"/>
      <c r="BH30" t="inlineStr"/>
      <c r="BI30" t="inlineStr"/>
      <c r="BJ30" t="inlineStr"/>
      <c r="BK30" t="inlineStr"/>
      <c r="BL30" t="inlineStr"/>
      <c r="BM30" t="inlineStr">
        <is>
          <t>2026-W29</t>
        </is>
      </c>
    </row>
    <row r="31">
      <c r="A31" t="inlineStr">
        <is>
          <t>BOAMP</t>
        </is>
      </c>
      <c r="B31" t="inlineStr">
        <is>
          <t>26-74389</t>
        </is>
      </c>
      <c r="C31" t="inlineStr">
        <is>
          <t>Prestations de conseil et assistance en UX/UI, en développement, intégration et maintenance des projets numériques en 2 lots</t>
        </is>
      </c>
      <c r="D31" t="inlineStr">
        <is>
          <t>VILLE de PARIS - DFA - SDA</t>
        </is>
      </c>
      <c r="E31" t="inlineStr">
        <is>
          <t>21750001600019</t>
        </is>
      </c>
      <c r="F31" t="inlineStr">
        <is>
          <t>217500016</t>
        </is>
      </c>
      <c r="G31" t="inlineStr"/>
      <c r="H31" t="inlineStr"/>
      <c r="I31" t="inlineStr">
        <is>
          <t>dfa-bm1@paris.fr</t>
        </is>
      </c>
      <c r="J31" t="inlineStr">
        <is>
          <t>+33 171270264</t>
        </is>
      </c>
      <c r="K31" t="inlineStr"/>
      <c r="L31" t="inlineStr"/>
      <c r="M31" t="inlineStr"/>
      <c r="N31" t="inlineStr">
        <is>
          <t>75</t>
        </is>
      </c>
      <c r="O31" t="inlineStr"/>
      <c r="P31" t="inlineStr">
        <is>
          <t>Ile-de-France</t>
        </is>
      </c>
      <c r="Q31" s="14" t="n">
        <v>46229</v>
      </c>
      <c r="R31" s="14" t="n">
        <v>46287</v>
      </c>
      <c r="S31" s="15" t="n">
        <v>600000</v>
      </c>
      <c r="T31" t="inlineStr">
        <is>
          <t>BUDGET_EXPLICITE_OK</t>
        </is>
      </c>
      <c r="U31" t="inlineStr">
        <is>
          <t>1028571</t>
        </is>
      </c>
      <c r="V31" t="inlineStr">
        <is>
          <t>oui</t>
        </is>
      </c>
      <c r="W31" t="inlineStr">
        <is>
          <t>Personnel</t>
        </is>
      </c>
      <c r="X31" t="inlineStr">
        <is>
          <t>Mairie</t>
        </is>
      </c>
      <c r="Y31" t="inlineStr">
        <is>
          <t>SERVICES</t>
        </is>
      </c>
      <c r="Z31" t="inlineStr">
        <is>
          <t>Procédure Ouverte</t>
        </is>
      </c>
      <c r="AA31" t="inlineStr">
        <is>
          <t>Avis de marché</t>
        </is>
      </c>
      <c r="AB31" t="inlineStr">
        <is>
          <t>Gardiennage</t>
        </is>
      </c>
      <c r="AC31" t="inlineStr"/>
      <c r="AD31" s="10" t="inlineStr">
        <is>
          <t>https://www.boamp.fr/pages/avis/?q=idweb:26-74389</t>
        </is>
      </c>
      <c r="AE31" t="inlineStr">
        <is>
          <t>https://marches.maximilien.fr/entreprise/consultation/943956?orgAcronyme=r8t</t>
        </is>
      </c>
      <c r="AF31" t="inlineStr">
        <is>
          <t>https://marches.maximilien.fr/entreprise/consultation/943956?orgAcronyme=r8t</t>
        </is>
      </c>
      <c r="AG31" t="inlineStr"/>
      <c r="AH31" t="inlineStr">
        <is>
          <t>3</t>
        </is>
      </c>
      <c r="AI31" t="inlineStr">
        <is>
          <t>60</t>
        </is>
      </c>
      <c r="AJ31" t="inlineStr">
        <is>
          <t>INFO_PARTIELLE</t>
        </is>
      </c>
      <c r="AK31" t="inlineStr">
        <is>
          <t>15</t>
        </is>
      </c>
      <c r="AL31" s="16" t="inlineStr">
        <is>
          <t>FROID</t>
        </is>
      </c>
      <c r="AM31" t="inlineStr"/>
      <c r="AN31" t="inlineStr"/>
      <c r="AO31" t="inlineStr"/>
      <c r="AP31" t="inlineStr"/>
      <c r="AQ31" t="inlineStr">
        <is>
          <t>IA_CONTACT_A_COMPLETER</t>
        </is>
      </c>
      <c r="AR31" t="inlineStr">
        <is>
          <t>Completer les champs manquants depuis l'avis source, le site acheteur ou le DCE.</t>
        </is>
      </c>
      <c r="AS31" t="inlineStr">
        <is>
          <t>adresse, ville</t>
        </is>
      </c>
      <c r="AT3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26-74389. Objet: Prestations de conseil et assistance en UX/UI, en développement, intégration et maintenance des projets numériques en 2 lots. Acheteur: VILLE de PARIS - DFA - SDA. Lien: https://www.boamp.fr/pages/avis/?q=idweb:26-74389.</t>
        </is>
      </c>
      <c r="AU31" t="inlineStr">
        <is>
          <t>Verifier url_avis et DCE si disponible</t>
        </is>
      </c>
      <c r="AV31" t="inlineStr"/>
      <c r="AW31" t="inlineStr"/>
      <c r="AX31" t="inlineStr"/>
      <c r="AY31" t="inlineStr"/>
      <c r="AZ31" t="inlineStr"/>
      <c r="BA31" t="inlineStr"/>
      <c r="BB31" t="inlineStr">
        <is>
          <t>0 pertinence metier faible | -20 gros budget (&gt; 500 000 EUR) | +15 procedure adaptee / MAPA / allotissement | +10 secteur cible Mairie | +10 delai confortable 56j</t>
        </is>
      </c>
      <c r="BC31" t="inlineStr">
        <is>
          <t>VILLE de PARIS - DFA - SDA publie un AO potentiellement pertinent pour CHRUTH : Prestations de conseil et assistance en UX/UI, en développement, intégration et maintenance des projets numériques en 2 lots. Zone : 75. Budget detecte environ 600 000 EUR. Verifier le lien source avant contact.</t>
        </is>
      </c>
      <c r="BD31" t="inlineStr">
        <is>
          <t>Bonjour,
Je me permets de vous contacter au sujet de votre appel d'offres : Prestations de conseil et assistance en UX/UI, en développement, intégration et maintenance des projets numériques en 2 lots.
CHRUTH accompagne les structures publiques et privées sur les besoins de nettoyage, d'entretien des locaux et d'organisation de prestations de service.
Serait-il possible d'échanger rapidement afin de vérifier les modalités de réponse et les attentes de VILLE de PARIS - DFA - SDA ?
Cordialement,</t>
        </is>
      </c>
      <c r="BE31" t="inlineStr">
        <is>
          <t>Bonjour, je vous appelle concernant un appel d'offres publié par VILLE de PARIS - DFA - SDA. Je souhaite vérifier les informations pratiques : périmètre des prestations, date limite, modalités de visite, contact technique et pièces attendues. Pouvez-vous m'indiquer la bonne personne à contacter ?</t>
        </is>
      </c>
      <c r="BF31" t="inlineStr"/>
      <c r="BG31" t="inlineStr"/>
      <c r="BH31" t="inlineStr"/>
      <c r="BI31" t="inlineStr"/>
      <c r="BJ31" t="inlineStr"/>
      <c r="BK31" t="inlineStr"/>
      <c r="BL31" t="inlineStr"/>
      <c r="BM31" t="inlineStr">
        <is>
          <t>2026-W30</t>
        </is>
      </c>
    </row>
    <row r="32">
      <c r="A32" t="inlineStr">
        <is>
          <t>BOAMP</t>
        </is>
      </c>
      <c r="B32" t="inlineStr">
        <is>
          <t>26-73883</t>
        </is>
      </c>
      <c r="C32" t="inlineStr">
        <is>
          <t>Marché n°26.AO.MG.050 - Renfort de personnel au sein du télé-accueil de l'EPT Est Ensemble</t>
        </is>
      </c>
      <c r="D32" t="inlineStr">
        <is>
          <t>Est Ensemble</t>
        </is>
      </c>
      <c r="E32" t="inlineStr">
        <is>
          <t>20005787500011</t>
        </is>
      </c>
      <c r="F32" t="inlineStr">
        <is>
          <t>200057875</t>
        </is>
      </c>
      <c r="G32" t="inlineStr"/>
      <c r="H32" t="inlineStr"/>
      <c r="I32" t="inlineStr">
        <is>
          <t>marchespublics@est-ensemble.fr</t>
        </is>
      </c>
      <c r="J32" t="inlineStr">
        <is>
          <t>0578750001</t>
        </is>
      </c>
      <c r="K32" t="inlineStr"/>
      <c r="L32" t="inlineStr"/>
      <c r="M32" t="inlineStr"/>
      <c r="N32" t="inlineStr">
        <is>
          <t>93,75</t>
        </is>
      </c>
      <c r="O32" t="inlineStr"/>
      <c r="P32" t="inlineStr">
        <is>
          <t>Ile-de-France</t>
        </is>
      </c>
      <c r="Q32" s="14" t="n">
        <v>46228</v>
      </c>
      <c r="R32" s="14" t="n">
        <v>46283</v>
      </c>
      <c r="S32" s="15" t="n">
        <v>600000</v>
      </c>
      <c r="T32" t="inlineStr">
        <is>
          <t>BUDGET_EXPLICITE_OK</t>
        </is>
      </c>
      <c r="U32" t="inlineStr">
        <is>
          <t>150000</t>
        </is>
      </c>
      <c r="V32" t="inlineStr">
        <is>
          <t>oui</t>
        </is>
      </c>
      <c r="W32" t="inlineStr">
        <is>
          <t>Personnel</t>
        </is>
      </c>
      <c r="X32" t="inlineStr">
        <is>
          <t>Autre</t>
        </is>
      </c>
      <c r="Y32" t="inlineStr">
        <is>
          <t>SERVICES</t>
        </is>
      </c>
      <c r="Z32" t="inlineStr">
        <is>
          <t>Procédure Ouverte</t>
        </is>
      </c>
      <c r="AA32" t="inlineStr">
        <is>
          <t>Avis de marché</t>
        </is>
      </c>
      <c r="AB32" t="inlineStr">
        <is>
          <t>Télécommunications, Mise à disposition de personnel</t>
        </is>
      </c>
      <c r="AC32" t="inlineStr"/>
      <c r="AD32" s="10" t="inlineStr">
        <is>
          <t>https://www.boamp.fr/pages/avis/?q=idweb:26-73883</t>
        </is>
      </c>
      <c r="AE32" t="inlineStr">
        <is>
          <t>https://marches.maximilien.fr/?page=Entreprise.EntrepriseAdvancedSearch&amp;AllCons&amp;id=944029&amp;orgAcronyme=v8x</t>
        </is>
      </c>
      <c r="AF32" t="inlineStr">
        <is>
          <t>https://marches.maximilien.fr/?page=Entreprise.EntrepriseAdvancedSearch&amp;AllCons&amp;id=944029&amp;orgAcronyme=v8x</t>
        </is>
      </c>
      <c r="AG32" t="inlineStr"/>
      <c r="AH32" t="inlineStr">
        <is>
          <t>3</t>
        </is>
      </c>
      <c r="AI32" t="inlineStr">
        <is>
          <t>60</t>
        </is>
      </c>
      <c r="AJ32" t="inlineStr">
        <is>
          <t>INFO_PARTIELLE</t>
        </is>
      </c>
      <c r="AK32" t="inlineStr">
        <is>
          <t>15</t>
        </is>
      </c>
      <c r="AL32" s="16" t="inlineStr">
        <is>
          <t>FROID</t>
        </is>
      </c>
      <c r="AM32" t="inlineStr"/>
      <c r="AN32" t="inlineStr"/>
      <c r="AO32" t="inlineStr"/>
      <c r="AP32" t="inlineStr"/>
      <c r="AQ32" t="inlineStr">
        <is>
          <t>IA_CONTACT_A_COMPLETER</t>
        </is>
      </c>
      <c r="AR32" t="inlineStr">
        <is>
          <t>Completer les champs manquants depuis l'avis source, le site acheteur ou le DCE.</t>
        </is>
      </c>
      <c r="AS32" t="inlineStr">
        <is>
          <t>adresse, ville</t>
        </is>
      </c>
      <c r="AT3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26-73883. Objet: Marché n°26.AO.MG.050 - Renfort de personnel au sein du télé-accueil de l'EPT Est Ensemble. Acheteur: Est Ensemble. Lien: https://www.boamp.fr/pages/avis/?q=idweb:26-73883.</t>
        </is>
      </c>
      <c r="AU32" t="inlineStr">
        <is>
          <t>Verifier url_avis et DCE si disponible</t>
        </is>
      </c>
      <c r="AV32" t="inlineStr"/>
      <c r="AW32" t="inlineStr"/>
      <c r="AX32" t="inlineStr"/>
      <c r="AY32" t="inlineStr"/>
      <c r="AZ32" t="inlineStr"/>
      <c r="BA32" t="inlineStr"/>
      <c r="BB32" t="inlineStr">
        <is>
          <t>0 pertinence metier faible | +5 budget annualise &lt;= 200 000 EUR | +10 delai confortable 52j</t>
        </is>
      </c>
      <c r="BC32" t="inlineStr">
        <is>
          <t>Est Ensemble publie un AO potentiellement pertinent pour CHRUTH : Marché n°26.AO.MG.050 - Renfort de personnel au sein du télé-accueil de l'EPT Est Ensemble. Zone : 93,75. Budget detecte environ 600 000 EUR. Verifier le lien source avant contact.</t>
        </is>
      </c>
      <c r="BD32" t="inlineStr">
        <is>
          <t>Bonjour,
Je me permets de vous contacter au sujet de votre appel d'offres : Marché n°26.AO.MG.050 - Renfort de personnel au sein du télé-accueil de l'EPT Est Ensemble.
CHRUTH accompagne les structures publiques et privées sur les besoins de nettoyage, d'entretien des locaux et d'organisation de prestations de service.
Serait-il possible d'échanger rapidement afin de vérifier les modalités de réponse et les attentes de Est Ensemble ?
Cordialement,</t>
        </is>
      </c>
      <c r="BE32" t="inlineStr">
        <is>
          <t>Bonjour, je vous appelle concernant un appel d'offres publié par Est Ensemble. Je souhaite vérifier les informations pratiques : périmètre des prestations, date limite, modalités de visite, contact technique et pièces attendues. Pouvez-vous m'indiquer la bonne personne à contacter ?</t>
        </is>
      </c>
      <c r="BF32" t="inlineStr"/>
      <c r="BG32" t="inlineStr"/>
      <c r="BH32" t="inlineStr"/>
      <c r="BI32" t="inlineStr"/>
      <c r="BJ32" t="inlineStr"/>
      <c r="BK32" t="inlineStr"/>
      <c r="BL32" t="inlineStr"/>
      <c r="BM32" t="inlineStr">
        <is>
          <t>2026-W30</t>
        </is>
      </c>
    </row>
    <row r="33">
      <c r="A33" t="inlineStr">
        <is>
          <t>BOAMP</t>
        </is>
      </c>
      <c r="B33" t="inlineStr">
        <is>
          <t>26-70598</t>
        </is>
      </c>
      <c r="C33" t="inlineStr">
        <is>
          <t>Location et entretien de linge de restauration et de maison pour le compte des Ministères sociaux</t>
        </is>
      </c>
      <c r="D33" t="inlineStr">
        <is>
          <t>Ministères sociaux, DFAS/SDADD</t>
        </is>
      </c>
      <c r="E33" t="inlineStr">
        <is>
          <t>11000201100044</t>
        </is>
      </c>
      <c r="F33" t="inlineStr">
        <is>
          <t>110002011</t>
        </is>
      </c>
      <c r="G33" t="inlineStr"/>
      <c r="H33" t="inlineStr"/>
      <c r="I33" t="inlineStr">
        <is>
          <t>maxime.peyronnet@sg.social.gouv.fr</t>
        </is>
      </c>
      <c r="J33" t="inlineStr">
        <is>
          <t>0201100044</t>
        </is>
      </c>
      <c r="K33" t="inlineStr"/>
      <c r="L33" t="inlineStr"/>
      <c r="M33" t="inlineStr"/>
      <c r="N33" t="inlineStr">
        <is>
          <t>75,77,78,91,92,93,94,95</t>
        </is>
      </c>
      <c r="O33" t="inlineStr"/>
      <c r="P33" t="inlineStr">
        <is>
          <t>Ile-de-France</t>
        </is>
      </c>
      <c r="Q33" s="14" t="n">
        <v>46220</v>
      </c>
      <c r="R33" s="14" t="n">
        <v>46241</v>
      </c>
      <c r="S33" s="15" t="n">
        <v>852000</v>
      </c>
      <c r="T33" t="inlineStr">
        <is>
          <t>BUDGET_EXPLICITE_OK</t>
        </is>
      </c>
      <c r="U33" t="inlineStr">
        <is>
          <t>5112000</t>
        </is>
      </c>
      <c r="V33" t="inlineStr">
        <is>
          <t>oui</t>
        </is>
      </c>
      <c r="W33" t="inlineStr">
        <is>
          <t>Mixte/Autre</t>
        </is>
      </c>
      <c r="X33" t="inlineStr">
        <is>
          <t>Autre</t>
        </is>
      </c>
      <c r="Y33" t="inlineStr">
        <is>
          <t>SERVICES</t>
        </is>
      </c>
      <c r="Z33" t="inlineStr">
        <is>
          <t>Procédure Ouverte</t>
        </is>
      </c>
      <c r="AA33" t="inlineStr">
        <is>
          <t>Avis de marché</t>
        </is>
      </c>
      <c r="AB33" t="inlineStr">
        <is>
          <t>Location (matériels), Blanchissage</t>
        </is>
      </c>
      <c r="AC33" t="inlineStr">
        <is>
          <t>['sociaux', 'environnementaux']</t>
        </is>
      </c>
      <c r="AD33" s="10" t="inlineStr">
        <is>
          <t>https://www.boamp.fr/pages/avis/?q=idweb:26-70598</t>
        </is>
      </c>
      <c r="AE33" t="inlineStr">
        <is>
          <t>https://www.marches-publics.gouv.fr/</t>
        </is>
      </c>
      <c r="AF33" t="inlineStr">
        <is>
          <t>https://www.marches-publics.gouv.fr/</t>
        </is>
      </c>
      <c r="AG33" t="inlineStr">
        <is>
          <t>nettoyage</t>
        </is>
      </c>
      <c r="AH33" t="inlineStr">
        <is>
          <t>3</t>
        </is>
      </c>
      <c r="AI33" t="inlineStr">
        <is>
          <t>68</t>
        </is>
      </c>
      <c r="AJ33" t="inlineStr">
        <is>
          <t>INFO_PARTIELLE</t>
        </is>
      </c>
      <c r="AK33" t="inlineStr">
        <is>
          <t>15</t>
        </is>
      </c>
      <c r="AL33" s="16" t="inlineStr">
        <is>
          <t>FROID</t>
        </is>
      </c>
      <c r="AM33" t="inlineStr"/>
      <c r="AN33" t="inlineStr"/>
      <c r="AO33" t="inlineStr"/>
      <c r="AP33" t="inlineStr"/>
      <c r="AQ33" t="inlineStr">
        <is>
          <t>IA_CONTACT_A_COMPLETER</t>
        </is>
      </c>
      <c r="AR33" t="inlineStr">
        <is>
          <t>Completer les champs manquants depuis l'avis source, le site acheteur ou le DCE.</t>
        </is>
      </c>
      <c r="AS33" t="inlineStr">
        <is>
          <t>adresse, ville</t>
        </is>
      </c>
      <c r="AT3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26-70598. Objet: Location et entretien de linge de restauration et de maison pour le compte des Ministères sociaux. Acheteur: Ministères sociaux, DFAS/SDADD. Lien: https://www.boamp.fr/pages/avis/?q=idweb:26-70598.</t>
        </is>
      </c>
      <c r="AU33" t="inlineStr">
        <is>
          <t>Verifier url_avis et DCE si disponible</t>
        </is>
      </c>
      <c r="AV33" t="inlineStr"/>
      <c r="AW33" t="inlineStr"/>
      <c r="AX33" t="inlineStr"/>
      <c r="AY33" t="inlineStr"/>
      <c r="AZ33" t="inlineStr"/>
      <c r="BA33" t="inlineStr"/>
      <c r="BB33" t="inlineStr">
        <is>
          <t>+30 mots-cles nettoyage forts | -20 gros budget (&gt; 500 000 EUR) | +5 delai court 10j</t>
        </is>
      </c>
      <c r="BC33" t="inlineStr">
        <is>
          <t>Ministères sociaux, DFAS/SDADD publie un AO potentiellement pertinent pour CHRUTH : Location et entretien de linge de restauration et de maison pour le compte des Ministères sociaux. Zone : 75,77,78,91,92,93,94,95. Budget detecte environ 852 000 EUR. Verifier le lien source avant contact.</t>
        </is>
      </c>
      <c r="BD33" t="inlineStr">
        <is>
          <t>Bonjour,
Je me permets de vous contacter au sujet de votre appel d'offres : Location et entretien de linge de restauration et de maison pour le compte des Ministères sociaux.
CHRUTH accompagne les structures publiques et privées sur les besoins de nettoyage, d'entretien des locaux et d'organisation de prestations de service.
Serait-il possible d'échanger rapidement afin de vérifier les modalités de réponse et les attentes de Ministères sociaux, DFAS/SDADD ?
Cordialement,</t>
        </is>
      </c>
      <c r="BE33" t="inlineStr">
        <is>
          <t>Bonjour, je vous appelle concernant un appel d'offres publié par Ministères sociaux, DFAS/SDADD. Je souhaite vérifier les informations pratiques : périmètre des prestations, date limite, modalités de visite, contact technique et pièces attendues. Pouvez-vous m'indiquer la bonne personne à contacter ?</t>
        </is>
      </c>
      <c r="BF33" t="inlineStr"/>
      <c r="BG33" t="inlineStr"/>
      <c r="BH33" t="inlineStr"/>
      <c r="BI33" t="inlineStr"/>
      <c r="BJ33" t="inlineStr"/>
      <c r="BK33" t="inlineStr"/>
      <c r="BL33" t="inlineStr"/>
      <c r="BM33" t="inlineStr">
        <is>
          <t>2026-W29</t>
        </is>
      </c>
    </row>
    <row r="34">
      <c r="A34" t="inlineStr">
        <is>
          <t>BOAMP</t>
        </is>
      </c>
      <c r="B34" t="inlineStr">
        <is>
          <t>26-72867</t>
        </is>
      </c>
      <c r="C34" t="inlineStr">
        <is>
          <t>La présente consultation a pour objet des prestations de sécurité incendie, de gardiennage des locaux et d’assistance aux personnels et usagers de l’arrondissement judiciaire de Paris.</t>
        </is>
      </c>
      <c r="D34" t="inlineStr">
        <is>
          <t>Cour d'appel de Paris - SAR</t>
        </is>
      </c>
      <c r="E34" t="inlineStr"/>
      <c r="F34" t="inlineStr"/>
      <c r="G34" t="inlineStr"/>
      <c r="H34" t="inlineStr"/>
      <c r="I34" t="inlineStr">
        <is>
          <t>mp.sar.ca-paris@justice.fr</t>
        </is>
      </c>
      <c r="J34" t="inlineStr">
        <is>
          <t>0144325084</t>
        </is>
      </c>
      <c r="K34" t="inlineStr"/>
      <c r="L34" t="inlineStr"/>
      <c r="M34" t="inlineStr"/>
      <c r="N34" t="inlineStr">
        <is>
          <t>75,77,89,91,93,94,95</t>
        </is>
      </c>
      <c r="O34" t="inlineStr"/>
      <c r="P34" t="inlineStr">
        <is>
          <t>Ile-de-France</t>
        </is>
      </c>
      <c r="Q34" s="14" t="n">
        <v>46226</v>
      </c>
      <c r="R34" t="inlineStr"/>
      <c r="S34" t="inlineStr"/>
      <c r="T34" t="inlineStr">
        <is>
          <t>A_VERIFIER_BUDGET</t>
        </is>
      </c>
      <c r="U34" t="inlineStr"/>
      <c r="V34" t="inlineStr">
        <is>
          <t>non</t>
        </is>
      </c>
      <c r="W34" t="inlineStr">
        <is>
          <t>Personnel</t>
        </is>
      </c>
      <c r="X34" t="inlineStr">
        <is>
          <t>Autre</t>
        </is>
      </c>
      <c r="Y34" t="inlineStr">
        <is>
          <t>SERVICES</t>
        </is>
      </c>
      <c r="Z34" t="inlineStr">
        <is>
          <t>Procédure Restreinte</t>
        </is>
      </c>
      <c r="AA34" t="inlineStr">
        <is>
          <t>Avis de marché</t>
        </is>
      </c>
      <c r="AB34" t="inlineStr">
        <is>
          <t>Gardiennage, Sécurité incendie</t>
        </is>
      </c>
      <c r="AC34" t="inlineStr"/>
      <c r="AD34" s="10" t="inlineStr">
        <is>
          <t>https://www.boamp.fr/pages/avis/?q=idweb:26-72867</t>
        </is>
      </c>
      <c r="AE34" t="inlineStr">
        <is>
          <t>https://www.marches-publics.gouv.fr/entreprise</t>
        </is>
      </c>
      <c r="AF34" t="inlineStr">
        <is>
          <t>https://www.marches-publics.gouv.fr/entreprise</t>
        </is>
      </c>
      <c r="AG34" t="inlineStr"/>
      <c r="AH34" t="inlineStr">
        <is>
          <t>2</t>
        </is>
      </c>
      <c r="AI34" t="inlineStr">
        <is>
          <t>50</t>
        </is>
      </c>
      <c r="AJ34" t="inlineStr">
        <is>
          <t>INFO_PARTIELLE</t>
        </is>
      </c>
      <c r="AK34" t="inlineStr">
        <is>
          <t>10</t>
        </is>
      </c>
      <c r="AL34" s="16" t="inlineStr">
        <is>
          <t>FROID</t>
        </is>
      </c>
      <c r="AM34" t="inlineStr"/>
      <c r="AN34" t="inlineStr"/>
      <c r="AO34" t="inlineStr"/>
      <c r="AP34" t="inlineStr"/>
      <c r="AQ34" t="inlineStr">
        <is>
          <t>IA_BUDGET_A_VERIFIER</t>
        </is>
      </c>
      <c r="AR34" t="inlineStr">
        <is>
          <t>Verifier le budget dans l'avis source ou le DCE avant decision commerciale.</t>
        </is>
      </c>
      <c r="AS34" t="inlineStr">
        <is>
          <t>SIRET, adresse, ville, budget</t>
        </is>
      </c>
      <c r="AT3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34" t="inlineStr">
        <is>
          <t>Verifier url_avis et DCE si disponible</t>
        </is>
      </c>
      <c r="AV34" t="inlineStr">
        <is>
          <t>LIEN_SEUL</t>
        </is>
      </c>
      <c r="AW34" t="inlineStr"/>
      <c r="AX34" t="inlineStr"/>
      <c r="AY34" t="inlineStr"/>
      <c r="AZ34" t="inlineStr"/>
      <c r="BA34" t="inlineStr"/>
      <c r="BB34" t="inlineStr">
        <is>
          <t>0 pertinence metier faible | +10 budget non affiche (a verifier) | 0 date limite absente</t>
        </is>
      </c>
      <c r="BC34"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34"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34"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34" t="inlineStr"/>
      <c r="BG34" t="inlineStr"/>
      <c r="BH34" t="inlineStr"/>
      <c r="BI34" t="inlineStr"/>
      <c r="BJ34" t="inlineStr"/>
      <c r="BK34" t="inlineStr"/>
      <c r="BL34" t="inlineStr"/>
      <c r="BM34" t="inlineStr">
        <is>
          <t>2026-W30</t>
        </is>
      </c>
    </row>
    <row r="35">
      <c r="A35" t="inlineStr">
        <is>
          <t>BOAMP</t>
        </is>
      </c>
      <c r="B35" t="inlineStr">
        <is>
          <t>26-73122</t>
        </is>
      </c>
      <c r="C35" t="inlineStr">
        <is>
          <t>Mise à disposition de professionnels paramédicaux et éducatifs pour la Direction de la protection de l'enfance et de la jeunesse.</t>
        </is>
      </c>
      <c r="D35" t="inlineStr">
        <is>
          <t>Département du Val-de-Marne</t>
        </is>
      </c>
      <c r="E35" t="inlineStr">
        <is>
          <t>22940028800010</t>
        </is>
      </c>
      <c r="F35" t="inlineStr">
        <is>
          <t>229400288</t>
        </is>
      </c>
      <c r="G35" t="inlineStr"/>
      <c r="H35" t="inlineStr"/>
      <c r="I35" t="inlineStr">
        <is>
          <t>dapm@valdemarne.fr</t>
        </is>
      </c>
      <c r="J35" t="inlineStr">
        <is>
          <t>0704900017</t>
        </is>
      </c>
      <c r="K35" t="inlineStr"/>
      <c r="L35" t="inlineStr"/>
      <c r="M35" t="inlineStr"/>
      <c r="N35" t="inlineStr">
        <is>
          <t>94</t>
        </is>
      </c>
      <c r="O35" t="inlineStr"/>
      <c r="P35" t="inlineStr">
        <is>
          <t>Ile-de-France</t>
        </is>
      </c>
      <c r="Q35" s="14" t="n">
        <v>46226</v>
      </c>
      <c r="R35" s="14" t="n">
        <v>46276</v>
      </c>
      <c r="S35" s="15" t="n">
        <v>2800000</v>
      </c>
      <c r="T35" t="inlineStr">
        <is>
          <t>BUDGET_EXPLICITE_OK</t>
        </is>
      </c>
      <c r="U35" t="inlineStr">
        <is>
          <t>2800000</t>
        </is>
      </c>
      <c r="V35" t="inlineStr">
        <is>
          <t>oui</t>
        </is>
      </c>
      <c r="W35" t="inlineStr">
        <is>
          <t>Personnel</t>
        </is>
      </c>
      <c r="X35" t="inlineStr">
        <is>
          <t>Autre</t>
        </is>
      </c>
      <c r="Y35" t="inlineStr">
        <is>
          <t>SERVICES</t>
        </is>
      </c>
      <c r="Z35" t="inlineStr">
        <is>
          <t>Procédure Ouverte</t>
        </is>
      </c>
      <c r="AA35" t="inlineStr">
        <is>
          <t>Avis de marché</t>
        </is>
      </c>
      <c r="AB35" t="inlineStr">
        <is>
          <t>Mise à disposition de personnel</t>
        </is>
      </c>
      <c r="AC35" t="inlineStr">
        <is>
          <t>['environnementaux']</t>
        </is>
      </c>
      <c r="AD35" s="10" t="inlineStr">
        <is>
          <t>https://www.boamp.fr/pages/avis/?q=idweb:26-73122</t>
        </is>
      </c>
      <c r="AE35" t="inlineStr">
        <is>
          <t>https://marches.maximilien.fr/?page=Entreprise.EntrepriseAdvancedSearch&amp;AllCons&amp;id=943156&amp;orgAcronyme=a8z</t>
        </is>
      </c>
      <c r="AF35" t="inlineStr">
        <is>
          <t>https://marches.maximilien.fr/?page=Entreprise.EntrepriseAdvancedSearch&amp;AllCons&amp;id=943156&amp;orgAcronyme=a8z</t>
        </is>
      </c>
      <c r="AG35" t="inlineStr"/>
      <c r="AH35" t="inlineStr">
        <is>
          <t>3</t>
        </is>
      </c>
      <c r="AI35" t="inlineStr">
        <is>
          <t>60</t>
        </is>
      </c>
      <c r="AJ35" t="inlineStr">
        <is>
          <t>INFO_PARTIELLE</t>
        </is>
      </c>
      <c r="AK35" t="inlineStr">
        <is>
          <t>0</t>
        </is>
      </c>
      <c r="AL35" s="16" t="inlineStr">
        <is>
          <t>FROID</t>
        </is>
      </c>
      <c r="AM35" t="inlineStr"/>
      <c r="AN35" t="inlineStr"/>
      <c r="AO35" t="inlineStr"/>
      <c r="AP35" t="inlineStr"/>
      <c r="AQ35" t="inlineStr">
        <is>
          <t>IA_CONTACT_A_COMPLETER</t>
        </is>
      </c>
      <c r="AR35" t="inlineStr">
        <is>
          <t>Completer les champs manquants depuis l'avis source, le site acheteur ou le DCE.</t>
        </is>
      </c>
      <c r="AS35" t="inlineStr">
        <is>
          <t>adresse, ville</t>
        </is>
      </c>
      <c r="AT3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26-73122. Objet: Mise à disposition de professionnels paramédicaux et éducatifs pour la Direction de la protection de l'enfance et de la jeunesse.. Acheteur: Département du Val-de-Marne. Lien: https://www.boamp.fr/pages/avis/?q=idweb:26-73122.</t>
        </is>
      </c>
      <c r="AU35" t="inlineStr">
        <is>
          <t>Verifier url_avis et DCE si disponible</t>
        </is>
      </c>
      <c r="AV35" t="inlineStr"/>
      <c r="AW35" t="inlineStr"/>
      <c r="AX35" t="inlineStr"/>
      <c r="AY35" t="inlineStr"/>
      <c r="AZ35" t="inlineStr"/>
      <c r="BA35" t="inlineStr"/>
      <c r="BB35" t="inlineStr">
        <is>
          <t>0 pertinence metier faible | -20 gros budget (&gt; 500 000 EUR) | +10 delai confortable 45j</t>
        </is>
      </c>
      <c r="BC35" t="inlineStr">
        <is>
          <t>Département du Val-de-Marne publie un AO potentiellement pertinent pour CHRUTH : Mise à disposition de professionnels paramédicaux et éducatifs pour la Direction de la protection de l'enfance et de la jeunesse.. Zone : 94. Budget detecte environ 2 800 000 EUR. Verifier le lien source avant contact.</t>
        </is>
      </c>
      <c r="BD35" t="inlineStr">
        <is>
          <t>Bonjour,
Je me permets de vous contacter au sujet de votre appel d'offres : Mise à disposition de professionnels paramédicaux et éducatifs pour la Direction de la protection de l'enfance et de la jeunesse..
CHRUTH accompagne les structures publiques et privées sur les besoins de nettoyage, d'entretien des locaux et d'organisation de prestations de service.
Serait-il possible d'échanger rapidement afin de vérifier les modalités de réponse et les attentes de Département du Val-de-Marne ?
Cordialement,</t>
        </is>
      </c>
      <c r="BE35" t="inlineStr">
        <is>
          <t>Bonjour, je vous appelle concernant un appel d'offres publié par Département du Val-de-Marne. Je souhaite vérifier les informations pratiques : périmètre des prestations, date limite, modalités de visite, contact technique et pièces attendues. Pouvez-vous m'indiquer la bonne personne à contacter ?</t>
        </is>
      </c>
      <c r="BF35" t="inlineStr"/>
      <c r="BG35" t="inlineStr"/>
      <c r="BH35" t="inlineStr"/>
      <c r="BI35" t="inlineStr"/>
      <c r="BJ35" t="inlineStr"/>
      <c r="BK35" t="inlineStr"/>
      <c r="BL35" t="inlineStr"/>
      <c r="BM35" t="inlineStr">
        <is>
          <t>2026-W30</t>
        </is>
      </c>
    </row>
    <row r="36">
      <c r="A36" t="inlineStr">
        <is>
          <t>BOAMP</t>
        </is>
      </c>
      <c r="B36" t="inlineStr">
        <is>
          <t>26-70414</t>
        </is>
      </c>
      <c r="C36" t="inlineStr">
        <is>
          <t>prestations de gestion de l'entretien et des réparations des flottes de véhicules terrestres d’un PTAC ≤ 3,5 tonnes et des prestations d’assistance pour les véhicules en auto assurance</t>
        </is>
      </c>
      <c r="D36" t="inlineStr">
        <is>
          <t>Direction des Achats de l'Etat (DAE)</t>
        </is>
      </c>
      <c r="E36" t="inlineStr">
        <is>
          <t>13002220500012</t>
        </is>
      </c>
      <c r="F36" t="inlineStr">
        <is>
          <t>130022205</t>
        </is>
      </c>
      <c r="G36" t="inlineStr"/>
      <c r="H36" t="inlineStr"/>
      <c r="I36" t="inlineStr">
        <is>
          <t>mobilite.dae@finances.gouv.fr</t>
        </is>
      </c>
      <c r="J36" t="inlineStr">
        <is>
          <t>0222050001</t>
        </is>
      </c>
      <c r="K36" t="inlineStr"/>
      <c r="L36" t="inlineStr"/>
      <c r="M36" t="inlineStr"/>
      <c r="N36" t="inlineStr">
        <is>
          <t>75</t>
        </is>
      </c>
      <c r="O36" t="inlineStr"/>
      <c r="P36" t="inlineStr">
        <is>
          <t>Ile-de-France</t>
        </is>
      </c>
      <c r="Q36" s="14" t="n">
        <v>46220</v>
      </c>
      <c r="R36" s="14" t="n">
        <v>46233</v>
      </c>
      <c r="S36" s="15" t="n">
        <v>580000000</v>
      </c>
      <c r="T36" t="inlineStr">
        <is>
          <t>BUDGET_EXPLICITE_OK</t>
        </is>
      </c>
      <c r="U36" t="inlineStr">
        <is>
          <t>1160000000</t>
        </is>
      </c>
      <c r="V36" t="inlineStr">
        <is>
          <t>oui</t>
        </is>
      </c>
      <c r="W36" t="inlineStr">
        <is>
          <t>Personnel</t>
        </is>
      </c>
      <c r="X36" t="inlineStr">
        <is>
          <t>Autre</t>
        </is>
      </c>
      <c r="Y36" t="inlineStr">
        <is>
          <t>SERVICES</t>
        </is>
      </c>
      <c r="Z36" t="inlineStr">
        <is>
          <t>Procédure Ouverte</t>
        </is>
      </c>
      <c r="AA36" t="inlineStr">
        <is>
          <t>Avis de marché</t>
        </is>
      </c>
      <c r="AB36" t="inlineStr">
        <is>
          <t>Prestations de services</t>
        </is>
      </c>
      <c r="AC36" t="inlineStr">
        <is>
          <t>['sociaux', 'environnementaux']</t>
        </is>
      </c>
      <c r="AD36" s="10" t="inlineStr">
        <is>
          <t>https://www.boamp.fr/pages/avis/?q=idweb:26-70414</t>
        </is>
      </c>
      <c r="AE36" t="inlineStr">
        <is>
          <t>https://www.marches-publics.gouv.fr</t>
        </is>
      </c>
      <c r="AF36" t="inlineStr">
        <is>
          <t>https://www.marches-publics.gouv.fr</t>
        </is>
      </c>
      <c r="AG36" t="inlineStr"/>
      <c r="AH36" t="inlineStr">
        <is>
          <t>3</t>
        </is>
      </c>
      <c r="AI36" t="inlineStr">
        <is>
          <t>60</t>
        </is>
      </c>
      <c r="AJ36" t="inlineStr">
        <is>
          <t>INFO_PARTIELLE</t>
        </is>
      </c>
      <c r="AK36" t="inlineStr">
        <is>
          <t>0</t>
        </is>
      </c>
      <c r="AL36" s="16" t="inlineStr">
        <is>
          <t>FROID</t>
        </is>
      </c>
      <c r="AM36" t="inlineStr"/>
      <c r="AN36" t="inlineStr"/>
      <c r="AO36" t="inlineStr"/>
      <c r="AP36" t="inlineStr"/>
      <c r="AQ36" t="inlineStr">
        <is>
          <t>IA_CONTACT_A_COMPLETER</t>
        </is>
      </c>
      <c r="AR36" t="inlineStr">
        <is>
          <t>Completer les champs manquants depuis l'avis source, le site acheteur ou le DCE.</t>
        </is>
      </c>
      <c r="AS36" t="inlineStr">
        <is>
          <t>adresse, ville</t>
        </is>
      </c>
      <c r="AT3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26-70414. Objet: prestations de gestion de l'entretien et des réparations des flottes de véhicules terrestres d’un PTAC ≤ 3,5 tonnes et des prestations d’assistance pour les véhicules en auto assurance. Acheteur: Direction des Achats de l'Etat (DAE). Lien: https://www.boamp.fr/pages/avis/?q=idweb:26-70414.</t>
        </is>
      </c>
      <c r="AU36" t="inlineStr">
        <is>
          <t>Verifier url_avis et DCE si disponible</t>
        </is>
      </c>
      <c r="AV36" t="inlineStr"/>
      <c r="AW36" t="inlineStr"/>
      <c r="AX36" t="inlineStr"/>
      <c r="AY36" t="inlineStr"/>
      <c r="AZ36" t="inlineStr"/>
      <c r="BA36" t="inlineStr"/>
      <c r="BB36" t="inlineStr">
        <is>
          <t>0 pertinence metier faible | -20 gros budget (&gt; 500 000 EUR) | -15 delai critique 2j</t>
        </is>
      </c>
      <c r="BC36" t="inlineStr">
        <is>
          <t>Direction des Achats de l'Etat (DAE) publie un AO potentiellement pertinent pour CHRUTH : prestations de gestion de l'entretien et des réparations des flottes de véhicules terrestres d’un PTAC ≤ 3,5 tonnes et des prestations d’assistance pour les véhicules en auto assurance. Zone : 75. Budget detecte environ 580 000 000 EUR. Verifier le lien source avant contact.</t>
        </is>
      </c>
      <c r="BD36" t="inlineStr">
        <is>
          <t>Bonjour,
Je me permets de vous contacter au sujet de votre appel d'offres : prestations de gestion de l'entretien et des réparations des flottes de véhicules terrestres d’un PTAC ≤ 3,5 tonnes et des prestations d’assistance pour les véhicules en auto assurance.
CHRUTH accompagne les structures publiques et privées sur les besoins de nettoyage, d'entretien des locaux et d'organisation de prestations de service.
Serait-il possible d'échanger rapidement afin de vérifier les modalités de réponse et les attentes de Direction des Achats de l'Etat (DAE) ?
Cordialement,</t>
        </is>
      </c>
      <c r="BE36" t="inlineStr">
        <is>
          <t>Bonjour, je vous appelle concernant un appel d'offres publié par Direction des Achats de l'Etat (DAE). Je souhaite vérifier les informations pratiques : périmètre des prestations, date limite, modalités de visite, contact technique et pièces attendues. Pouvez-vous m'indiquer la bonne personne à contacter ?</t>
        </is>
      </c>
      <c r="BF36" t="inlineStr"/>
      <c r="BG36" t="inlineStr"/>
      <c r="BH36" t="inlineStr"/>
      <c r="BI36" t="inlineStr"/>
      <c r="BJ36" t="inlineStr"/>
      <c r="BK36" t="inlineStr"/>
      <c r="BL36" t="inlineStr"/>
      <c r="BM36" t="inlineStr">
        <is>
          <t>2026-W29</t>
        </is>
      </c>
    </row>
    <row r="37">
      <c r="A37" t="inlineStr">
        <is>
          <t>BOAMP</t>
        </is>
      </c>
      <c r="B37" t="inlineStr">
        <is>
          <t>26-70509</t>
        </is>
      </c>
      <c r="C37" t="inlineStr">
        <is>
          <t>GARDIENNAGE ET SURVEILLANCE DU CENTRE DE FORMATION DE GURCY-LE-CHATEL</t>
        </is>
      </c>
      <c r="D37" t="inlineStr">
        <is>
          <t>SDIS 77 de Seine-et-Marne</t>
        </is>
      </c>
      <c r="E37" t="inlineStr">
        <is>
          <t>28770831700014</t>
        </is>
      </c>
      <c r="F37" t="inlineStr">
        <is>
          <t>287708317</t>
        </is>
      </c>
      <c r="G37" t="inlineStr"/>
      <c r="H37" t="inlineStr"/>
      <c r="I37" t="inlineStr">
        <is>
          <t>marchespublics@sdis77.fr</t>
        </is>
      </c>
      <c r="J37" t="inlineStr">
        <is>
          <t>0831700014</t>
        </is>
      </c>
      <c r="K37" t="inlineStr"/>
      <c r="L37" t="inlineStr"/>
      <c r="M37" t="inlineStr"/>
      <c r="N37" t="inlineStr">
        <is>
          <t>77,91</t>
        </is>
      </c>
      <c r="O37" t="inlineStr"/>
      <c r="P37" t="inlineStr">
        <is>
          <t>Ile-de-France</t>
        </is>
      </c>
      <c r="Q37" s="14" t="n">
        <v>46220</v>
      </c>
      <c r="R37" t="inlineStr"/>
      <c r="S37" s="15" t="n">
        <v>250000</v>
      </c>
      <c r="T37" t="inlineStr">
        <is>
          <t>BUDGET_EXPLICITE_OK</t>
        </is>
      </c>
      <c r="U37" t="inlineStr">
        <is>
          <t>500000</t>
        </is>
      </c>
      <c r="V37" t="inlineStr">
        <is>
          <t>oui</t>
        </is>
      </c>
      <c r="W37" t="inlineStr">
        <is>
          <t>Personnel</t>
        </is>
      </c>
      <c r="X37" t="inlineStr">
        <is>
          <t>Autre</t>
        </is>
      </c>
      <c r="Y37" t="inlineStr">
        <is>
          <t>SERVICES</t>
        </is>
      </c>
      <c r="Z37" t="inlineStr">
        <is>
          <t>Procédure Restreinte</t>
        </is>
      </c>
      <c r="AA37" t="inlineStr">
        <is>
          <t>Avis de marché</t>
        </is>
      </c>
      <c r="AB37" t="inlineStr">
        <is>
          <t>Gardiennage</t>
        </is>
      </c>
      <c r="AC37" t="inlineStr">
        <is>
          <t>['environnementaux']</t>
        </is>
      </c>
      <c r="AD37" s="10" t="inlineStr">
        <is>
          <t>https://www.boamp.fr/pages/avis/?q=idweb:26-70509</t>
        </is>
      </c>
      <c r="AE37" t="inlineStr">
        <is>
          <t>http://melun.tribunal-administratif.fr</t>
        </is>
      </c>
      <c r="AF37" t="inlineStr"/>
      <c r="AG37" t="inlineStr"/>
      <c r="AH37" t="inlineStr">
        <is>
          <t>3</t>
        </is>
      </c>
      <c r="AI37" t="inlineStr">
        <is>
          <t>60</t>
        </is>
      </c>
      <c r="AJ37" t="inlineStr">
        <is>
          <t>INFO_PARTIELLE</t>
        </is>
      </c>
      <c r="AK37" t="inlineStr">
        <is>
          <t>0</t>
        </is>
      </c>
      <c r="AL37" s="16" t="inlineStr">
        <is>
          <t>FROID</t>
        </is>
      </c>
      <c r="AM37" t="inlineStr"/>
      <c r="AN37" t="inlineStr"/>
      <c r="AO37" t="inlineStr"/>
      <c r="AP37" t="inlineStr"/>
      <c r="AQ37" t="inlineStr">
        <is>
          <t>IA_CONTACT_A_COMPLETER</t>
        </is>
      </c>
      <c r="AR37" t="inlineStr">
        <is>
          <t>Completer les champs manquants depuis l'avis source, le site acheteur ou le DCE.</t>
        </is>
      </c>
      <c r="AS37" t="inlineStr">
        <is>
          <t>adresse, ville</t>
        </is>
      </c>
      <c r="AT3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26-70509. Objet: GARDIENNAGE ET SURVEILLANCE DU CENTRE DE FORMATION DE GURCY-LE-CHATEL. Acheteur: SDIS 77 de Seine-et-Marne. Lien: https://www.boamp.fr/pages/avis/?q=idweb:26-70509.</t>
        </is>
      </c>
      <c r="AU37" t="inlineStr">
        <is>
          <t>Verifier url_avis et DCE si disponible</t>
        </is>
      </c>
      <c r="AV37" t="inlineStr"/>
      <c r="AW37" t="inlineStr"/>
      <c r="AX37" t="inlineStr"/>
      <c r="AY37" t="inlineStr"/>
      <c r="AZ37" t="inlineStr"/>
      <c r="BA37" t="inlineStr"/>
      <c r="BB37" t="inlineStr">
        <is>
          <t>0 pertinence metier faible | -10 budget annualise &lt;= 500 000 EUR | 0 date limite absente</t>
        </is>
      </c>
      <c r="BC37" t="inlineStr">
        <is>
          <t>SDIS 77 de Seine-et-Marne publie un AO potentiellement pertinent pour CHRUTH : GARDIENNAGE ET SURVEILLANCE DU CENTRE DE FORMATION DE GURCY-LE-CHATEL. Zone : 77,91. Budget detecte environ 250 000 EUR. Verifier le lien source avant contact.</t>
        </is>
      </c>
      <c r="BD37" t="inlineStr">
        <is>
          <t>Bonjour,
Je me permets de vous contacter au sujet de votre appel d'offres : GARDIENNAGE ET SURVEILLANCE DU CENTRE DE FORMATION DE GURCY-LE-CHATEL.
CHRUTH accompagne les structures publiques et privées sur les besoins de nettoyage, d'entretien des locaux et d'organisation de prestations de service.
Serait-il possible d'échanger rapidement afin de vérifier les modalités de réponse et les attentes de SDIS 77 de Seine-et-Marne ?
Cordialement,</t>
        </is>
      </c>
      <c r="BE37" t="inlineStr">
        <is>
          <t>Bonjour, je vous appelle concernant un appel d'offres publié par SDIS 77 de Seine-et-Marne. Je souhaite vérifier les informations pratiques : périmètre des prestations, date limite, modalités de visite, contact technique et pièces attendues. Pouvez-vous m'indiquer la bonne personne à contacter ?</t>
        </is>
      </c>
      <c r="BF37" t="inlineStr"/>
      <c r="BG37" t="inlineStr"/>
      <c r="BH37" t="inlineStr"/>
      <c r="BI37" t="inlineStr"/>
      <c r="BJ37" t="inlineStr"/>
      <c r="BK37" t="inlineStr"/>
      <c r="BL37" t="inlineStr"/>
      <c r="BM37" t="inlineStr">
        <is>
          <t>2026-W29</t>
        </is>
      </c>
    </row>
    <row r="38">
      <c r="A38" t="inlineStr">
        <is>
          <t>BOAMP</t>
        </is>
      </c>
      <c r="B38" t="inlineStr">
        <is>
          <t>26-70374</t>
        </is>
      </c>
      <c r="C38" t="inlineStr">
        <is>
          <t>Mise en propreté des abords du site principal du Centre National d’Art et de Culture Georges Pompidou et des bâtiments annexes (CNAC-GP) (2 lots) - Vague 2 : lot 2 (26-CP04-044-AC)</t>
        </is>
      </c>
      <c r="D38" t="inlineStr">
        <is>
          <t>CENTRE POMPIDOU</t>
        </is>
      </c>
      <c r="E38" t="inlineStr">
        <is>
          <t>18004602100028</t>
        </is>
      </c>
      <c r="F38" t="inlineStr">
        <is>
          <t>180046021</t>
        </is>
      </c>
      <c r="G38" t="inlineStr"/>
      <c r="H38" t="inlineStr"/>
      <c r="I38" t="inlineStr">
        <is>
          <t>achat@centrepompidou.fr</t>
        </is>
      </c>
      <c r="J38" t="inlineStr">
        <is>
          <t>0460210002</t>
        </is>
      </c>
      <c r="K38" t="inlineStr"/>
      <c r="L38" t="inlineStr"/>
      <c r="M38" t="inlineStr"/>
      <c r="N38" t="inlineStr">
        <is>
          <t>75</t>
        </is>
      </c>
      <c r="O38" t="inlineStr"/>
      <c r="P38" t="inlineStr">
        <is>
          <t>Ile-de-France</t>
        </is>
      </c>
      <c r="Q38" s="14" t="n">
        <v>46220</v>
      </c>
      <c r="R38" s="14" t="n">
        <v>46223</v>
      </c>
      <c r="S38" s="15" t="n">
        <v>600000</v>
      </c>
      <c r="T38" t="inlineStr">
        <is>
          <t>BUDGET_EXPLICITE_OK</t>
        </is>
      </c>
      <c r="U38" t="inlineStr">
        <is>
          <t>600000.0</t>
        </is>
      </c>
      <c r="V38" t="inlineStr">
        <is>
          <t>non</t>
        </is>
      </c>
      <c r="W38" t="inlineStr">
        <is>
          <t>Batiments</t>
        </is>
      </c>
      <c r="X38" t="inlineStr">
        <is>
          <t>Autre</t>
        </is>
      </c>
      <c r="Y38" t="inlineStr">
        <is>
          <t>SERVICES</t>
        </is>
      </c>
      <c r="Z38" t="inlineStr">
        <is>
          <t>Procédure Ouverte</t>
        </is>
      </c>
      <c r="AA38" t="inlineStr">
        <is>
          <t>Avis de marché</t>
        </is>
      </c>
      <c r="AB38" t="inlineStr">
        <is>
          <t>Nettoyage de locaux</t>
        </is>
      </c>
      <c r="AC38" t="inlineStr">
        <is>
          <t>['environnementaux']</t>
        </is>
      </c>
      <c r="AD38" s="10" t="inlineStr">
        <is>
          <t>https://www.boamp.fr/pages/avis/?q=idweb:26-70374</t>
        </is>
      </c>
      <c r="AE38" t="inlineStr">
        <is>
          <t>https://www.marches-publics.gouv.fr/</t>
        </is>
      </c>
      <c r="AF38" t="inlineStr">
        <is>
          <t>https://www.marches-publics.gouv.fr/</t>
        </is>
      </c>
      <c r="AG38" t="inlineStr">
        <is>
          <t>nettoyage, proprete</t>
        </is>
      </c>
      <c r="AH38" t="inlineStr">
        <is>
          <t>3</t>
        </is>
      </c>
      <c r="AI38" t="inlineStr">
        <is>
          <t>76</t>
        </is>
      </c>
      <c r="AJ38" t="inlineStr">
        <is>
          <t>INFO_PARTIELLE</t>
        </is>
      </c>
      <c r="AK38" t="inlineStr">
        <is>
          <t>0</t>
        </is>
      </c>
      <c r="AL38" s="16" t="inlineStr">
        <is>
          <t>FROID</t>
        </is>
      </c>
      <c r="AM38" t="inlineStr"/>
      <c r="AN38" t="inlineStr"/>
      <c r="AO38" t="inlineStr"/>
      <c r="AP38" t="inlineStr"/>
      <c r="AQ38" t="inlineStr">
        <is>
          <t>IA_CONTACT_A_COMPLETER</t>
        </is>
      </c>
      <c r="AR38" t="inlineStr">
        <is>
          <t>Completer les champs manquants depuis l'avis source, le site acheteur ou le DCE.</t>
        </is>
      </c>
      <c r="AS38" t="inlineStr">
        <is>
          <t>adresse, ville</t>
        </is>
      </c>
      <c r="AT3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26-70374. Objet: Mise en propreté des abords du site principal du Centre National d’Art et de Culture Georges Pompidou et des bâtiments annexes (CNAC-GP) (2 lots) - Vague 2 : lot 2 (26-CP04-044-AC). Acheteur: CENTRE POMPIDOU. Lien: https://www.boamp.fr/pages/avis/?q=idweb:26-70374.</t>
        </is>
      </c>
      <c r="AU38" t="inlineStr">
        <is>
          <t>Verifier url_avis et DCE si disponible</t>
        </is>
      </c>
      <c r="AV38" t="inlineStr"/>
      <c r="AW38" t="inlineStr"/>
      <c r="AX38" t="inlineStr"/>
      <c r="AY38" t="inlineStr"/>
      <c r="AZ38" t="inlineStr"/>
      <c r="BA38" t="inlineStr"/>
      <c r="BB38" t="inlineStr">
        <is>
          <t>+35 nettoyage + categorie claire | -20 gros budget (&gt; 500 000 EUR) | +15 procedure adaptee / MAPA / allotissement | -30 AO expire</t>
        </is>
      </c>
      <c r="BC38" t="inlineStr">
        <is>
          <t>CENTRE POMPIDOU publie un AO potentiellement pertinent pour CHRUTH : Mise en propreté des abords du site principal du Centre National d’Art et de Culture Georges Pompidou et des bâtiments annexes (CNAC-GP) (2 lots) - Vague 2 : lot 2 (26-CP04-044-AC). Zone : 75. Budget detecte environ 600 000 EUR. Verifier le lien source avant contact.</t>
        </is>
      </c>
      <c r="BD38" t="inlineStr">
        <is>
          <t>Bonjour,
Je me permets de vous contacter au sujet de votre appel d'offres : Mise en propreté des abords du site principal du Centre National d’Art et de Culture Georges Pompidou et des bâtiments annexes (CNAC-GP) (2 lots) - Vague 2 : lot 2 (26-CP04-044-AC).
CHRUTH accompagne les structures publiques et privées sur les besoins de nettoyage, d'entretien des locaux et d'organisation de prestations de service.
Serait-il possible d'échanger rapidement afin de vérifier les modalités de réponse et les attentes de CENTRE POMPIDOU ?
Cordialement,</t>
        </is>
      </c>
      <c r="BE38" t="inlineStr">
        <is>
          <t>Bonjour, je vous appelle concernant un appel d'offres publié par CENTRE POMPIDOU. Je souhaite vérifier les informations pratiques : périmètre des prestations, date limite, modalités de visite, contact technique et pièces attendues. Pouvez-vous m'indiquer la bonne personne à contacter ?</t>
        </is>
      </c>
      <c r="BF38" t="inlineStr"/>
      <c r="BG38" t="inlineStr"/>
      <c r="BH38" t="inlineStr"/>
      <c r="BI38" t="inlineStr"/>
      <c r="BJ38" t="inlineStr"/>
      <c r="BK38" t="inlineStr"/>
      <c r="BL38" t="inlineStr"/>
      <c r="BM38"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 xmlns:r="http://schemas.openxmlformats.org/officeDocument/2006/relationships" ref="AD22" r:id="rId21"/>
    <hyperlink xmlns:r="http://schemas.openxmlformats.org/officeDocument/2006/relationships" ref="AD23" r:id="rId22"/>
    <hyperlink xmlns:r="http://schemas.openxmlformats.org/officeDocument/2006/relationships" ref="AD24" r:id="rId23"/>
    <hyperlink xmlns:r="http://schemas.openxmlformats.org/officeDocument/2006/relationships" ref="AD25" r:id="rId24"/>
    <hyperlink xmlns:r="http://schemas.openxmlformats.org/officeDocument/2006/relationships" ref="AD26" r:id="rId25"/>
    <hyperlink xmlns:r="http://schemas.openxmlformats.org/officeDocument/2006/relationships" ref="AD27" r:id="rId26"/>
    <hyperlink xmlns:r="http://schemas.openxmlformats.org/officeDocument/2006/relationships" ref="AD28" r:id="rId27"/>
    <hyperlink xmlns:r="http://schemas.openxmlformats.org/officeDocument/2006/relationships" ref="AD29" r:id="rId28"/>
    <hyperlink xmlns:r="http://schemas.openxmlformats.org/officeDocument/2006/relationships" ref="AD30" r:id="rId29"/>
    <hyperlink xmlns:r="http://schemas.openxmlformats.org/officeDocument/2006/relationships" ref="AD31" r:id="rId30"/>
    <hyperlink xmlns:r="http://schemas.openxmlformats.org/officeDocument/2006/relationships" ref="AD32" r:id="rId31"/>
    <hyperlink xmlns:r="http://schemas.openxmlformats.org/officeDocument/2006/relationships" ref="AD33" r:id="rId32"/>
    <hyperlink xmlns:r="http://schemas.openxmlformats.org/officeDocument/2006/relationships" ref="AD34" r:id="rId33"/>
    <hyperlink xmlns:r="http://schemas.openxmlformats.org/officeDocument/2006/relationships" ref="AD35" r:id="rId34"/>
    <hyperlink xmlns:r="http://schemas.openxmlformats.org/officeDocument/2006/relationships" ref="AD36" r:id="rId35"/>
    <hyperlink xmlns:r="http://schemas.openxmlformats.org/officeDocument/2006/relationships" ref="AD37" r:id="rId36"/>
    <hyperlink xmlns:r="http://schemas.openxmlformats.org/officeDocument/2006/relationships" ref="AD38" r:id="rId37"/>
  </hyperlinks>
  <pageMargins left="0.75" right="0.75" top="1" bottom="1" header="0.5" footer="0.5"/>
  <tableParts count="1">
    <tablePart xmlns:r="http://schemas.openxmlformats.org/officeDocument/2006/relationships" r:id="rId38"/>
  </tableParts>
</worksheet>
</file>

<file path=xl/worksheets/sheet7.xml><?xml version="1.0" encoding="utf-8"?>
<worksheet xmlns="http://schemas.openxmlformats.org/spreadsheetml/2006/main">
  <sheetPr>
    <outlinePr summaryBelow="1" summaryRight="1"/>
    <pageSetUpPr/>
  </sheetPr>
  <dimension ref="A1:BM10"/>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32" customWidth="1" min="4" max="4"/>
    <col width="16" customWidth="1" min="5" max="5"/>
    <col width="16" customWidth="1" min="6" max="6"/>
    <col width="47" customWidth="1" min="7" max="7"/>
    <col width="16" customWidth="1" min="8" max="8"/>
    <col width="41" customWidth="1" min="9" max="9"/>
    <col width="15" customWidth="1" min="10" max="10"/>
    <col width="43" customWidth="1" min="11" max="11"/>
    <col width="13" customWidth="1" min="12" max="12"/>
    <col width="17" customWidth="1" min="13" max="13"/>
    <col width="22" customWidth="1" min="14" max="14"/>
    <col width="24" customWidth="1" min="15" max="15"/>
    <col width="15" customWidth="1" min="16" max="16"/>
    <col width="18" customWidth="1" min="17" max="17"/>
    <col width="13" customWidth="1" min="18" max="18"/>
    <col width="19" customWidth="1" min="19" max="19"/>
    <col width="19"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30"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4" t="n">
        <v>46227</v>
      </c>
      <c r="R2" s="14"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0"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26-74949</t>
        </is>
      </c>
      <c r="C3" t="inlineStr">
        <is>
          <t>Prestations D'Entretien Ménager Des Gymnases De La Ville De Roissy-En-Brie</t>
        </is>
      </c>
      <c r="D3" t="inlineStr">
        <is>
          <t>Mairie de Roissy-en-Brie</t>
        </is>
      </c>
      <c r="E3" t="inlineStr">
        <is>
          <t>21770390900010</t>
        </is>
      </c>
      <c r="F3" t="inlineStr">
        <is>
          <t>217703909</t>
        </is>
      </c>
      <c r="G3" t="inlineStr">
        <is>
          <t>Service Commande Publique</t>
        </is>
      </c>
      <c r="H3" t="inlineStr"/>
      <c r="I3" t="inlineStr"/>
      <c r="J3" t="inlineStr">
        <is>
          <t>0390900010</t>
        </is>
      </c>
      <c r="K3" t="inlineStr">
        <is>
          <t>77680 - ROISSY-EN-BRIE</t>
        </is>
      </c>
      <c r="L3" t="inlineStr">
        <is>
          <t>77680</t>
        </is>
      </c>
      <c r="M3" t="inlineStr">
        <is>
          <t>ROISSY EN BRIE</t>
        </is>
      </c>
      <c r="N3" t="inlineStr">
        <is>
          <t>77</t>
        </is>
      </c>
      <c r="O3" t="inlineStr"/>
      <c r="P3" t="inlineStr">
        <is>
          <t>Ile-de-France</t>
        </is>
      </c>
      <c r="Q3" s="14" t="n">
        <v>46230</v>
      </c>
      <c r="R3" s="14" t="n">
        <v>46262</v>
      </c>
      <c r="S3" s="15" t="n">
        <v>77680</v>
      </c>
      <c r="T3" t="inlineStr">
        <is>
          <t>BUDGET_SOUS_SEUIL</t>
        </is>
      </c>
      <c r="U3" t="inlineStr">
        <is>
          <t>77680.0</t>
        </is>
      </c>
      <c r="V3" t="inlineStr">
        <is>
          <t>non</t>
        </is>
      </c>
      <c r="W3" t="inlineStr">
        <is>
          <t>Batiments</t>
        </is>
      </c>
      <c r="X3" t="inlineStr">
        <is>
          <t>Mairie</t>
        </is>
      </c>
      <c r="Y3" t="inlineStr">
        <is>
          <t>SERVICES</t>
        </is>
      </c>
      <c r="Z3" t="inlineStr">
        <is>
          <t>Procédure Ouverte</t>
        </is>
      </c>
      <c r="AA3" t="inlineStr">
        <is>
          <t>Avis de marché</t>
        </is>
      </c>
      <c r="AB3" t="inlineStr">
        <is>
          <t>Nettoyage de locaux</t>
        </is>
      </c>
      <c r="AC3" t="inlineStr"/>
      <c r="AD3" s="10" t="inlineStr">
        <is>
          <t>https://www.boamp.fr/pages/avis/?q=idweb:26-74949</t>
        </is>
      </c>
      <c r="AE3" t="inlineStr">
        <is>
          <t>https://www.marches-publics.info/mpiaws/index.cfm?fuseaction=dematent.login&amp;type=Dce&amp;Idm=1855543</t>
        </is>
      </c>
      <c r="AF3" t="inlineStr">
        <is>
          <t>https://www.marches-publics.info/mpiaws/index.cfm?fuseaction=dematent.login&amp;type=Dce&amp;Idm=1855543</t>
        </is>
      </c>
      <c r="AG3" t="inlineStr">
        <is>
          <t>nettoyage, entretien menager</t>
        </is>
      </c>
      <c r="AH3" t="inlineStr">
        <is>
          <t>5</t>
        </is>
      </c>
      <c r="AI3" t="inlineStr">
        <is>
          <t>92</t>
        </is>
      </c>
      <c r="AJ3" t="inlineStr">
        <is>
          <t>INFO_PARTIELLE</t>
        </is>
      </c>
      <c r="AK3" t="inlineStr">
        <is>
          <t>75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email</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3" t="inlineStr">
        <is>
          <t>Verifier url_avis et DCE si disponible</t>
        </is>
      </c>
      <c r="AV3" t="inlineStr">
        <is>
          <t>LIEN_SEUL</t>
        </is>
      </c>
      <c r="AW3" t="inlineStr"/>
      <c r="AX3" t="inlineStr"/>
      <c r="AY3" t="inlineStr"/>
      <c r="AZ3" t="inlineStr"/>
      <c r="BA3" t="inlineStr"/>
      <c r="BB3" t="inlineStr">
        <is>
          <t>+35 nettoyage + categorie claire | +20 budget annualise &lt;= 100 000 EUR | +10 secteur cible Mairie | +10 delai confortable 31j</t>
        </is>
      </c>
      <c r="BC3" t="inlineStr">
        <is>
          <t>Mairie de Roissy-en-Brie publie un AO potentiellement pertinent pour CHRUTH : Prestations D'Entretien Ménager Des Gymnases De La Ville De Roissy-En-Brie. Zone : ROISSY EN BRIE. Budget detecte environ 77 680 EUR. Verifier le lien source avant contact.</t>
        </is>
      </c>
      <c r="BD3"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3"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2026-W31</t>
        </is>
      </c>
    </row>
    <row r="4">
      <c r="A4" t="inlineStr">
        <is>
          <t>BOAMP</t>
        </is>
      </c>
      <c r="B4" t="inlineStr">
        <is>
          <t>26-74013</t>
        </is>
      </c>
      <c r="C4" t="inlineStr">
        <is>
          <t>Prestations de nettoyage des locaux de l'École nationale supérieure d’architecture de Paris-La Villette</t>
        </is>
      </c>
      <c r="D4" t="inlineStr">
        <is>
          <t>ENSA Paris-La Villette</t>
        </is>
      </c>
      <c r="E4" t="inlineStr">
        <is>
          <t>19751875600014</t>
        </is>
      </c>
      <c r="F4" t="inlineStr">
        <is>
          <t>197518756</t>
        </is>
      </c>
      <c r="G4" t="inlineStr">
        <is>
          <t>ACHOUR</t>
        </is>
      </c>
      <c r="H4" t="inlineStr"/>
      <c r="I4" t="inlineStr">
        <is>
          <t>safae.achour@paris-lavillette.archi.fr</t>
        </is>
      </c>
      <c r="J4" t="inlineStr">
        <is>
          <t>07-23 2026-09</t>
        </is>
      </c>
      <c r="K4" t="inlineStr">
        <is>
          <t>75019</t>
        </is>
      </c>
      <c r="L4" t="inlineStr">
        <is>
          <t>75019</t>
        </is>
      </c>
      <c r="M4" t="inlineStr">
        <is>
          <t>Paris</t>
        </is>
      </c>
      <c r="N4" t="inlineStr">
        <is>
          <t>75,92,93,91,95,77,94</t>
        </is>
      </c>
      <c r="O4" t="inlineStr"/>
      <c r="P4" t="inlineStr">
        <is>
          <t>Ile-de-France</t>
        </is>
      </c>
      <c r="Q4" s="14" t="n">
        <v>46226</v>
      </c>
      <c r="R4" s="14" t="n">
        <v>46293</v>
      </c>
      <c r="S4" s="15" t="n">
        <v>75019</v>
      </c>
      <c r="T4" t="inlineStr">
        <is>
          <t>BUDGET_SOUS_SEUIL</t>
        </is>
      </c>
      <c r="U4" t="inlineStr">
        <is>
          <t>75019.0</t>
        </is>
      </c>
      <c r="V4" t="inlineStr">
        <is>
          <t>non</t>
        </is>
      </c>
      <c r="W4" t="inlineStr">
        <is>
          <t>Batiments</t>
        </is>
      </c>
      <c r="X4" t="inlineStr">
        <is>
          <t>Ecole</t>
        </is>
      </c>
      <c r="Y4" t="inlineStr">
        <is>
          <t>SERVICES</t>
        </is>
      </c>
      <c r="Z4" t="inlineStr">
        <is>
          <t>Procédure Ouverte</t>
        </is>
      </c>
      <c r="AA4" t="inlineStr">
        <is>
          <t>Avis de marché</t>
        </is>
      </c>
      <c r="AB4" t="inlineStr">
        <is>
          <t>Nettoyage de locaux</t>
        </is>
      </c>
      <c r="AC4" t="inlineStr"/>
      <c r="AD4" s="10" t="inlineStr">
        <is>
          <t>https://www.boamp.fr/pages/avis/?q=idweb:26-74013</t>
        </is>
      </c>
      <c r="AE4" t="inlineStr">
        <is>
          <t>https://www.marches-publics.gouv.fr/entreprise/consultation/3044724?orgAcronyme=f5j</t>
        </is>
      </c>
      <c r="AF4" t="inlineStr">
        <is>
          <t>https://www.marches-publics.gouv.fr/entreprise/consultation/3044724?orgAcronyme=f5j</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Ecole | +10 delai confortable 62j</t>
        </is>
      </c>
      <c r="BC4"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4"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4"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26-72283</t>
        </is>
      </c>
      <c r="C5" t="inlineStr">
        <is>
          <t>Prestation d'écrivains publics interprètes à Montreuil</t>
        </is>
      </c>
      <c r="D5" t="inlineStr">
        <is>
          <t>Mairie de Montreuil</t>
        </is>
      </c>
      <c r="E5" t="inlineStr">
        <is>
          <t>21930048000015</t>
        </is>
      </c>
      <c r="F5" t="inlineStr">
        <is>
          <t>219300480</t>
        </is>
      </c>
      <c r="G5" t="inlineStr">
        <is>
          <t>Service des achats et de la commande publique</t>
        </is>
      </c>
      <c r="H5" t="inlineStr"/>
      <c r="I5" t="inlineStr">
        <is>
          <t>sacop@montreuil.fr</t>
        </is>
      </c>
      <c r="J5" t="inlineStr">
        <is>
          <t>+33 331487060</t>
        </is>
      </c>
      <c r="K5" t="inlineStr">
        <is>
          <t>(93) Seine-Saint-Denis</t>
        </is>
      </c>
      <c r="L5" t="inlineStr">
        <is>
          <t>93100</t>
        </is>
      </c>
      <c r="M5" t="inlineStr">
        <is>
          <t>Montreuil</t>
        </is>
      </c>
      <c r="N5" t="inlineStr">
        <is>
          <t>93</t>
        </is>
      </c>
      <c r="O5" t="inlineStr"/>
      <c r="P5" t="inlineStr">
        <is>
          <t>Ile-de-France</t>
        </is>
      </c>
      <c r="Q5" s="14" t="n">
        <v>46223</v>
      </c>
      <c r="R5" s="14" t="n">
        <v>46276</v>
      </c>
      <c r="S5" s="15" t="n">
        <v>93100</v>
      </c>
      <c r="T5" t="inlineStr">
        <is>
          <t>BUDGET_SOUS_SEUIL</t>
        </is>
      </c>
      <c r="U5" t="inlineStr">
        <is>
          <t>93100.0</t>
        </is>
      </c>
      <c r="V5" t="inlineStr">
        <is>
          <t>non</t>
        </is>
      </c>
      <c r="W5" t="inlineStr">
        <is>
          <t>Batiments</t>
        </is>
      </c>
      <c r="X5" t="inlineStr">
        <is>
          <t>Mairie</t>
        </is>
      </c>
      <c r="Y5" t="inlineStr">
        <is>
          <t>SERVICES</t>
        </is>
      </c>
      <c r="Z5" t="inlineStr">
        <is>
          <t>Procédure Ouverte</t>
        </is>
      </c>
      <c r="AA5" t="inlineStr">
        <is>
          <t>Avis de marché</t>
        </is>
      </c>
      <c r="AB5" t="inlineStr">
        <is>
          <t>Nettoyage de locaux</t>
        </is>
      </c>
      <c r="AC5" t="inlineStr"/>
      <c r="AD5" s="10" t="inlineStr">
        <is>
          <t>https://www.boamp.fr/pages/avis/?q=idweb:26-72283</t>
        </is>
      </c>
      <c r="AE5" t="inlineStr">
        <is>
          <t>https://marches.maximilien.fr/entreprise/consultation/943753?orgAcronyme=d6a</t>
        </is>
      </c>
      <c r="AF5" t="inlineStr">
        <is>
          <t>https://marches.maximilien.fr/entreprise/consultation/943753?orgAcronyme=d6a</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45j</t>
        </is>
      </c>
      <c r="BC5" t="inlineStr">
        <is>
          <t>Mairie de Montreuil publie un AO potentiellement pertinent pour CHRUTH : Prestation d'écrivains publics interprètes à Montreuil. Zone : Montreuil. Budget detecte environ 93 100 EUR. Verifier le lien source avant contact.</t>
        </is>
      </c>
      <c r="BD5"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5"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2026-W30</t>
        </is>
      </c>
    </row>
    <row r="6">
      <c r="A6" t="inlineStr">
        <is>
          <t>BOAMP</t>
        </is>
      </c>
      <c r="B6" t="inlineStr">
        <is>
          <t>26-70858</t>
        </is>
      </c>
      <c r="C6" t="inlineStr">
        <is>
          <t>Nettoyage des locaux de l'EPAMSA</t>
        </is>
      </c>
      <c r="D6" t="inlineStr">
        <is>
          <t>EPAMSA</t>
        </is>
      </c>
      <c r="E6" t="inlineStr">
        <is>
          <t>41063810000033</t>
        </is>
      </c>
      <c r="F6" t="inlineStr">
        <is>
          <t>410638100</t>
        </is>
      </c>
      <c r="G6" t="inlineStr">
        <is>
          <t>Courteille</t>
        </is>
      </c>
      <c r="H6" t="inlineStr"/>
      <c r="I6" t="inlineStr">
        <is>
          <t>t.courteille@epamsa.fr</t>
        </is>
      </c>
      <c r="J6" t="inlineStr">
        <is>
          <t>0638100000</t>
        </is>
      </c>
      <c r="K6" t="inlineStr">
        <is>
          <t>Mantes-la-Jolie</t>
        </is>
      </c>
      <c r="L6" t="inlineStr">
        <is>
          <t>78200</t>
        </is>
      </c>
      <c r="M6" t="inlineStr">
        <is>
          <t>MANTES-LA-JOLIE</t>
        </is>
      </c>
      <c r="N6" t="inlineStr">
        <is>
          <t>78</t>
        </is>
      </c>
      <c r="O6" t="inlineStr"/>
      <c r="P6" t="inlineStr">
        <is>
          <t>Ile-de-France</t>
        </is>
      </c>
      <c r="Q6" s="14" t="n">
        <v>46219</v>
      </c>
      <c r="R6" s="14" t="n">
        <v>46269</v>
      </c>
      <c r="S6" s="15" t="n">
        <v>78200</v>
      </c>
      <c r="T6" t="inlineStr">
        <is>
          <t>BUDGET_SOUS_SEUIL</t>
        </is>
      </c>
      <c r="U6" t="inlineStr">
        <is>
          <t>19550</t>
        </is>
      </c>
      <c r="V6" t="inlineStr">
        <is>
          <t>oui</t>
        </is>
      </c>
      <c r="W6" t="inlineStr">
        <is>
          <t>Batiments</t>
        </is>
      </c>
      <c r="X6" t="inlineStr">
        <is>
          <t>Autre</t>
        </is>
      </c>
      <c r="Y6" t="inlineStr">
        <is>
          <t>SERVICES</t>
        </is>
      </c>
      <c r="Z6" t="inlineStr">
        <is>
          <t>Procédure Ouverte</t>
        </is>
      </c>
      <c r="AA6" t="inlineStr">
        <is>
          <t>Avis de marché</t>
        </is>
      </c>
      <c r="AB6" t="inlineStr">
        <is>
          <t>Nettoyage de locaux</t>
        </is>
      </c>
      <c r="AC6" t="inlineStr">
        <is>
          <t>['sociaux', 'environnementaux']</t>
        </is>
      </c>
      <c r="AD6" s="10" t="inlineStr">
        <is>
          <t>https://www.boamp.fr/pages/avis/?q=idweb:26-70858</t>
        </is>
      </c>
      <c r="AE6" t="inlineStr">
        <is>
          <t>https://www.marches-publics.gouv.fr/entreprise/consultation/3039334?orgAcronyme=d4t</t>
        </is>
      </c>
      <c r="AF6" t="inlineStr">
        <is>
          <t>https://www.marches-publics.gouv.fr/entreprise/consultation/3039334?orgAcronyme=d4t</t>
        </is>
      </c>
      <c r="AG6" t="inlineStr">
        <is>
          <t>nettoyage</t>
        </is>
      </c>
      <c r="AH6" t="inlineStr">
        <is>
          <t>6</t>
        </is>
      </c>
      <c r="AI6" t="inlineStr">
        <is>
          <t>98</t>
        </is>
      </c>
      <c r="AJ6" t="inlineStr">
        <is>
          <t>INFO_PARTIELLE</t>
        </is>
      </c>
      <c r="AK6" t="inlineStr">
        <is>
          <t>70</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6" t="inlineStr">
        <is>
          <t>Verifier url_avis et DCE si disponible</t>
        </is>
      </c>
      <c r="AV6" t="inlineStr"/>
      <c r="AW6" t="inlineStr"/>
      <c r="AX6" t="inlineStr"/>
      <c r="AY6" t="inlineStr"/>
      <c r="AZ6" t="inlineStr"/>
      <c r="BA6" t="inlineStr"/>
      <c r="BB6" t="inlineStr">
        <is>
          <t>+35 nettoyage + categorie claire | +25 budget annualise &lt;= 50 000 EUR | +10 delai confortable 38j</t>
        </is>
      </c>
      <c r="BC6" t="inlineStr">
        <is>
          <t>EPAMSA publie un AO potentiellement pertinent pour CHRUTH : Nettoyage des locaux de l'EPAMSA. Zone : MANTES-LA-JOLIE. Budget detecte environ 78 200 EUR. Verifier le lien source avant contact.</t>
        </is>
      </c>
      <c r="BD6"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6"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2026-W29</t>
        </is>
      </c>
    </row>
    <row r="7">
      <c r="A7" t="inlineStr">
        <is>
          <t>BOAMP</t>
        </is>
      </c>
      <c r="B7" t="inlineStr">
        <is>
          <t>26-70565</t>
        </is>
      </c>
      <c r="C7" t="inlineStr">
        <is>
          <t>TRAVAUX D'AMÉNAGEMENT INTÉRIEUR DU R+1 ET COMBLE DE LA FERME DURPÉ</t>
        </is>
      </c>
      <c r="D7" t="inlineStr">
        <is>
          <t>COMMUNE DE MAGNY LE HONGRE</t>
        </is>
      </c>
      <c r="E7" t="inlineStr">
        <is>
          <t>21770268700013</t>
        </is>
      </c>
      <c r="F7" t="inlineStr">
        <is>
          <t>217702687</t>
        </is>
      </c>
      <c r="G7" t="inlineStr">
        <is>
          <t>M. SOW LAMARANA</t>
        </is>
      </c>
      <c r="H7" t="inlineStr"/>
      <c r="I7" t="inlineStr">
        <is>
          <t>service-mp@magnylehongre.fr</t>
        </is>
      </c>
      <c r="J7" t="inlineStr">
        <is>
          <t>0268700013</t>
        </is>
      </c>
      <c r="K7" t="inlineStr">
        <is>
          <t>1 rue de l'Église - 77700 MAGNY LE HONGRE</t>
        </is>
      </c>
      <c r="L7" t="inlineStr">
        <is>
          <t>77700</t>
        </is>
      </c>
      <c r="M7" t="inlineStr">
        <is>
          <t>MAGNY LE HONGRE</t>
        </is>
      </c>
      <c r="N7" t="inlineStr">
        <is>
          <t>77,75,78,91</t>
        </is>
      </c>
      <c r="O7" t="inlineStr"/>
      <c r="P7" t="inlineStr">
        <is>
          <t>Ile-de-France</t>
        </is>
      </c>
      <c r="Q7" s="14" t="n">
        <v>46218</v>
      </c>
      <c r="R7" s="14" t="n">
        <v>46275</v>
      </c>
      <c r="S7" s="15" t="n">
        <v>77700</v>
      </c>
      <c r="T7" t="inlineStr">
        <is>
          <t>BUDGET_SOUS_SEUIL</t>
        </is>
      </c>
      <c r="U7" t="inlineStr">
        <is>
          <t>77700.0</t>
        </is>
      </c>
      <c r="V7" t="inlineStr">
        <is>
          <t>non</t>
        </is>
      </c>
      <c r="W7" t="inlineStr">
        <is>
          <t>Mixte/Autre</t>
        </is>
      </c>
      <c r="X7" t="inlineStr">
        <is>
          <t>Mairie</t>
        </is>
      </c>
      <c r="Y7" t="inlineStr">
        <is>
          <t>TRAVAUX</t>
        </is>
      </c>
      <c r="Z7" t="inlineStr">
        <is>
          <t>Procédure Ouverte</t>
        </is>
      </c>
      <c r="AA7" t="inlineStr">
        <is>
          <t>Avis de marché</t>
        </is>
      </c>
      <c r="AB7" t="inlineStr">
        <is>
          <t>Plomberie (travaux), Peinture (travaux), Electricité (travaux)</t>
        </is>
      </c>
      <c r="AC7" t="inlineStr">
        <is>
          <t>['environnementaux']</t>
        </is>
      </c>
      <c r="AD7" s="10" t="inlineStr">
        <is>
          <t>https://www.boamp.fr/pages/avis/?q=idweb:26-70565</t>
        </is>
      </c>
      <c r="AE7" t="inlineStr">
        <is>
          <t>https://marches.maximilien.fr/?page=Entreprise.EntrepriseAdvancedSearch&amp;AllCons&amp;id=942965&amp;orgAcronyme=a4d</t>
        </is>
      </c>
      <c r="AF7" t="inlineStr">
        <is>
          <t>https://marches.maximilien.fr/?page=Entreprise.EntrepriseAdvancedSearch&amp;AllCons&amp;id=942965&amp;orgAcronyme=a4d</t>
        </is>
      </c>
      <c r="AG7" t="inlineStr">
        <is>
          <t>nettoyage</t>
        </is>
      </c>
      <c r="AH7" t="inlineStr">
        <is>
          <t>6</t>
        </is>
      </c>
      <c r="AI7" t="inlineStr">
        <is>
          <t>98</t>
        </is>
      </c>
      <c r="AJ7" t="inlineStr">
        <is>
          <t>INFO_PARTIELLE</t>
        </is>
      </c>
      <c r="AK7" t="inlineStr">
        <is>
          <t>70</t>
        </is>
      </c>
      <c r="AL7" s="13" t="inlineStr">
        <is>
          <t>CHAUD</t>
        </is>
      </c>
      <c r="AM7" t="inlineStr"/>
      <c r="AN7" t="inlineStr"/>
      <c r="AO7" t="inlineStr"/>
      <c r="AP7" t="inlineStr"/>
      <c r="AQ7" t="inlineStr">
        <is>
          <t>IA_CONTROLE_SOURCE</t>
        </is>
      </c>
      <c r="AR7" t="inlineStr">
        <is>
          <t>Verifier rapidement la source avant contact.</t>
        </is>
      </c>
      <c r="AS7" t="inlineStr">
        <is>
          <t>Aucun champ critique manquant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7" t="inlineStr">
        <is>
          <t>Verifier url_avis et DCE si disponible</t>
        </is>
      </c>
      <c r="AV7" t="inlineStr"/>
      <c r="AW7" t="inlineStr"/>
      <c r="AX7" t="inlineStr"/>
      <c r="AY7" t="inlineStr"/>
      <c r="AZ7" t="inlineStr"/>
      <c r="BA7" t="inlineStr"/>
      <c r="BB7" t="inlineStr">
        <is>
          <t>+30 mots-cles nettoyage forts | +20 budget annualise &lt;= 100 000 EUR | +10 secteur cible Mairie | +10 delai confortable 44j</t>
        </is>
      </c>
      <c r="BC7" t="inlineStr">
        <is>
          <t>COMMUNE DE MAGNY LE HONGRE publie un AO potentiellement pertinent pour CHRUTH : TRAVAUX D'AMÉNAGEMENT INTÉRIEUR DU R+1 ET COMBLE DE LA FERME DURPÉ. Zone : MAGNY LE HONGRE. Budget detecte environ 77 700 EUR. Verifier le lien source avant contact.</t>
        </is>
      </c>
      <c r="BD7"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7"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2026-W29</t>
        </is>
      </c>
    </row>
    <row r="8">
      <c r="A8" t="inlineStr">
        <is>
          <t>BOAMP</t>
        </is>
      </c>
      <c r="B8" t="inlineStr">
        <is>
          <t>26-72708</t>
        </is>
      </c>
      <c r="C8" t="inlineStr">
        <is>
          <t>Entretien ménager des locaux des sites mégalithiques de Carnac et Locmariaquer</t>
        </is>
      </c>
      <c r="D8" t="inlineStr">
        <is>
          <t>Centre Monuments Nationaux</t>
        </is>
      </c>
      <c r="E8" t="inlineStr">
        <is>
          <t>18004601300017</t>
        </is>
      </c>
      <c r="F8" t="inlineStr">
        <is>
          <t>180046013</t>
        </is>
      </c>
      <c r="G8" t="inlineStr"/>
      <c r="H8" t="inlineStr"/>
      <c r="I8" t="inlineStr">
        <is>
          <t>marches-publics@monuments-nationaux.fr</t>
        </is>
      </c>
      <c r="J8" t="inlineStr">
        <is>
          <t>0460130001</t>
        </is>
      </c>
      <c r="K8" t="inlineStr"/>
      <c r="L8" t="inlineStr"/>
      <c r="M8" t="inlineStr"/>
      <c r="N8" t="inlineStr">
        <is>
          <t>75,56</t>
        </is>
      </c>
      <c r="O8" t="inlineStr"/>
      <c r="P8" t="inlineStr">
        <is>
          <t>Ile-de-France</t>
        </is>
      </c>
      <c r="Q8" s="14" t="n">
        <v>46226</v>
      </c>
      <c r="R8" s="14" t="n">
        <v>46276</v>
      </c>
      <c r="S8" s="15" t="n">
        <v>60000</v>
      </c>
      <c r="T8" t="inlineStr">
        <is>
          <t>BUDGET_SOUS_SEUIL</t>
        </is>
      </c>
      <c r="U8" t="inlineStr">
        <is>
          <t>60000.0</t>
        </is>
      </c>
      <c r="V8" t="inlineStr">
        <is>
          <t>non</t>
        </is>
      </c>
      <c r="W8" t="inlineStr">
        <is>
          <t>Batiments</t>
        </is>
      </c>
      <c r="X8" t="inlineStr">
        <is>
          <t>Autre</t>
        </is>
      </c>
      <c r="Y8" t="inlineStr">
        <is>
          <t>SERVICES</t>
        </is>
      </c>
      <c r="Z8" t="inlineStr">
        <is>
          <t>Procédure Ouverte</t>
        </is>
      </c>
      <c r="AA8" t="inlineStr">
        <is>
          <t>Avis de marché</t>
        </is>
      </c>
      <c r="AB8" t="inlineStr">
        <is>
          <t>Nettoyage de locaux, Monuments historiques</t>
        </is>
      </c>
      <c r="AC8" t="inlineStr"/>
      <c r="AD8" s="10" t="inlineStr">
        <is>
          <t>https://www.boamp.fr/pages/avis/?q=idweb:26-72708</t>
        </is>
      </c>
      <c r="AE8" t="inlineStr">
        <is>
          <t>https://www.marches-publics.gouv.fr/entreprise</t>
        </is>
      </c>
      <c r="AF8" t="inlineStr">
        <is>
          <t>https://www.marches-publics.gouv.fr/entreprise</t>
        </is>
      </c>
      <c r="AG8" t="inlineStr">
        <is>
          <t>nettoyage, entretien menager</t>
        </is>
      </c>
      <c r="AH8" t="inlineStr">
        <is>
          <t>3</t>
        </is>
      </c>
      <c r="AI8" t="inlineStr">
        <is>
          <t>72</t>
        </is>
      </c>
      <c r="AJ8" t="inlineStr">
        <is>
          <t>INFO_PARTIELLE</t>
        </is>
      </c>
      <c r="AK8" t="inlineStr">
        <is>
          <t>65</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8" t="inlineStr">
        <is>
          <t>Verifier url_avis et DCE si disponible</t>
        </is>
      </c>
      <c r="AV8" t="inlineStr"/>
      <c r="AW8" t="inlineStr"/>
      <c r="AX8" t="inlineStr"/>
      <c r="AY8" t="inlineStr"/>
      <c r="AZ8" t="inlineStr"/>
      <c r="BA8" t="inlineStr"/>
      <c r="BB8" t="inlineStr">
        <is>
          <t>+35 nettoyage + categorie claire | +20 budget annualise &lt;= 100 000 EUR | +10 delai confortable 45j</t>
        </is>
      </c>
      <c r="BC8" t="inlineStr">
        <is>
          <t>Centre Monuments Nationaux publie un AO potentiellement pertinent pour CHRUTH : Entretien ménager des locaux des sites mégalithiques de Carnac et Locmariaquer. Zone : 75,56. Budget detecte environ 60 000 EUR. Verifier le lien source avant contact.</t>
        </is>
      </c>
      <c r="BD8"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8"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26-71675</t>
        </is>
      </c>
      <c r="C9" t="inlineStr">
        <is>
          <t>Décontamination, dépoussiérage et reconditionnement des réserves documentaires n°2 et 3 du Château de Sceaux</t>
        </is>
      </c>
      <c r="D9" t="inlineStr">
        <is>
          <t>Département des Hauts-de-Seine</t>
        </is>
      </c>
      <c r="E9" t="inlineStr">
        <is>
          <t>22920050600611</t>
        </is>
      </c>
      <c r="F9" t="inlineStr">
        <is>
          <t>229200506</t>
        </is>
      </c>
      <c r="G9" t="inlineStr">
        <is>
          <t>cellulecontact.achats@hauts-de-seine.fr</t>
        </is>
      </c>
      <c r="H9" t="inlineStr"/>
      <c r="I9" t="inlineStr">
        <is>
          <t>cellulecontact.achats@hauts-de-seine.fr</t>
        </is>
      </c>
      <c r="J9" t="inlineStr">
        <is>
          <t>+33 806000092</t>
        </is>
      </c>
      <c r="K9" t="inlineStr">
        <is>
          <t>Château de Sceaux 92330 - SCEAUX</t>
        </is>
      </c>
      <c r="L9" t="inlineStr">
        <is>
          <t>92000</t>
        </is>
      </c>
      <c r="M9" t="inlineStr">
        <is>
          <t>NANTERRE</t>
        </is>
      </c>
      <c r="N9" t="inlineStr">
        <is>
          <t>92</t>
        </is>
      </c>
      <c r="O9" t="inlineStr"/>
      <c r="P9" t="inlineStr">
        <is>
          <t>Ile-de-France</t>
        </is>
      </c>
      <c r="Q9" s="14" t="n">
        <v>46220</v>
      </c>
      <c r="R9" s="14" t="n">
        <v>46276</v>
      </c>
      <c r="S9" s="15" t="n">
        <v>92000</v>
      </c>
      <c r="T9" t="inlineStr">
        <is>
          <t>BUDGET_SOUS_SEUIL</t>
        </is>
      </c>
      <c r="U9" t="inlineStr">
        <is>
          <t>92000.0</t>
        </is>
      </c>
      <c r="V9" t="inlineStr">
        <is>
          <t>non</t>
        </is>
      </c>
      <c r="W9" t="inlineStr">
        <is>
          <t>Batiments</t>
        </is>
      </c>
      <c r="X9" t="inlineStr">
        <is>
          <t>Autre</t>
        </is>
      </c>
      <c r="Y9" t="inlineStr">
        <is>
          <t>SERVICES</t>
        </is>
      </c>
      <c r="Z9" t="inlineStr">
        <is>
          <t>Procédure Ouverte</t>
        </is>
      </c>
      <c r="AA9" t="inlineStr">
        <is>
          <t>Avis de marché</t>
        </is>
      </c>
      <c r="AB9" t="inlineStr">
        <is>
          <t>Prestations de services</t>
        </is>
      </c>
      <c r="AC9" t="inlineStr">
        <is>
          <t>['environnementaux']</t>
        </is>
      </c>
      <c r="AD9" s="10" t="inlineStr">
        <is>
          <t>https://www.boamp.fr/pages/avis/?q=idweb:26-71675</t>
        </is>
      </c>
      <c r="AE9" t="inlineStr">
        <is>
          <t>https://www.marches-publics.info/mpiaws/index.cfm?fuseaction=dematent.login&amp;type=Dce&amp;Idm=1851815</t>
        </is>
      </c>
      <c r="AF9" t="inlineStr">
        <is>
          <t>https://www.marches-publics.info/mpiaws/index.cfm?fuseaction=dematent.login&amp;type=Dce&amp;Idm=1851815</t>
        </is>
      </c>
      <c r="AG9" t="inlineStr">
        <is>
          <t>nettoyage</t>
        </is>
      </c>
      <c r="AH9" t="inlineStr">
        <is>
          <t>6</t>
        </is>
      </c>
      <c r="AI9" t="inlineStr">
        <is>
          <t>98</t>
        </is>
      </c>
      <c r="AJ9" t="inlineStr">
        <is>
          <t>INFO_PARTIELLE</t>
        </is>
      </c>
      <c r="AK9" t="inlineStr">
        <is>
          <t>65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9" t="inlineStr">
        <is>
          <t>Verifier url_avis et DCE si disponible</t>
        </is>
      </c>
      <c r="AV9" t="inlineStr"/>
      <c r="AW9" t="inlineStr"/>
      <c r="AX9" t="inlineStr"/>
      <c r="AY9" t="inlineStr"/>
      <c r="AZ9" t="inlineStr"/>
      <c r="BA9" t="inlineStr"/>
      <c r="BB9" t="inlineStr">
        <is>
          <t>+35 nettoyage + categorie claire | +20 budget annualise &lt;= 100 000 EUR | +10 delai confortable 45j</t>
        </is>
      </c>
      <c r="BC9"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9"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9"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26-71198</t>
        </is>
      </c>
      <c r="C10" t="inlineStr">
        <is>
          <t>CONCESSION DE SERVICE PUBLIC 
PORTANT SUR LA GESTION ET L'EXPLOITATION DES MARCHES FORAINS DE LA VILLE DE MONTROUGE</t>
        </is>
      </c>
      <c r="D10" t="inlineStr">
        <is>
          <t>Ville de Montrouge</t>
        </is>
      </c>
      <c r="E10" t="inlineStr"/>
      <c r="F10" t="inlineStr"/>
      <c r="G10" t="inlineStr">
        <is>
          <t>Le Bassard</t>
        </is>
      </c>
      <c r="H10" t="inlineStr"/>
      <c r="I10" t="inlineStr">
        <is>
          <t>marches@ville-montrouge.fr</t>
        </is>
      </c>
      <c r="J10" t="inlineStr">
        <is>
          <t>0146127303</t>
        </is>
      </c>
      <c r="K10" t="inlineStr"/>
      <c r="L10" t="inlineStr">
        <is>
          <t>92121</t>
        </is>
      </c>
      <c r="M10" t="inlineStr">
        <is>
          <t>Montrouge cedex</t>
        </is>
      </c>
      <c r="N10" t="inlineStr">
        <is>
          <t>92,75</t>
        </is>
      </c>
      <c r="O10" t="inlineStr"/>
      <c r="P10" t="inlineStr">
        <is>
          <t>Ile-de-France</t>
        </is>
      </c>
      <c r="Q10" s="14" t="n">
        <v>46219</v>
      </c>
      <c r="R10" s="14" t="n">
        <v>46295</v>
      </c>
      <c r="S10" t="inlineStr"/>
      <c r="T10" t="inlineStr">
        <is>
          <t>A_VERIFIER_BUDGET</t>
        </is>
      </c>
      <c r="U10" t="inlineStr"/>
      <c r="V10" t="inlineStr">
        <is>
          <t>non</t>
        </is>
      </c>
      <c r="W10" t="inlineStr">
        <is>
          <t>Batiments</t>
        </is>
      </c>
      <c r="X10" t="inlineStr">
        <is>
          <t>Mairie</t>
        </is>
      </c>
      <c r="Y10" t="inlineStr">
        <is>
          <t>SERVICES</t>
        </is>
      </c>
      <c r="Z10" t="inlineStr">
        <is>
          <t>Procédure NC</t>
        </is>
      </c>
      <c r="AA10" t="inlineStr">
        <is>
          <t>Avis de marché</t>
        </is>
      </c>
      <c r="AB10" t="inlineStr">
        <is>
          <t>Denrées alimentaires</t>
        </is>
      </c>
      <c r="AC10" t="inlineStr">
        <is>
          <t>['sociaux', 'environnementaux']</t>
        </is>
      </c>
      <c r="AD10" s="10" t="inlineStr">
        <is>
          <t>https://www.boamp.fr/pages/avis/?q=idweb:26-71198</t>
        </is>
      </c>
      <c r="AE10" t="inlineStr">
        <is>
          <t>https://www.achatpublic.com/sdm/ent2/gen/index.jsp</t>
        </is>
      </c>
      <c r="AF10" t="inlineStr">
        <is>
          <t>https://www.achatpublic.com/sdm/ent2/gen/index.jsp</t>
        </is>
      </c>
      <c r="AG10" t="inlineStr">
        <is>
          <t>nettoyage, proprete</t>
        </is>
      </c>
      <c r="AH10" t="inlineStr">
        <is>
          <t>4</t>
        </is>
      </c>
      <c r="AI10" t="inlineStr">
        <is>
          <t>86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SIRET, adresse,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64j</t>
        </is>
      </c>
      <c r="BC10"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10"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10"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s>
  <pageMargins left="0.75" right="0.75" top="1" bottom="1" header="0.5" footer="0.5"/>
  <tableParts count="1">
    <tablePart xmlns:r="http://schemas.openxmlformats.org/officeDocument/2006/relationships" r:id="rId10"/>
  </tableParts>
</worksheet>
</file>

<file path=xl/worksheets/sheet8.xml><?xml version="1.0" encoding="utf-8"?>
<worksheet xmlns="http://schemas.openxmlformats.org/spreadsheetml/2006/main">
  <sheetPr>
    <outlinePr summaryBelow="1" summaryRight="1"/>
    <pageSetUpPr/>
  </sheetPr>
  <dimension ref="A1:BM13"/>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49" customWidth="1" min="4" max="4"/>
    <col width="16" customWidth="1" min="5" max="5"/>
    <col width="16" customWidth="1" min="6" max="6"/>
    <col width="13" customWidth="1" min="7" max="7"/>
    <col width="16" customWidth="1" min="8" max="8"/>
    <col width="37" customWidth="1" min="9" max="9"/>
    <col width="14" customWidth="1" min="10" max="10"/>
    <col width="10" customWidth="1" min="11" max="11"/>
    <col width="13" customWidth="1" min="12" max="12"/>
    <col width="17" customWidth="1" min="13" max="13"/>
    <col width="27" customWidth="1" min="14" max="14"/>
    <col width="24" customWidth="1" min="15" max="15"/>
    <col width="15" customWidth="1" min="16" max="16"/>
    <col width="18" customWidth="1" min="17" max="17"/>
    <col width="13" customWidth="1" min="18" max="18"/>
    <col width="19" customWidth="1" min="19" max="19"/>
    <col width="19" customWidth="1" min="20" max="20"/>
    <col width="19" customWidth="1" min="21" max="21"/>
    <col width="18" customWidth="1" min="22" max="22"/>
    <col width="13" customWidth="1" min="23" max="23"/>
    <col width="10" customWidth="1" min="24" max="24"/>
    <col width="13" customWidth="1" min="25" max="25"/>
    <col width="22" customWidth="1" min="26" max="26"/>
    <col width="16" customWidth="1" min="27" max="27"/>
    <col width="40" customWidth="1" min="28" max="28"/>
    <col width="33" customWidth="1" min="29" max="29"/>
    <col width="51" customWidth="1" min="30" max="30"/>
    <col width="55" customWidth="1" min="31" max="31"/>
    <col width="55" customWidth="1" min="32" max="32"/>
    <col width="25"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2"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4" t="n">
        <v>46227</v>
      </c>
      <c r="R2" s="14"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0"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26-71198</t>
        </is>
      </c>
      <c r="C3" t="inlineStr">
        <is>
          <t>CONCESSION DE SERVICE PUBLIC 
PORTANT SUR LA GESTION ET L'EXPLOITATION DES MARCHES FORAINS DE LA VILLE DE MONTROUGE</t>
        </is>
      </c>
      <c r="D3" t="inlineStr">
        <is>
          <t>Ville de Montrouge</t>
        </is>
      </c>
      <c r="E3" t="inlineStr"/>
      <c r="F3" t="inlineStr"/>
      <c r="G3" t="inlineStr">
        <is>
          <t>Le Bassard</t>
        </is>
      </c>
      <c r="H3" t="inlineStr"/>
      <c r="I3" t="inlineStr">
        <is>
          <t>marches@ville-montrouge.fr</t>
        </is>
      </c>
      <c r="J3" t="inlineStr">
        <is>
          <t>0146127303</t>
        </is>
      </c>
      <c r="K3" t="inlineStr"/>
      <c r="L3" t="inlineStr">
        <is>
          <t>92121</t>
        </is>
      </c>
      <c r="M3" t="inlineStr">
        <is>
          <t>Montrouge cedex</t>
        </is>
      </c>
      <c r="N3" t="inlineStr">
        <is>
          <t>92,75</t>
        </is>
      </c>
      <c r="O3" t="inlineStr"/>
      <c r="P3" t="inlineStr">
        <is>
          <t>Ile-de-France</t>
        </is>
      </c>
      <c r="Q3" s="14" t="n">
        <v>46219</v>
      </c>
      <c r="R3" s="14" t="n">
        <v>46295</v>
      </c>
      <c r="S3" t="inlineStr"/>
      <c r="T3" t="inlineStr">
        <is>
          <t>A_VERIFIER_BUDGET</t>
        </is>
      </c>
      <c r="U3" t="inlineStr"/>
      <c r="V3" t="inlineStr">
        <is>
          <t>non</t>
        </is>
      </c>
      <c r="W3" t="inlineStr">
        <is>
          <t>Batiments</t>
        </is>
      </c>
      <c r="X3" t="inlineStr">
        <is>
          <t>Mairie</t>
        </is>
      </c>
      <c r="Y3" t="inlineStr">
        <is>
          <t>SERVICES</t>
        </is>
      </c>
      <c r="Z3" t="inlineStr">
        <is>
          <t>Procédure NC</t>
        </is>
      </c>
      <c r="AA3" t="inlineStr">
        <is>
          <t>Avis de marché</t>
        </is>
      </c>
      <c r="AB3" t="inlineStr">
        <is>
          <t>Denrées alimentaires</t>
        </is>
      </c>
      <c r="AC3" t="inlineStr">
        <is>
          <t>['sociaux', 'environnementaux']</t>
        </is>
      </c>
      <c r="AD3" s="10" t="inlineStr">
        <is>
          <t>https://www.boamp.fr/pages/avis/?q=idweb:26-71198</t>
        </is>
      </c>
      <c r="AE3" t="inlineStr">
        <is>
          <t>https://www.achatpublic.com/sdm/ent2/gen/index.jsp</t>
        </is>
      </c>
      <c r="AF3" t="inlineStr">
        <is>
          <t>https://www.achatpublic.com/sdm/ent2/gen/index.jsp</t>
        </is>
      </c>
      <c r="AG3" t="inlineStr">
        <is>
          <t>nettoyage, proprete</t>
        </is>
      </c>
      <c r="AH3" t="inlineStr">
        <is>
          <t>4</t>
        </is>
      </c>
      <c r="AI3" t="inlineStr">
        <is>
          <t>86</t>
        </is>
      </c>
      <c r="AJ3" t="inlineStr">
        <is>
          <t>INFO_PARTIELLE</t>
        </is>
      </c>
      <c r="AK3" t="inlineStr">
        <is>
          <t>65</t>
        </is>
      </c>
      <c r="AL3" s="13" t="inlineStr">
        <is>
          <t>CHAUD</t>
        </is>
      </c>
      <c r="AM3" t="inlineStr"/>
      <c r="AN3" t="inlineStr"/>
      <c r="AO3" t="inlineStr"/>
      <c r="AP3" t="inlineStr"/>
      <c r="AQ3" t="inlineStr">
        <is>
          <t>IA_BUDGET_A_VERIFIER</t>
        </is>
      </c>
      <c r="AR3" t="inlineStr">
        <is>
          <t>Verifier le budget dans l'avis source ou le DCE avant decision commerciale.</t>
        </is>
      </c>
      <c r="AS3" t="inlineStr">
        <is>
          <t>SIRET, adresse, budget</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3" t="inlineStr">
        <is>
          <t>Verifier url_avis et DCE si disponible</t>
        </is>
      </c>
      <c r="AV3" t="inlineStr">
        <is>
          <t>LIEN_SEUL</t>
        </is>
      </c>
      <c r="AW3" t="inlineStr"/>
      <c r="AX3" t="inlineStr"/>
      <c r="AY3" t="inlineStr"/>
      <c r="AZ3" t="inlineStr"/>
      <c r="BA3" t="inlineStr"/>
      <c r="BB3" t="inlineStr">
        <is>
          <t>+35 nettoyage + categorie claire | +10 budget non affiche (a verifier) | +10 secteur cible Mairie | +10 delai confortable 64j</t>
        </is>
      </c>
      <c r="BC3"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3"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3"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2026-W29</t>
        </is>
      </c>
    </row>
    <row r="4">
      <c r="A4" t="inlineStr">
        <is>
          <t>BOAMP</t>
        </is>
      </c>
      <c r="B4" t="inlineStr">
        <is>
          <t>26-72948</t>
        </is>
      </c>
      <c r="C4" t="inlineStr">
        <is>
          <t>26MF026 - Fourniture d'appareils ménagers et d'équipements professionnels</t>
        </is>
      </c>
      <c r="D4" t="inlineStr">
        <is>
          <t>Ville de Plaisir</t>
        </is>
      </c>
      <c r="E4" t="inlineStr">
        <is>
          <t>21780490500016</t>
        </is>
      </c>
      <c r="F4" t="inlineStr">
        <is>
          <t>217804905</t>
        </is>
      </c>
      <c r="G4" t="inlineStr"/>
      <c r="H4" t="inlineStr"/>
      <c r="I4" t="inlineStr">
        <is>
          <t>vermuseau-ma@ville-plaisir.fr</t>
        </is>
      </c>
      <c r="J4" t="inlineStr">
        <is>
          <t>0490500016</t>
        </is>
      </c>
      <c r="K4" t="inlineStr"/>
      <c r="L4" t="inlineStr"/>
      <c r="M4" t="inlineStr"/>
      <c r="N4" t="inlineStr">
        <is>
          <t>78</t>
        </is>
      </c>
      <c r="O4" t="inlineStr"/>
      <c r="P4" t="inlineStr">
        <is>
          <t>Ile-de-France</t>
        </is>
      </c>
      <c r="Q4" s="14" t="n">
        <v>46226</v>
      </c>
      <c r="R4" s="14" t="n">
        <v>46261</v>
      </c>
      <c r="S4" t="inlineStr"/>
      <c r="T4" t="inlineStr">
        <is>
          <t>A_VERIFIER_BUDGET</t>
        </is>
      </c>
      <c r="U4" t="inlineStr"/>
      <c r="V4" t="inlineStr">
        <is>
          <t>non</t>
        </is>
      </c>
      <c r="W4" t="inlineStr">
        <is>
          <t>Mixte/Autre</t>
        </is>
      </c>
      <c r="X4" t="inlineStr">
        <is>
          <t>Mairie</t>
        </is>
      </c>
      <c r="Y4" t="inlineStr">
        <is>
          <t>FOURNITURES</t>
        </is>
      </c>
      <c r="Z4" t="inlineStr">
        <is>
          <t>Procédure Ouverte</t>
        </is>
      </c>
      <c r="AA4" t="inlineStr">
        <is>
          <t>Avis de marché</t>
        </is>
      </c>
      <c r="AB4" t="inlineStr">
        <is>
          <t>Electroménager</t>
        </is>
      </c>
      <c r="AC4" t="inlineStr"/>
      <c r="AD4" s="10" t="inlineStr">
        <is>
          <t>https://www.boamp.fr/pages/avis/?q=idweb:26-72948</t>
        </is>
      </c>
      <c r="AE4" t="inlineStr">
        <is>
          <t>https://ville-plaisir.e-marches-publics.com</t>
        </is>
      </c>
      <c r="AF4" t="inlineStr"/>
      <c r="AG4" t="inlineStr">
        <is>
          <t>nettoyage</t>
        </is>
      </c>
      <c r="AH4" t="inlineStr">
        <is>
          <t>3</t>
        </is>
      </c>
      <c r="AI4" t="inlineStr">
        <is>
          <t>68</t>
        </is>
      </c>
      <c r="AJ4" t="inlineStr">
        <is>
          <t>INFO_PARTIELLE</t>
        </is>
      </c>
      <c r="AK4" t="inlineStr">
        <is>
          <t>60</t>
        </is>
      </c>
      <c r="AL4" t="inlineStr">
        <is>
          <t>TIEDE</t>
        </is>
      </c>
      <c r="AM4" t="inlineStr"/>
      <c r="AN4" t="inlineStr"/>
      <c r="AO4" t="inlineStr"/>
      <c r="AP4" t="inlineStr"/>
      <c r="AQ4" t="inlineStr">
        <is>
          <t>IA_BUDGET_A_VERIFIER</t>
        </is>
      </c>
      <c r="AR4" t="inlineStr">
        <is>
          <t>Verifier le budget dans l'avis source ou le DCE avant decision commerciale.</t>
        </is>
      </c>
      <c r="AS4" t="inlineStr">
        <is>
          <t>adresse, ville, budget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4" t="inlineStr">
        <is>
          <t>Verifier url_avis et DCE si disponible</t>
        </is>
      </c>
      <c r="AV4" t="inlineStr">
        <is>
          <t>LIEN_SEUL</t>
        </is>
      </c>
      <c r="AW4" t="inlineStr"/>
      <c r="AX4" t="inlineStr"/>
      <c r="AY4" t="inlineStr"/>
      <c r="AZ4" t="inlineStr"/>
      <c r="BA4" t="inlineStr"/>
      <c r="BB4" t="inlineStr">
        <is>
          <t>+30 mots-cles nettoyage forts | +10 budget non affiche (a verifier) | +10 secteur cible Mairie | +10 delai confortable 30j</t>
        </is>
      </c>
      <c r="BC4" t="inlineStr">
        <is>
          <t>Ville de Plaisir publie un AO potentiellement pertinent pour CHRUTH : 26MF026 - Fourniture d'appareils ménagers et d'équipements professionnels. Zone : 78. Budget a verifier. Verifier le lien source avant contact.</t>
        </is>
      </c>
      <c r="BD4"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4"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26-71986</t>
        </is>
      </c>
      <c r="C5" t="inlineStr">
        <is>
          <t>Nettoyage des locaux communaux et des vitreries des bâtiments communaux</t>
        </is>
      </c>
      <c r="D5" t="inlineStr">
        <is>
          <t>Ville de Fontenay-aux-Roses</t>
        </is>
      </c>
      <c r="E5" t="inlineStr"/>
      <c r="F5" t="inlineStr"/>
      <c r="G5" t="inlineStr"/>
      <c r="H5" t="inlineStr"/>
      <c r="I5" t="inlineStr">
        <is>
          <t>publications-joue@aws-france.com</t>
        </is>
      </c>
      <c r="J5" t="inlineStr">
        <is>
          <t>+33480041260</t>
        </is>
      </c>
      <c r="K5" t="inlineStr"/>
      <c r="L5" t="inlineStr"/>
      <c r="M5" t="inlineStr"/>
      <c r="N5" t="inlineStr">
        <is>
          <t>92</t>
        </is>
      </c>
      <c r="O5" t="inlineStr"/>
      <c r="P5" t="inlineStr">
        <is>
          <t>Ile-de-France</t>
        </is>
      </c>
      <c r="Q5" s="14" t="n">
        <v>46224</v>
      </c>
      <c r="R5" s="14" t="n">
        <v>46240</v>
      </c>
      <c r="S5" t="inlineStr"/>
      <c r="T5" t="inlineStr">
        <is>
          <t>A_VERIFIER_BUDGET</t>
        </is>
      </c>
      <c r="U5" t="inlineStr"/>
      <c r="V5" t="inlineStr">
        <is>
          <t>non</t>
        </is>
      </c>
      <c r="W5" t="inlineStr">
        <is>
          <t>Vitres</t>
        </is>
      </c>
      <c r="X5" t="inlineStr">
        <is>
          <t>Mairie</t>
        </is>
      </c>
      <c r="Y5" t="inlineStr">
        <is>
          <t>SERVICES</t>
        </is>
      </c>
      <c r="Z5" t="inlineStr">
        <is>
          <t>Procédure Ouverte</t>
        </is>
      </c>
      <c r="AA5" t="inlineStr">
        <is>
          <t>Avis de marché</t>
        </is>
      </c>
      <c r="AB5" t="inlineStr">
        <is>
          <t>Nettoyage de locaux, Vitrerie</t>
        </is>
      </c>
      <c r="AC5" t="inlineStr">
        <is>
          <t>['environnementaux']</t>
        </is>
      </c>
      <c r="AD5" s="10" t="inlineStr">
        <is>
          <t>https://www.boamp.fr/pages/avis/?q=idweb:26-71986</t>
        </is>
      </c>
      <c r="AE5" t="inlineStr">
        <is>
          <t>https://www.marches-publics.info/accueil.htm</t>
        </is>
      </c>
      <c r="AF5" t="inlineStr">
        <is>
          <t>https://www.marches-publics.info/accueil.htm</t>
        </is>
      </c>
      <c r="AG5" t="inlineStr">
        <is>
          <t>nettoyage</t>
        </is>
      </c>
      <c r="AH5" t="inlineStr">
        <is>
          <t>2</t>
        </is>
      </c>
      <c r="AI5" t="inlineStr">
        <is>
          <t>58</t>
        </is>
      </c>
      <c r="AJ5" t="inlineStr">
        <is>
          <t>INFO_PARTIELLE</t>
        </is>
      </c>
      <c r="AK5" t="inlineStr">
        <is>
          <t>60</t>
        </is>
      </c>
      <c r="AL5" t="inlineStr">
        <is>
          <t>TIEDE</t>
        </is>
      </c>
      <c r="AM5" t="inlineStr"/>
      <c r="AN5" t="inlineStr"/>
      <c r="AO5" t="inlineStr"/>
      <c r="AP5" t="inlineStr"/>
      <c r="AQ5" t="inlineStr">
        <is>
          <t>IA_BUDGET_A_VERIFIER</t>
        </is>
      </c>
      <c r="AR5" t="inlineStr">
        <is>
          <t>Verifier le budget dans l'avis source ou le DCE avant decision commerciale.</t>
        </is>
      </c>
      <c r="AS5" t="inlineStr">
        <is>
          <t>SIRET, adresse, ville, budget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5" t="inlineStr">
        <is>
          <t>Verifier url_avis et DCE si disponible</t>
        </is>
      </c>
      <c r="AV5" t="inlineStr">
        <is>
          <t>LIEN_SEUL</t>
        </is>
      </c>
      <c r="AW5" t="inlineStr"/>
      <c r="AX5" t="inlineStr"/>
      <c r="AY5" t="inlineStr"/>
      <c r="AZ5" t="inlineStr"/>
      <c r="BA5" t="inlineStr"/>
      <c r="BB5" t="inlineStr">
        <is>
          <t>+35 nettoyage + categorie claire | +10 budget non affiche (a verifier) | +10 secteur cible Mairie | +5 delai court 9j</t>
        </is>
      </c>
      <c r="BC5" t="inlineStr">
        <is>
          <t>Ville de Fontenay-aux-Roses publie un AO potentiellement pertinent pour CHRUTH : Nettoyage des locaux communaux et des vitreries des bâtiments communaux. Zone : 92. Budget a verifier. Verifier le lien source avant contact.</t>
        </is>
      </c>
      <c r="BD5"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5"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2026-W30</t>
        </is>
      </c>
    </row>
    <row r="6">
      <c r="A6" t="inlineStr">
        <is>
          <t>BOAMP</t>
        </is>
      </c>
      <c r="B6" t="inlineStr">
        <is>
          <t>26-73898</t>
        </is>
      </c>
      <c r="C6" t="inlineStr">
        <is>
          <t>Fourniture de petits matériels et de consommables d'entretien et d'hygiène</t>
        </is>
      </c>
      <c r="D6" t="inlineStr">
        <is>
          <t>Département des Hauts-de-Seine</t>
        </is>
      </c>
      <c r="E6" t="inlineStr"/>
      <c r="F6" t="inlineStr"/>
      <c r="G6" t="inlineStr"/>
      <c r="H6" t="inlineStr"/>
      <c r="I6" t="inlineStr">
        <is>
          <t>publications-joue@aws-france.com</t>
        </is>
      </c>
      <c r="J6" t="inlineStr">
        <is>
          <t>+33480041260</t>
        </is>
      </c>
      <c r="K6" t="inlineStr"/>
      <c r="L6" t="inlineStr"/>
      <c r="M6" t="inlineStr"/>
      <c r="N6" t="inlineStr">
        <is>
          <t>92</t>
        </is>
      </c>
      <c r="O6" t="inlineStr"/>
      <c r="P6" t="inlineStr">
        <is>
          <t>Ile-de-France</t>
        </is>
      </c>
      <c r="Q6" s="14" t="n">
        <v>46228</v>
      </c>
      <c r="R6" s="14" t="n">
        <v>46280</v>
      </c>
      <c r="S6" t="inlineStr"/>
      <c r="T6" t="inlineStr">
        <is>
          <t>A_VERIFIER_BUDGET</t>
        </is>
      </c>
      <c r="U6" t="inlineStr"/>
      <c r="V6" t="inlineStr">
        <is>
          <t>non</t>
        </is>
      </c>
      <c r="W6" t="inlineStr">
        <is>
          <t>Batiments</t>
        </is>
      </c>
      <c r="X6" t="inlineStr">
        <is>
          <t>Autre</t>
        </is>
      </c>
      <c r="Y6" t="inlineStr">
        <is>
          <t>FOURNITURES</t>
        </is>
      </c>
      <c r="Z6" t="inlineStr">
        <is>
          <t>Procédure Ouverte</t>
        </is>
      </c>
      <c r="AA6" t="inlineStr">
        <is>
          <t>Avis de marché</t>
        </is>
      </c>
      <c r="AB6" t="inlineStr">
        <is>
          <t>Produits d'entretien</t>
        </is>
      </c>
      <c r="AC6" t="inlineStr">
        <is>
          <t>['sociaux', 'environnementaux']</t>
        </is>
      </c>
      <c r="AD6" s="10" t="inlineStr">
        <is>
          <t>https://www.boamp.fr/pages/avis/?q=idweb:26-73898</t>
        </is>
      </c>
      <c r="AE6" t="inlineStr">
        <is>
          <t>https://www.marches-publics.info/mpiaws/index.cfm?fuseaction=dematEnt.login&amp;amp;type=DCE&amp;amp;IDM=1854121</t>
        </is>
      </c>
      <c r="AF6" t="inlineStr">
        <is>
          <t>https://www.marches-publics.info/mpiaws/index.cfm?fuseaction=dematEnt.login&amp;amp;type=DCE&amp;amp;IDM=1854121</t>
        </is>
      </c>
      <c r="AG6" t="inlineStr">
        <is>
          <t>hygiene des locaux</t>
        </is>
      </c>
      <c r="AH6" t="inlineStr">
        <is>
          <t>2</t>
        </is>
      </c>
      <c r="AI6" t="inlineStr">
        <is>
          <t>58</t>
        </is>
      </c>
      <c r="AJ6" t="inlineStr">
        <is>
          <t>INFO_PARTIELLE</t>
        </is>
      </c>
      <c r="AK6" t="inlineStr">
        <is>
          <t>55</t>
        </is>
      </c>
      <c r="AL6" t="inlineStr">
        <is>
          <t>TIEDE</t>
        </is>
      </c>
      <c r="AM6" t="inlineStr"/>
      <c r="AN6" t="inlineStr"/>
      <c r="AO6" t="inlineStr"/>
      <c r="AP6" t="inlineStr"/>
      <c r="AQ6" t="inlineStr">
        <is>
          <t>IA_BUDGET_A_VERIFIER</t>
        </is>
      </c>
      <c r="AR6" t="inlineStr">
        <is>
          <t>Verifier le budget dans l'avis source ou le DCE avant decision commerciale.</t>
        </is>
      </c>
      <c r="AS6" t="inlineStr">
        <is>
          <t>SIRET, adresse, ville, budget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6" t="inlineStr">
        <is>
          <t>Verifier url_avis et DCE si disponible</t>
        </is>
      </c>
      <c r="AV6" t="inlineStr">
        <is>
          <t>LIEN_SEUL</t>
        </is>
      </c>
      <c r="AW6" t="inlineStr"/>
      <c r="AX6" t="inlineStr"/>
      <c r="AY6" t="inlineStr"/>
      <c r="AZ6" t="inlineStr"/>
      <c r="BA6" t="inlineStr"/>
      <c r="BB6" t="inlineStr">
        <is>
          <t>+35 nettoyage + categorie claire | +10 budget non affiche (a verifier) | +10 delai confortable 49j</t>
        </is>
      </c>
      <c r="BC6" t="inlineStr">
        <is>
          <t>Département des Hauts-de-Seine publie un AO potentiellement pertinent pour CHRUTH : Fourniture de petits matériels et de consommables d'entretien et d'hygiène. Zone : 92. Budget a verifier. Verifier le lien source avant contact.</t>
        </is>
      </c>
      <c r="BD6"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6"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2026-W30</t>
        </is>
      </c>
    </row>
    <row r="7">
      <c r="A7" t="inlineStr">
        <is>
          <t>BOAMP</t>
        </is>
      </c>
      <c r="B7" t="inlineStr">
        <is>
          <t>26-72955</t>
        </is>
      </c>
      <c r="C7" t="inlineStr">
        <is>
          <t>Prestations de nettoyage courant des locaux du CNRS et de vitreries incluant la fourniture des produits d’entretien et d’hygiène</t>
        </is>
      </c>
      <c r="D7" t="inlineStr">
        <is>
          <t>CNRS Délégation paris-Centre</t>
        </is>
      </c>
      <c r="E7" t="inlineStr">
        <is>
          <t>18008901303282</t>
        </is>
      </c>
      <c r="F7" t="inlineStr">
        <is>
          <t>180089013</t>
        </is>
      </c>
      <c r="G7" t="inlineStr"/>
      <c r="H7" t="inlineStr"/>
      <c r="I7" t="inlineStr">
        <is>
          <t>marchesdr2@dr2.cnrs.fr</t>
        </is>
      </c>
      <c r="J7" t="inlineStr">
        <is>
          <t>0890130328</t>
        </is>
      </c>
      <c r="K7" t="inlineStr"/>
      <c r="L7" t="inlineStr"/>
      <c r="M7" t="inlineStr"/>
      <c r="N7" t="inlineStr">
        <is>
          <t>75,77,78,91,92,93,94,95</t>
        </is>
      </c>
      <c r="O7" t="inlineStr"/>
      <c r="P7" t="inlineStr">
        <is>
          <t>Ile-de-France</t>
        </is>
      </c>
      <c r="Q7" s="14" t="n">
        <v>46225</v>
      </c>
      <c r="R7" s="14" t="n">
        <v>46269</v>
      </c>
      <c r="S7" t="inlineStr"/>
      <c r="T7" t="inlineStr">
        <is>
          <t>A_VERIFIER_BUDGET</t>
        </is>
      </c>
      <c r="U7" t="inlineStr"/>
      <c r="V7" t="inlineStr">
        <is>
          <t>non</t>
        </is>
      </c>
      <c r="W7" t="inlineStr">
        <is>
          <t>Batiments</t>
        </is>
      </c>
      <c r="X7" t="inlineStr">
        <is>
          <t>Autre</t>
        </is>
      </c>
      <c r="Y7" t="inlineStr">
        <is>
          <t>SERVICES</t>
        </is>
      </c>
      <c r="Z7" t="inlineStr">
        <is>
          <t>Procédure Ouverte</t>
        </is>
      </c>
      <c r="AA7" t="inlineStr">
        <is>
          <t>Avis de marché</t>
        </is>
      </c>
      <c r="AB7" t="inlineStr">
        <is>
          <t>Nettoyage de locaux</t>
        </is>
      </c>
      <c r="AC7" t="inlineStr"/>
      <c r="AD7" s="10" t="inlineStr">
        <is>
          <t>https://www.boamp.fr/pages/avis/?q=idweb:26-72955</t>
        </is>
      </c>
      <c r="AE7" t="inlineStr">
        <is>
          <t>https://www.marches-publics.gouv.fr</t>
        </is>
      </c>
      <c r="AF7" t="inlineStr">
        <is>
          <t>https://www.marches-publics.gouv.fr</t>
        </is>
      </c>
      <c r="AG7" t="inlineStr">
        <is>
          <t>nettoyage</t>
        </is>
      </c>
      <c r="AH7" t="inlineStr">
        <is>
          <t>3</t>
        </is>
      </c>
      <c r="AI7" t="inlineStr">
        <is>
          <t>68</t>
        </is>
      </c>
      <c r="AJ7" t="inlineStr">
        <is>
          <t>INFO_PARTIELLE</t>
        </is>
      </c>
      <c r="AK7" t="inlineStr">
        <is>
          <t>55</t>
        </is>
      </c>
      <c r="AL7" t="inlineStr">
        <is>
          <t>TIEDE</t>
        </is>
      </c>
      <c r="AM7" t="inlineStr"/>
      <c r="AN7" t="inlineStr"/>
      <c r="AO7" t="inlineStr"/>
      <c r="AP7" t="inlineStr"/>
      <c r="AQ7" t="inlineStr">
        <is>
          <t>IA_BUDGET_A_VERIFIER</t>
        </is>
      </c>
      <c r="AR7" t="inlineStr">
        <is>
          <t>Verifier le budget dans l'avis source ou le DCE avant decision commerciale.</t>
        </is>
      </c>
      <c r="AS7" t="inlineStr">
        <is>
          <t>adresse, ville, budget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7" t="inlineStr">
        <is>
          <t>Verifier url_avis et DCE si disponible</t>
        </is>
      </c>
      <c r="AV7" t="inlineStr">
        <is>
          <t>LIEN_SEUL</t>
        </is>
      </c>
      <c r="AW7" t="inlineStr"/>
      <c r="AX7" t="inlineStr"/>
      <c r="AY7" t="inlineStr"/>
      <c r="AZ7" t="inlineStr"/>
      <c r="BA7" t="inlineStr"/>
      <c r="BB7" t="inlineStr">
        <is>
          <t>+35 nettoyage + categorie claire | +10 budget non affiche (a verifier) | +10 delai confortable 38j</t>
        </is>
      </c>
      <c r="BC7"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7"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7"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2026-W30</t>
        </is>
      </c>
    </row>
    <row r="8">
      <c r="A8" t="inlineStr">
        <is>
          <t>BOAMP</t>
        </is>
      </c>
      <c r="B8" t="inlineStr">
        <is>
          <t>26-72105</t>
        </is>
      </c>
      <c r="C8" t="inlineStr">
        <is>
          <t>PRESTATIONS DE SERVICES DE NETTOYAGE ET BIONETTOYAGE DES LOCAUX, DE LA VITRERIE ET SERVICES ASSOCIES POUR LE CHIMM</t>
        </is>
      </c>
      <c r="D8" t="inlineStr">
        <is>
          <t>Centre Hospitalier Poissy/Saint-Germain-En-Laye</t>
        </is>
      </c>
      <c r="E8" t="inlineStr">
        <is>
          <t>26780580200316</t>
        </is>
      </c>
      <c r="F8" t="inlineStr">
        <is>
          <t>267805802</t>
        </is>
      </c>
      <c r="G8" t="inlineStr"/>
      <c r="H8" t="inlineStr"/>
      <c r="I8" t="inlineStr">
        <is>
          <t>clementine.hee@ght-yvelinesnord.fr</t>
        </is>
      </c>
      <c r="J8" t="inlineStr">
        <is>
          <t>0580200316</t>
        </is>
      </c>
      <c r="K8" t="inlineStr"/>
      <c r="L8" t="inlineStr"/>
      <c r="M8" t="inlineStr"/>
      <c r="N8" t="inlineStr">
        <is>
          <t>78</t>
        </is>
      </c>
      <c r="O8" t="inlineStr"/>
      <c r="P8" t="inlineStr">
        <is>
          <t>Ile-de-France</t>
        </is>
      </c>
      <c r="Q8" s="14" t="n">
        <v>46224</v>
      </c>
      <c r="R8" s="14" t="n">
        <v>46293</v>
      </c>
      <c r="S8" t="inlineStr"/>
      <c r="T8" t="inlineStr">
        <is>
          <t>A_VERIFIER_BUDGET</t>
        </is>
      </c>
      <c r="U8" t="inlineStr"/>
      <c r="V8" t="inlineStr">
        <is>
          <t>non</t>
        </is>
      </c>
      <c r="W8" t="inlineStr">
        <is>
          <t>Vitres</t>
        </is>
      </c>
      <c r="X8" t="inlineStr">
        <is>
          <t>Autre</t>
        </is>
      </c>
      <c r="Y8" t="inlineStr">
        <is>
          <t>SERVICES</t>
        </is>
      </c>
      <c r="Z8" t="inlineStr">
        <is>
          <t>Procédure Ouverte</t>
        </is>
      </c>
      <c r="AA8" t="inlineStr">
        <is>
          <t>Avis de marché</t>
        </is>
      </c>
      <c r="AB8" t="inlineStr">
        <is>
          <t>Nettoyage de locaux, Vitrerie</t>
        </is>
      </c>
      <c r="AC8" t="inlineStr"/>
      <c r="AD8" s="10" t="inlineStr">
        <is>
          <t>https://www.boamp.fr/pages/avis/?q=idweb:26-72105</t>
        </is>
      </c>
      <c r="AE8" t="inlineStr">
        <is>
          <t>https://marches.maximilien.fr/entreprise/consultation/943757?orgAcronyme=a2k</t>
        </is>
      </c>
      <c r="AF8" t="inlineStr">
        <is>
          <t>https://marches.maximilien.fr/entreprise/consultation/943757?orgAcronyme=a2k</t>
        </is>
      </c>
      <c r="AG8" t="inlineStr">
        <is>
          <t>nettoyage, bionettoyage</t>
        </is>
      </c>
      <c r="AH8" t="inlineStr">
        <is>
          <t>3</t>
        </is>
      </c>
      <c r="AI8" t="inlineStr">
        <is>
          <t>76</t>
        </is>
      </c>
      <c r="AJ8" t="inlineStr">
        <is>
          <t>INFO_PARTIELLE</t>
        </is>
      </c>
      <c r="AK8" t="inlineStr">
        <is>
          <t>55</t>
        </is>
      </c>
      <c r="AL8" t="inlineStr">
        <is>
          <t>TIEDE</t>
        </is>
      </c>
      <c r="AM8" t="inlineStr"/>
      <c r="AN8" t="inlineStr"/>
      <c r="AO8" t="inlineStr"/>
      <c r="AP8" t="inlineStr"/>
      <c r="AQ8" t="inlineStr">
        <is>
          <t>IA_BUDGET_A_VERIFIER</t>
        </is>
      </c>
      <c r="AR8" t="inlineStr">
        <is>
          <t>Verifier le budget dans l'avis source ou le DCE avant decision commerciale.</t>
        </is>
      </c>
      <c r="AS8" t="inlineStr">
        <is>
          <t>adresse, ville, budget</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8" t="inlineStr">
        <is>
          <t>Verifier url_avis et DCE si disponible</t>
        </is>
      </c>
      <c r="AV8" t="inlineStr">
        <is>
          <t>LIEN_SEUL</t>
        </is>
      </c>
      <c r="AW8" t="inlineStr"/>
      <c r="AX8" t="inlineStr"/>
      <c r="AY8" t="inlineStr"/>
      <c r="AZ8" t="inlineStr"/>
      <c r="BA8" t="inlineStr"/>
      <c r="BB8" t="inlineStr">
        <is>
          <t>+35 nettoyage + categorie claire | +10 budget non affiche (a verifier) | +10 delai confortable 62j</t>
        </is>
      </c>
      <c r="BC8"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8"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8"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26-70522</t>
        </is>
      </c>
      <c r="C9" t="inlineStr">
        <is>
          <t>PRESTATIONS DE COACHING ET D’ACCOMPAGNEMENT DES MEMBRES D’UN CODIR AU PROFIT DE L’EPIDE</t>
        </is>
      </c>
      <c r="D9" t="inlineStr">
        <is>
          <t>EPIDE</t>
        </is>
      </c>
      <c r="E9" t="inlineStr">
        <is>
          <t>18009259500131</t>
        </is>
      </c>
      <c r="F9" t="inlineStr">
        <is>
          <t>180092595</t>
        </is>
      </c>
      <c r="G9" t="inlineStr"/>
      <c r="H9" t="inlineStr"/>
      <c r="I9" t="inlineStr">
        <is>
          <t>achats@epide.fr</t>
        </is>
      </c>
      <c r="J9" t="inlineStr">
        <is>
          <t>0925950013</t>
        </is>
      </c>
      <c r="K9" t="inlineStr"/>
      <c r="L9" t="inlineStr"/>
      <c r="M9" t="inlineStr"/>
      <c r="N9" t="inlineStr">
        <is>
          <t>92,67,68,24,33,40,47,64,3</t>
        </is>
      </c>
      <c r="O9" t="inlineStr"/>
      <c r="P9" t="inlineStr">
        <is>
          <t>Ile-de-France</t>
        </is>
      </c>
      <c r="Q9" s="14" t="n">
        <v>46220</v>
      </c>
      <c r="R9" s="14" t="n">
        <v>46259</v>
      </c>
      <c r="S9" t="inlineStr"/>
      <c r="T9" t="inlineStr">
        <is>
          <t>A_VERIFIER_BUDGET</t>
        </is>
      </c>
      <c r="U9" t="inlineStr"/>
      <c r="V9" t="inlineStr">
        <is>
          <t>non</t>
        </is>
      </c>
      <c r="W9" t="inlineStr">
        <is>
          <t>Batiments</t>
        </is>
      </c>
      <c r="X9" t="inlineStr">
        <is>
          <t>Autre</t>
        </is>
      </c>
      <c r="Y9" t="inlineStr">
        <is>
          <t>SERVICES</t>
        </is>
      </c>
      <c r="Z9" t="inlineStr">
        <is>
          <t>Procédure Ouverte</t>
        </is>
      </c>
      <c r="AA9" t="inlineStr">
        <is>
          <t>Avis de marché</t>
        </is>
      </c>
      <c r="AB9" t="inlineStr">
        <is>
          <t>Nettoyage de locaux</t>
        </is>
      </c>
      <c r="AC9" t="inlineStr"/>
      <c r="AD9" s="10" t="inlineStr">
        <is>
          <t>https://www.boamp.fr/pages/avis/?q=idweb:26-70522</t>
        </is>
      </c>
      <c r="AE9" t="inlineStr">
        <is>
          <t>https://www.epide.fr/</t>
        </is>
      </c>
      <c r="AF9" t="inlineStr"/>
      <c r="AG9" t="inlineStr">
        <is>
          <t>nettoyage</t>
        </is>
      </c>
      <c r="AH9" t="inlineStr">
        <is>
          <t>3</t>
        </is>
      </c>
      <c r="AI9" t="inlineStr">
        <is>
          <t>68</t>
        </is>
      </c>
      <c r="AJ9" t="inlineStr">
        <is>
          <t>INFO_PARTIELLE</t>
        </is>
      </c>
      <c r="AK9" t="inlineStr">
        <is>
          <t>55</t>
        </is>
      </c>
      <c r="AL9" t="inlineStr">
        <is>
          <t>TIEDE</t>
        </is>
      </c>
      <c r="AM9" t="inlineStr"/>
      <c r="AN9" t="inlineStr"/>
      <c r="AO9" t="inlineStr"/>
      <c r="AP9" t="inlineStr"/>
      <c r="AQ9" t="inlineStr">
        <is>
          <t>IA_BUDGET_A_VERIFIER</t>
        </is>
      </c>
      <c r="AR9" t="inlineStr">
        <is>
          <t>Verifier le budget dans l'avis source ou le DCE avant decision commerciale.</t>
        </is>
      </c>
      <c r="AS9" t="inlineStr">
        <is>
          <t>adresse, ville, budget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9" t="inlineStr">
        <is>
          <t>Verifier url_avis et DCE si disponible</t>
        </is>
      </c>
      <c r="AV9" t="inlineStr">
        <is>
          <t>LIEN_SEUL</t>
        </is>
      </c>
      <c r="AW9" t="inlineStr"/>
      <c r="AX9" t="inlineStr"/>
      <c r="AY9" t="inlineStr"/>
      <c r="AZ9" t="inlineStr"/>
      <c r="BA9" t="inlineStr"/>
      <c r="BB9" t="inlineStr">
        <is>
          <t>+35 nettoyage + categorie claire | +10 budget non affiche (a verifier) | +10 delai confortable 28j</t>
        </is>
      </c>
      <c r="BC9" t="inlineStr">
        <is>
          <t>EPIDE publie un AO potentiellement pertinent pour CHRUTH : PRESTATIONS DE COACHING ET D’ACCOMPAGNEMENT DES MEMBRES D’UN CODIR AU PROFIT DE L’EPIDE. Zone : 92,67,68,24,33,40,47,64,3. Budget a verifier. Verifier le lien source avant contact.</t>
        </is>
      </c>
      <c r="BD9"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9"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26-70503</t>
        </is>
      </c>
      <c r="C10" t="inlineStr">
        <is>
          <t>Prestations de nettoyage des locaux et de la vitrerie et prestations associées pour les sites du GHT Grand Paris Nord-Est</t>
        </is>
      </c>
      <c r="D10" t="inlineStr">
        <is>
          <t>GHT GPNE</t>
        </is>
      </c>
      <c r="E10" t="inlineStr">
        <is>
          <t>20001803400013</t>
        </is>
      </c>
      <c r="F10" t="inlineStr">
        <is>
          <t>200018034</t>
        </is>
      </c>
      <c r="G10" t="inlineStr"/>
      <c r="H10" t="inlineStr"/>
      <c r="I10" t="inlineStr">
        <is>
          <t>ght.cellule-des-marches@ght-gpne.fr</t>
        </is>
      </c>
      <c r="J10" t="inlineStr">
        <is>
          <t>0180340001</t>
        </is>
      </c>
      <c r="K10" t="inlineStr"/>
      <c r="L10" t="inlineStr"/>
      <c r="M10" t="inlineStr"/>
      <c r="N10" t="inlineStr">
        <is>
          <t>93</t>
        </is>
      </c>
      <c r="O10" t="inlineStr"/>
      <c r="P10" t="inlineStr">
        <is>
          <t>Ile-de-France</t>
        </is>
      </c>
      <c r="Q10" s="14" t="n">
        <v>46220</v>
      </c>
      <c r="R10" s="14" t="n">
        <v>46269</v>
      </c>
      <c r="S10" t="inlineStr"/>
      <c r="T10" t="inlineStr">
        <is>
          <t>A_VERIFIER_BUDGET</t>
        </is>
      </c>
      <c r="U10" t="inlineStr"/>
      <c r="V10" t="inlineStr">
        <is>
          <t>non</t>
        </is>
      </c>
      <c r="W10" t="inlineStr">
        <is>
          <t>Vitres</t>
        </is>
      </c>
      <c r="X10" t="inlineStr">
        <is>
          <t>Autre</t>
        </is>
      </c>
      <c r="Y10" t="inlineStr">
        <is>
          <t>SERVICES</t>
        </is>
      </c>
      <c r="Z10" t="inlineStr">
        <is>
          <t>Procédure Ouverte</t>
        </is>
      </c>
      <c r="AA10" t="inlineStr">
        <is>
          <t>Avis de marché</t>
        </is>
      </c>
      <c r="AB10" t="inlineStr">
        <is>
          <t>Nettoyage de locaux</t>
        </is>
      </c>
      <c r="AC10" t="inlineStr"/>
      <c r="AD10" s="10" t="inlineStr">
        <is>
          <t>https://www.boamp.fr/pages/avis/?q=idweb:26-70503</t>
        </is>
      </c>
      <c r="AE10" t="inlineStr">
        <is>
          <t>https://marches.maximilien.fr/entreprise/consultation/943277?orgAcronyme=a1j</t>
        </is>
      </c>
      <c r="AF10" t="inlineStr">
        <is>
          <t>https://marches.maximilien.fr/entreprise/consultation/943277?orgAcronyme=a1j</t>
        </is>
      </c>
      <c r="AG10" t="inlineStr">
        <is>
          <t>nettoyage</t>
        </is>
      </c>
      <c r="AH10" t="inlineStr">
        <is>
          <t>3</t>
        </is>
      </c>
      <c r="AI10" t="inlineStr">
        <is>
          <t>68</t>
        </is>
      </c>
      <c r="AJ10" t="inlineStr">
        <is>
          <t>INFO_PARTIELLE</t>
        </is>
      </c>
      <c r="AK10" t="inlineStr">
        <is>
          <t>55</t>
        </is>
      </c>
      <c r="AL10" t="inlineStr">
        <is>
          <t>TIEDE</t>
        </is>
      </c>
      <c r="AM10" t="inlineStr"/>
      <c r="AN10" t="inlineStr"/>
      <c r="AO10" t="inlineStr"/>
      <c r="AP10" t="inlineStr"/>
      <c r="AQ10" t="inlineStr">
        <is>
          <t>IA_BUDGET_A_VERIFIER</t>
        </is>
      </c>
      <c r="AR10" t="inlineStr">
        <is>
          <t>Verifier le budget dans l'avis source ou le DCE avant decision commerciale.</t>
        </is>
      </c>
      <c r="AS10" t="inlineStr">
        <is>
          <t>adresse, ville,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delai confortable 38j</t>
        </is>
      </c>
      <c r="BC10" t="inlineStr">
        <is>
          <t>GHT GPNE publie un AO potentiellement pertinent pour CHRUTH : Prestations de nettoyage des locaux et de la vitrerie et prestations associées pour les sites du GHT Grand Paris Nord-Est. Zone : 93. Budget a verifier. Verifier le lien source avant contact.</t>
        </is>
      </c>
      <c r="BD10"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10"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2026-W29</t>
        </is>
      </c>
    </row>
    <row r="11">
      <c r="A11" t="inlineStr">
        <is>
          <t>BOAMP</t>
        </is>
      </c>
      <c r="B11" t="inlineStr">
        <is>
          <t>26-70841</t>
        </is>
      </c>
      <c r="C11" t="inlineStr">
        <is>
          <t>Prestations d'hébergement de l'Espace d'exposition faisant partie du pavillon Occitanie pour le 56e Salon International de l'Aéronautique et de l'Espace Paris - Relance consultation 26OCC09L</t>
        </is>
      </c>
      <c r="D11" t="inlineStr">
        <is>
          <t>CCI OCCITANIE PYRENEES-MEDITERRANEE</t>
        </is>
      </c>
      <c r="E11" t="inlineStr"/>
      <c r="F11" t="inlineStr"/>
      <c r="G11" t="inlineStr"/>
      <c r="H11" t="inlineStr"/>
      <c r="I11" t="inlineStr">
        <is>
          <t>publications-joue@aws-france.com</t>
        </is>
      </c>
      <c r="J11" t="inlineStr">
        <is>
          <t>+33480041260</t>
        </is>
      </c>
      <c r="K11" t="inlineStr"/>
      <c r="L11" t="inlineStr"/>
      <c r="M11" t="inlineStr"/>
      <c r="N11" t="inlineStr">
        <is>
          <t>75</t>
        </is>
      </c>
      <c r="O11" t="inlineStr"/>
      <c r="P11" t="inlineStr">
        <is>
          <t>Ile-de-France</t>
        </is>
      </c>
      <c r="Q11" s="14" t="n">
        <v>46220</v>
      </c>
      <c r="R11" s="14" t="n">
        <v>46251</v>
      </c>
      <c r="S11" t="inlineStr"/>
      <c r="T11" t="inlineStr">
        <is>
          <t>A_VERIFIER_BUDGET</t>
        </is>
      </c>
      <c r="U11" t="inlineStr"/>
      <c r="V11" t="inlineStr">
        <is>
          <t>non</t>
        </is>
      </c>
      <c r="W11" t="inlineStr">
        <is>
          <t>Personnel</t>
        </is>
      </c>
      <c r="X11" t="inlineStr">
        <is>
          <t>Autre</t>
        </is>
      </c>
      <c r="Y11" t="inlineStr">
        <is>
          <t>SERVICES</t>
        </is>
      </c>
      <c r="Z11" t="inlineStr">
        <is>
          <t>Procédure Ouverte</t>
        </is>
      </c>
      <c r="AA11" t="inlineStr">
        <is>
          <t>Avis de marché</t>
        </is>
      </c>
      <c r="AB11" t="inlineStr">
        <is>
          <t>Evénementiel</t>
        </is>
      </c>
      <c r="AC11" t="inlineStr"/>
      <c r="AD11" s="10" t="inlineStr">
        <is>
          <t>https://www.boamp.fr/pages/avis/?q=idweb:26-70841</t>
        </is>
      </c>
      <c r="AE11" t="inlineStr">
        <is>
          <t>https://www.marches-publics.gouv.fr/entreprise</t>
        </is>
      </c>
      <c r="AF11" t="inlineStr">
        <is>
          <t>https://www.marches-publics.gouv.fr/entreprise</t>
        </is>
      </c>
      <c r="AG11" t="inlineStr"/>
      <c r="AH11" t="inlineStr">
        <is>
          <t>2</t>
        </is>
      </c>
      <c r="AI11" t="inlineStr">
        <is>
          <t>50</t>
        </is>
      </c>
      <c r="AJ11" t="inlineStr">
        <is>
          <t>INFO_PARTIELLE</t>
        </is>
      </c>
      <c r="AK11" t="inlineStr">
        <is>
          <t>20</t>
        </is>
      </c>
      <c r="AL11" s="16" t="inlineStr">
        <is>
          <t>FROID</t>
        </is>
      </c>
      <c r="AM11" t="inlineStr"/>
      <c r="AN11" t="inlineStr"/>
      <c r="AO11" t="inlineStr"/>
      <c r="AP11" t="inlineStr"/>
      <c r="AQ11" t="inlineStr">
        <is>
          <t>IA_BUDGET_A_VERIFIER</t>
        </is>
      </c>
      <c r="AR11" t="inlineStr">
        <is>
          <t>Verifier le budget dans l'avis source ou le DCE avant decision commerciale.</t>
        </is>
      </c>
      <c r="AS11" t="inlineStr">
        <is>
          <t>SIRET, 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26-70841. Objet: Prestations d'hébergement de l'Espace d'exposition faisant partie du pavillon Occitanie pour le 56e Salon International de l'Aéronautique et de l'Espace Paris - Relance consultation 26OCC09L. Acheteur: CCI OCCITANIE PYRENEES-MEDITERRANEE. Lien: https://www.boamp.fr/pages/avis/?q=idweb:26-70841.</t>
        </is>
      </c>
      <c r="AU11" t="inlineStr">
        <is>
          <t>Verifier url_avis et DCE si disponible</t>
        </is>
      </c>
      <c r="AV11" t="inlineStr">
        <is>
          <t>LIEN_SEUL</t>
        </is>
      </c>
      <c r="AW11" t="inlineStr"/>
      <c r="AX11" t="inlineStr"/>
      <c r="AY11" t="inlineStr"/>
      <c r="AZ11" t="inlineStr"/>
      <c r="BA11" t="inlineStr"/>
      <c r="BB11" t="inlineStr">
        <is>
          <t>0 pertinence metier faible | +10 budget non affiche (a verifier) | +10 delai confortable 20j</t>
        </is>
      </c>
      <c r="BC11" t="inlineStr">
        <is>
          <t>CCI OCCITANIE PYRENEES-MEDITERRANEE publie un AO potentiellement pertinent pour CHRUTH : Prestations d'hébergement de l'Espace d'exposition faisant partie du pavillon Occitanie pour le 56e Salon International de l'Aéronautique et de l'Espace Paris - Relance consultation 26OCC09L. Zone : 75. Budget a verifier. Verifier le lien source avant contact.</t>
        </is>
      </c>
      <c r="BD11" t="inlineStr">
        <is>
          <t>Bonjour,
Je me permets de vous contacter au sujet de votre appel d'offres : Prestations d'hébergement de l'Espace d'exposition faisant partie du pavillon Occitanie pour le 56e Salon International de l'Aéronautique et de l'Espace Paris - Relance consultation 26OCC09L.
CHRUTH accompagne les structures publiques et privées sur les besoins de nettoyage, d'entretien des locaux et d'organisation de prestations de service.
Serait-il possible d'échanger rapidement afin de vérifier les modalités de réponse et les attentes de CCI OCCITANIE PYRENEES-MEDITERRANEE ?
Cordialement,</t>
        </is>
      </c>
      <c r="BE11" t="inlineStr">
        <is>
          <t>Bonjour, je vous appelle concernant un appel d'offres publié par CCI OCCITANIE PYRENEES-MEDITERRANEE.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2026-W29</t>
        </is>
      </c>
    </row>
    <row r="12">
      <c r="A12" t="inlineStr">
        <is>
          <t>BOAMP</t>
        </is>
      </c>
      <c r="B12" t="inlineStr">
        <is>
          <t>26-70040</t>
        </is>
      </c>
      <c r="C12" t="inlineStr">
        <is>
          <t>Prestations de gardiennage et sécurité incendie pour le campus HEC Paris</t>
        </is>
      </c>
      <c r="D12" t="inlineStr">
        <is>
          <t>HEC Paris</t>
        </is>
      </c>
      <c r="E12" t="inlineStr"/>
      <c r="F12" t="inlineStr"/>
      <c r="G12" t="inlineStr"/>
      <c r="H12" t="inlineStr"/>
      <c r="I12" t="inlineStr">
        <is>
          <t>publications-joue@aws-france.com</t>
        </is>
      </c>
      <c r="J12" t="inlineStr">
        <is>
          <t>+33480041260</t>
        </is>
      </c>
      <c r="K12" t="inlineStr"/>
      <c r="L12" t="inlineStr"/>
      <c r="M12" t="inlineStr"/>
      <c r="N12" t="inlineStr">
        <is>
          <t>78</t>
        </is>
      </c>
      <c r="O12" t="inlineStr"/>
      <c r="P12" t="inlineStr">
        <is>
          <t>Ile-de-France</t>
        </is>
      </c>
      <c r="Q12" s="14" t="n">
        <v>46218</v>
      </c>
      <c r="R12" s="14" t="n">
        <v>46282</v>
      </c>
      <c r="S12" t="inlineStr"/>
      <c r="T12" t="inlineStr">
        <is>
          <t>A_VERIFIER_BUDGET</t>
        </is>
      </c>
      <c r="U12" t="inlineStr"/>
      <c r="V12" t="inlineStr">
        <is>
          <t>non</t>
        </is>
      </c>
      <c r="W12" t="inlineStr">
        <is>
          <t>Personnel</t>
        </is>
      </c>
      <c r="X12" t="inlineStr">
        <is>
          <t>Autre</t>
        </is>
      </c>
      <c r="Y12" t="inlineStr">
        <is>
          <t>SERVICES</t>
        </is>
      </c>
      <c r="Z12" t="inlineStr">
        <is>
          <t>Procédure Ouverte</t>
        </is>
      </c>
      <c r="AA12" t="inlineStr">
        <is>
          <t>Avis de marché</t>
        </is>
      </c>
      <c r="AB12" t="inlineStr">
        <is>
          <t>Sécurité incendie, Gardiennage</t>
        </is>
      </c>
      <c r="AC12" t="inlineStr">
        <is>
          <t>['sociaux', 'environnementaux']</t>
        </is>
      </c>
      <c r="AD12" s="10" t="inlineStr">
        <is>
          <t>https://www.boamp.fr/pages/avis/?q=idweb:26-70040</t>
        </is>
      </c>
      <c r="AE12" t="inlineStr">
        <is>
          <t>https://www.marches-publics.info/mpiaws/index.cfm?fuseaction=dematEnt.login&amp;amp;type=DCE&amp;amp;IDM=1850314</t>
        </is>
      </c>
      <c r="AF12" t="inlineStr">
        <is>
          <t>https://www.marches-publics.info/mpiaws/index.cfm?fuseaction=dematEnt.login&amp;amp;type=DCE&amp;amp;IDM=1850314</t>
        </is>
      </c>
      <c r="AG12" t="inlineStr"/>
      <c r="AH12" t="inlineStr">
        <is>
          <t>2</t>
        </is>
      </c>
      <c r="AI12" t="inlineStr">
        <is>
          <t>50</t>
        </is>
      </c>
      <c r="AJ12" t="inlineStr">
        <is>
          <t>INFO_PARTIELLE</t>
        </is>
      </c>
      <c r="AK12" t="inlineStr">
        <is>
          <t>20</t>
        </is>
      </c>
      <c r="AL12" s="16" t="inlineStr">
        <is>
          <t>FROID</t>
        </is>
      </c>
      <c r="AM12" t="inlineStr"/>
      <c r="AN12" t="inlineStr"/>
      <c r="AO12" t="inlineStr"/>
      <c r="AP12" t="inlineStr"/>
      <c r="AQ12" t="inlineStr">
        <is>
          <t>IA_BUDGET_A_VERIFIER</t>
        </is>
      </c>
      <c r="AR12" t="inlineStr">
        <is>
          <t>Verifier le budget dans l'avis source ou le DCE avant decision commerciale.</t>
        </is>
      </c>
      <c r="AS12" t="inlineStr">
        <is>
          <t>SIRET, 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26-70040. Objet: Prestations de gardiennage et sécurité incendie pour le campus HEC Paris. Acheteur: HEC Paris. Lien: https://www.boamp.fr/pages/avis/?q=idweb:26-70040.</t>
        </is>
      </c>
      <c r="AU12" t="inlineStr">
        <is>
          <t>Verifier url_avis et DCE si disponible</t>
        </is>
      </c>
      <c r="AV12" t="inlineStr">
        <is>
          <t>LIEN_SEUL</t>
        </is>
      </c>
      <c r="AW12" t="inlineStr"/>
      <c r="AX12" t="inlineStr"/>
      <c r="AY12" t="inlineStr"/>
      <c r="AZ12" t="inlineStr"/>
      <c r="BA12" t="inlineStr"/>
      <c r="BB12" t="inlineStr">
        <is>
          <t>0 pertinence metier faible | +10 budget non affiche (a verifier) | +10 delai confortable 51j</t>
        </is>
      </c>
      <c r="BC12" t="inlineStr">
        <is>
          <t>HEC Paris publie un AO potentiellement pertinent pour CHRUTH : Prestations de gardiennage et sécurité incendie pour le campus HEC Paris. Zone : 78. Budget a verifier. Verifier le lien source avant contact.</t>
        </is>
      </c>
      <c r="BD12" t="inlineStr">
        <is>
          <t>Bonjour,
Je me permets de vous contacter au sujet de votre appel d'offres : Prestations de gardiennage et sécurité incendie pour le campus HEC Paris.
CHRUTH accompagne les structures publiques et privées sur les besoins de nettoyage, d'entretien des locaux et d'organisation de prestations de service.
Serait-il possible d'échanger rapidement afin de vérifier les modalités de réponse et les attentes de HEC Paris ?
Cordialement,</t>
        </is>
      </c>
      <c r="BE12" t="inlineStr">
        <is>
          <t>Bonjour, je vous appelle concernant un appel d'offres publié par HEC Paris.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2026-W29</t>
        </is>
      </c>
    </row>
    <row r="13">
      <c r="A13" t="inlineStr">
        <is>
          <t>BOAMP</t>
        </is>
      </c>
      <c r="B13" t="inlineStr">
        <is>
          <t>26-72867</t>
        </is>
      </c>
      <c r="C13" t="inlineStr">
        <is>
          <t>La présente consultation a pour objet des prestations de sécurité incendie, de gardiennage des locaux et d’assistance aux personnels et usagers de l’arrondissement judiciaire de Paris.</t>
        </is>
      </c>
      <c r="D13" t="inlineStr">
        <is>
          <t>Cour d'appel de Paris - SAR</t>
        </is>
      </c>
      <c r="E13" t="inlineStr"/>
      <c r="F13" t="inlineStr"/>
      <c r="G13" t="inlineStr"/>
      <c r="H13" t="inlineStr"/>
      <c r="I13" t="inlineStr">
        <is>
          <t>mp.sar.ca-paris@justice.fr</t>
        </is>
      </c>
      <c r="J13" t="inlineStr">
        <is>
          <t>0144325084</t>
        </is>
      </c>
      <c r="K13" t="inlineStr"/>
      <c r="L13" t="inlineStr"/>
      <c r="M13" t="inlineStr"/>
      <c r="N13" t="inlineStr">
        <is>
          <t>75,77,89,91,93,94,95</t>
        </is>
      </c>
      <c r="O13" t="inlineStr"/>
      <c r="P13" t="inlineStr">
        <is>
          <t>Ile-de-France</t>
        </is>
      </c>
      <c r="Q13" s="14" t="n">
        <v>46226</v>
      </c>
      <c r="R13" t="inlineStr"/>
      <c r="S13" t="inlineStr"/>
      <c r="T13" t="inlineStr">
        <is>
          <t>A_VERIFIER_BUDGET</t>
        </is>
      </c>
      <c r="U13" t="inlineStr"/>
      <c r="V13" t="inlineStr">
        <is>
          <t>non</t>
        </is>
      </c>
      <c r="W13" t="inlineStr">
        <is>
          <t>Personnel</t>
        </is>
      </c>
      <c r="X13" t="inlineStr">
        <is>
          <t>Autre</t>
        </is>
      </c>
      <c r="Y13" t="inlineStr">
        <is>
          <t>SERVICES</t>
        </is>
      </c>
      <c r="Z13" t="inlineStr">
        <is>
          <t>Procédure Restreinte</t>
        </is>
      </c>
      <c r="AA13" t="inlineStr">
        <is>
          <t>Avis de marché</t>
        </is>
      </c>
      <c r="AB13" t="inlineStr">
        <is>
          <t>Gardiennage, Sécurité incendie</t>
        </is>
      </c>
      <c r="AC13" t="inlineStr"/>
      <c r="AD13" s="10" t="inlineStr">
        <is>
          <t>https://www.boamp.fr/pages/avis/?q=idweb:26-72867</t>
        </is>
      </c>
      <c r="AE13" t="inlineStr">
        <is>
          <t>https://www.marches-publics.gouv.fr/entreprise</t>
        </is>
      </c>
      <c r="AF13" t="inlineStr">
        <is>
          <t>https://www.marches-publics.gouv.fr/entreprise</t>
        </is>
      </c>
      <c r="AG13" t="inlineStr"/>
      <c r="AH13" t="inlineStr">
        <is>
          <t>2</t>
        </is>
      </c>
      <c r="AI13" t="inlineStr">
        <is>
          <t>50</t>
        </is>
      </c>
      <c r="AJ13" t="inlineStr">
        <is>
          <t>INFO_PARTIELLE</t>
        </is>
      </c>
      <c r="AK13" t="inlineStr">
        <is>
          <t>10</t>
        </is>
      </c>
      <c r="AL13" s="16" t="inlineStr">
        <is>
          <t>FROID</t>
        </is>
      </c>
      <c r="AM13" t="inlineStr"/>
      <c r="AN13" t="inlineStr"/>
      <c r="AO13" t="inlineStr"/>
      <c r="AP13" t="inlineStr"/>
      <c r="AQ13" t="inlineStr">
        <is>
          <t>IA_BUDGET_A_VERIFIER</t>
        </is>
      </c>
      <c r="AR13" t="inlineStr">
        <is>
          <t>Verifier le budget dans l'avis source ou le DCE avant decision commerciale.</t>
        </is>
      </c>
      <c r="AS13" t="inlineStr">
        <is>
          <t>SIRET, adresse, ville, budget</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26-72867. Objet: La présente consultation a pour objet des prestations de sécurité incendie, de gardiennage des locaux et d’assistance aux personnels et usagers de l’arrondissement judiciaire de Paris.. Acheteur: Cour d'appel de Paris - SAR. Lien: https://www.boamp.fr/pages/avis/?q=idweb:26-72867.</t>
        </is>
      </c>
      <c r="AU13" t="inlineStr">
        <is>
          <t>Verifier url_avis et DCE si disponible</t>
        </is>
      </c>
      <c r="AV13" t="inlineStr">
        <is>
          <t>LIEN_SEUL</t>
        </is>
      </c>
      <c r="AW13" t="inlineStr"/>
      <c r="AX13" t="inlineStr"/>
      <c r="AY13" t="inlineStr"/>
      <c r="AZ13" t="inlineStr"/>
      <c r="BA13" t="inlineStr"/>
      <c r="BB13" t="inlineStr">
        <is>
          <t>0 pertinence metier faible | +10 budget non affiche (a verifier) | 0 date limite absente</t>
        </is>
      </c>
      <c r="BC13" t="inlineStr">
        <is>
          <t>Cour d'appel de Paris - SAR publie un AO potentiellement pertinent pour CHRUTH : La présente consultation a pour objet des prestations de sécurité incendie, de gardiennage des locaux et d’assistance aux personnels et usagers de l’arrondissement judiciaire de Paris.. Zone : 75,77,89,91,93,94,95. Budget a verifier. Verifier le lien source avant contact.</t>
        </is>
      </c>
      <c r="BD13" t="inlineStr">
        <is>
          <t>Bonjour,
Je me permets de vous contacter au sujet de votre appel d'offres : La présente consultation a pour objet des prestations de sécurité incendie, de gardiennage des locaux et d’assistance aux personnels et usagers de l’arrondissement judiciaire de Paris..
CHRUTH accompagne les structures publiques et privées sur les besoins de nettoyage, d'entretien des locaux et d'organisation de prestations de service.
Serait-il possible d'échanger rapidement afin de vérifier les modalités de réponse et les attentes de Cour d'appel de Paris - SAR ?
Cordialement,</t>
        </is>
      </c>
      <c r="BE13" t="inlineStr">
        <is>
          <t>Bonjour, je vous appelle concernant un appel d'offres publié par Cour d'appel de Paris - SAR.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2026-W30</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s>
  <pageMargins left="0.75" right="0.75" top="1" bottom="1" header="0.5" footer="0.5"/>
  <tableParts count="1">
    <tablePart xmlns:r="http://schemas.openxmlformats.org/officeDocument/2006/relationships" r:id="rId13"/>
  </tableParts>
</worksheet>
</file>

<file path=xl/worksheets/sheet9.xml><?xml version="1.0" encoding="utf-8"?>
<worksheet xmlns="http://schemas.openxmlformats.org/spreadsheetml/2006/main">
  <sheetPr>
    <outlinePr summaryBelow="1" summaryRight="1"/>
    <pageSetUpPr/>
  </sheetPr>
  <dimension ref="A1:G14"/>
  <sheetViews>
    <sheetView workbookViewId="0">
      <pane xSplit="2" ySplit="1" topLeftCell="C2" activePane="bottomRight" state="frozen"/>
      <selection pane="topRight"/>
      <selection pane="bottomLeft"/>
      <selection pane="bottomRight" activeCell="A1" sqref="A1"/>
    </sheetView>
  </sheetViews>
  <sheetFormatPr baseColWidth="8" defaultRowHeight="15"/>
  <cols>
    <col width="10" customWidth="1" min="1" max="1"/>
    <col width="55" customWidth="1" min="2" max="2"/>
    <col width="49" customWidth="1" min="3" max="3"/>
    <col width="55" customWidth="1" min="4" max="4"/>
    <col width="55" customWidth="1" min="5" max="5"/>
    <col width="12" customWidth="1" min="6" max="6"/>
    <col width="17" customWidth="1" min="7" max="7"/>
  </cols>
  <sheetData>
    <row r="1">
      <c r="A1" s="12" t="inlineStr">
        <is>
          <t>id_ao</t>
        </is>
      </c>
      <c r="B1" s="12" t="inlineStr">
        <is>
          <t>objet</t>
        </is>
      </c>
      <c r="C1" s="12" t="inlineStr">
        <is>
          <t>acheteur</t>
        </is>
      </c>
      <c r="D1" s="12" t="inlineStr">
        <is>
          <t>url_dce</t>
        </is>
      </c>
      <c r="E1" s="12" t="inlineStr">
        <is>
          <t>url_profil_acheteur</t>
        </is>
      </c>
      <c r="F1" s="12" t="inlineStr">
        <is>
          <t>dce_statut</t>
        </is>
      </c>
      <c r="G1" s="12" t="inlineStr">
        <is>
          <t>fichier_attendu</t>
        </is>
      </c>
    </row>
    <row r="2">
      <c r="A2" t="inlineStr">
        <is>
          <t>26-73275</t>
        </is>
      </c>
      <c r="B2" t="inlineStr">
        <is>
          <t>ENTRETIEN, REMISE EN ETAT ET AMENAGEMENT D'ESPACES VERTS POUR LA VILLE DE GENNEVILLIERS
LOT N°1 : Entretien des secteurs d'habitation Nord et du cimetière, remise en état et aménagement d'e</t>
        </is>
      </c>
      <c r="C2" t="inlineStr">
        <is>
          <t>Ville de Gennevilliers</t>
        </is>
      </c>
      <c r="D2" t="inlineStr">
        <is>
          <t>https://www.marches-publics.info/mpiaws/index.cfm?fuseaction=dematEnt.login&amp;amp;type=DCE&amp;amp;IDM=1848323</t>
        </is>
      </c>
      <c r="E2" t="inlineStr">
        <is>
          <t>https://www.marches-publics.info/mpiaws/index.cfm?fuseaction=dematEnt.login&amp;amp;type=DCE&amp;amp;IDM=1848323</t>
        </is>
      </c>
      <c r="F2" t="inlineStr">
        <is>
          <t>LIEN_SEUL</t>
        </is>
      </c>
      <c r="G2" t="inlineStr">
        <is>
          <t>26-73275.pdf</t>
        </is>
      </c>
    </row>
    <row r="3">
      <c r="A3" t="inlineStr">
        <is>
          <t>26-74949</t>
        </is>
      </c>
      <c r="B3" t="inlineStr">
        <is>
          <t>Prestations D'Entretien Ménager Des Gymnases De La Ville De Roissy-En-Brie</t>
        </is>
      </c>
      <c r="C3" t="inlineStr">
        <is>
          <t>Mairie de Roissy-en-Brie</t>
        </is>
      </c>
      <c r="D3" t="inlineStr">
        <is>
          <t>https://www.marches-publics.info/mpiaws/index.cfm?fuseaction=dematent.login&amp;type=Dce&amp;Idm=1855543</t>
        </is>
      </c>
      <c r="E3" t="inlineStr">
        <is>
          <t>https://www.marches-publics.info/mpiaws/index.cfm?fuseaction=dematent.login&amp;type=Dce&amp;Idm=1855543</t>
        </is>
      </c>
      <c r="F3" t="inlineStr">
        <is>
          <t>LIEN_SEUL</t>
        </is>
      </c>
      <c r="G3" t="inlineStr">
        <is>
          <t>26-74949.pdf</t>
        </is>
      </c>
    </row>
    <row r="4">
      <c r="A4" t="inlineStr">
        <is>
          <t>26-71198</t>
        </is>
      </c>
      <c r="B4" t="inlineStr">
        <is>
          <t>CONCESSION DE SERVICE PUBLIC 
PORTANT SUR LA GESTION ET L'EXPLOITATION DES MARCHES FORAINS DE LA VILLE DE MONTROUGE</t>
        </is>
      </c>
      <c r="C4" t="inlineStr">
        <is>
          <t>Ville de Montrouge</t>
        </is>
      </c>
      <c r="D4" t="inlineStr">
        <is>
          <t>https://www.achatpublic.com/sdm/ent2/gen/index.jsp</t>
        </is>
      </c>
      <c r="E4" t="inlineStr">
        <is>
          <t>https://www.achatpublic.com/sdm/ent2/gen/index.jsp</t>
        </is>
      </c>
      <c r="F4" t="inlineStr">
        <is>
          <t>LIEN_SEUL</t>
        </is>
      </c>
      <c r="G4" t="inlineStr">
        <is>
          <t>26-71198.pdf</t>
        </is>
      </c>
    </row>
    <row r="5">
      <c r="A5" t="inlineStr">
        <is>
          <t>26-72948</t>
        </is>
      </c>
      <c r="B5" t="inlineStr">
        <is>
          <t>26MF026 - Fourniture d'appareils ménagers et d'équipements professionnels</t>
        </is>
      </c>
      <c r="C5" t="inlineStr">
        <is>
          <t>Ville de Plaisir</t>
        </is>
      </c>
      <c r="D5" t="inlineStr">
        <is>
          <t>https://ville-plaisir.e-marches-publics.com</t>
        </is>
      </c>
      <c r="E5" t="inlineStr"/>
      <c r="F5" t="inlineStr">
        <is>
          <t>LIEN_SEUL</t>
        </is>
      </c>
      <c r="G5" t="inlineStr">
        <is>
          <t>26-72948.pdf</t>
        </is>
      </c>
    </row>
    <row r="6">
      <c r="A6" t="inlineStr">
        <is>
          <t>26-71986</t>
        </is>
      </c>
      <c r="B6" t="inlineStr">
        <is>
          <t>Nettoyage des locaux communaux et des vitreries des bâtiments communaux</t>
        </is>
      </c>
      <c r="C6" t="inlineStr">
        <is>
          <t>Ville de Fontenay-aux-Roses</t>
        </is>
      </c>
      <c r="D6" t="inlineStr">
        <is>
          <t>https://www.marches-publics.info/accueil.htm</t>
        </is>
      </c>
      <c r="E6" t="inlineStr">
        <is>
          <t>https://www.marches-publics.info/accueil.htm</t>
        </is>
      </c>
      <c r="F6" t="inlineStr">
        <is>
          <t>LIEN_SEUL</t>
        </is>
      </c>
      <c r="G6" t="inlineStr">
        <is>
          <t>26-71986.pdf</t>
        </is>
      </c>
    </row>
    <row r="7">
      <c r="A7" t="inlineStr">
        <is>
          <t>26-73898</t>
        </is>
      </c>
      <c r="B7" t="inlineStr">
        <is>
          <t>Fourniture de petits matériels et de consommables d'entretien et d'hygiène</t>
        </is>
      </c>
      <c r="C7" t="inlineStr">
        <is>
          <t>Département des Hauts-de-Seine</t>
        </is>
      </c>
      <c r="D7" t="inlineStr">
        <is>
          <t>https://www.marches-publics.info/mpiaws/index.cfm?fuseaction=dematEnt.login&amp;amp;type=DCE&amp;amp;IDM=1854121</t>
        </is>
      </c>
      <c r="E7" t="inlineStr">
        <is>
          <t>https://www.marches-publics.info/mpiaws/index.cfm?fuseaction=dematEnt.login&amp;amp;type=DCE&amp;amp;IDM=1854121</t>
        </is>
      </c>
      <c r="F7" t="inlineStr">
        <is>
          <t>LIEN_SEUL</t>
        </is>
      </c>
      <c r="G7" t="inlineStr">
        <is>
          <t>26-73898.pdf</t>
        </is>
      </c>
    </row>
    <row r="8">
      <c r="A8" t="inlineStr">
        <is>
          <t>26-72955</t>
        </is>
      </c>
      <c r="B8" t="inlineStr">
        <is>
          <t>Prestations de nettoyage courant des locaux du CNRS et de vitreries incluant la fourniture des produits d’entretien et d’hygiène</t>
        </is>
      </c>
      <c r="C8" t="inlineStr">
        <is>
          <t>CNRS Délégation paris-Centre</t>
        </is>
      </c>
      <c r="D8" t="inlineStr">
        <is>
          <t>https://www.marches-publics.gouv.fr</t>
        </is>
      </c>
      <c r="E8" t="inlineStr">
        <is>
          <t>https://www.marches-publics.gouv.fr</t>
        </is>
      </c>
      <c r="F8" t="inlineStr">
        <is>
          <t>LIEN_SEUL</t>
        </is>
      </c>
      <c r="G8" t="inlineStr">
        <is>
          <t>26-72955.pdf</t>
        </is>
      </c>
    </row>
    <row r="9">
      <c r="A9" t="inlineStr">
        <is>
          <t>26-72105</t>
        </is>
      </c>
      <c r="B9" t="inlineStr">
        <is>
          <t>PRESTATIONS DE SERVICES DE NETTOYAGE ET BIONETTOYAGE DES LOCAUX, DE LA VITRERIE ET SERVICES ASSOCIES POUR LE CHIMM</t>
        </is>
      </c>
      <c r="C9" t="inlineStr">
        <is>
          <t>Centre Hospitalier Poissy/Saint-Germain-En-Laye</t>
        </is>
      </c>
      <c r="D9" t="inlineStr">
        <is>
          <t>https://marches.maximilien.fr/entreprise/consultation/943757?orgAcronyme=a2k</t>
        </is>
      </c>
      <c r="E9" t="inlineStr">
        <is>
          <t>https://marches.maximilien.fr/entreprise/consultation/943757?orgAcronyme=a2k</t>
        </is>
      </c>
      <c r="F9" t="inlineStr">
        <is>
          <t>LIEN_SEUL</t>
        </is>
      </c>
      <c r="G9" t="inlineStr">
        <is>
          <t>26-72105.pdf</t>
        </is>
      </c>
    </row>
    <row r="10">
      <c r="A10" t="inlineStr">
        <is>
          <t>26-70522</t>
        </is>
      </c>
      <c r="B10" t="inlineStr">
        <is>
          <t>PRESTATIONS DE COACHING ET D’ACCOMPAGNEMENT DES MEMBRES D’UN CODIR AU PROFIT DE L’EPIDE</t>
        </is>
      </c>
      <c r="C10" t="inlineStr">
        <is>
          <t>EPIDE</t>
        </is>
      </c>
      <c r="D10" t="inlineStr">
        <is>
          <t>https://www.epide.fr/</t>
        </is>
      </c>
      <c r="E10" t="inlineStr"/>
      <c r="F10" t="inlineStr">
        <is>
          <t>LIEN_SEUL</t>
        </is>
      </c>
      <c r="G10" t="inlineStr">
        <is>
          <t>26-70522.pdf</t>
        </is>
      </c>
    </row>
    <row r="11">
      <c r="A11" t="inlineStr">
        <is>
          <t>26-70503</t>
        </is>
      </c>
      <c r="B11" t="inlineStr">
        <is>
          <t>Prestations de nettoyage des locaux et de la vitrerie et prestations associées pour les sites du GHT Grand Paris Nord-Est</t>
        </is>
      </c>
      <c r="C11" t="inlineStr">
        <is>
          <t>GHT GPNE</t>
        </is>
      </c>
      <c r="D11" t="inlineStr">
        <is>
          <t>https://marches.maximilien.fr/entreprise/consultation/943277?orgAcronyme=a1j</t>
        </is>
      </c>
      <c r="E11" t="inlineStr">
        <is>
          <t>https://marches.maximilien.fr/entreprise/consultation/943277?orgAcronyme=a1j</t>
        </is>
      </c>
      <c r="F11" t="inlineStr">
        <is>
          <t>LIEN_SEUL</t>
        </is>
      </c>
      <c r="G11" t="inlineStr">
        <is>
          <t>26-70503.pdf</t>
        </is>
      </c>
    </row>
    <row r="12">
      <c r="A12" t="inlineStr">
        <is>
          <t>26-70841</t>
        </is>
      </c>
      <c r="B12" t="inlineStr">
        <is>
          <t>Prestations d'hébergement de l'Espace d'exposition faisant partie du pavillon Occitanie pour le 56e Salon International de l'Aéronautique et de l'Espace Paris - Relance consultation 26OCC09L</t>
        </is>
      </c>
      <c r="C12" t="inlineStr">
        <is>
          <t>CCI OCCITANIE PYRENEES-MEDITERRANEE</t>
        </is>
      </c>
      <c r="D12" t="inlineStr">
        <is>
          <t>https://www.marches-publics.gouv.fr/entreprise</t>
        </is>
      </c>
      <c r="E12" t="inlineStr">
        <is>
          <t>https://www.marches-publics.gouv.fr/entreprise</t>
        </is>
      </c>
      <c r="F12" t="inlineStr">
        <is>
          <t>LIEN_SEUL</t>
        </is>
      </c>
      <c r="G12" t="inlineStr">
        <is>
          <t>26-70841.pdf</t>
        </is>
      </c>
    </row>
    <row r="13">
      <c r="A13" t="inlineStr">
        <is>
          <t>26-70040</t>
        </is>
      </c>
      <c r="B13" t="inlineStr">
        <is>
          <t>Prestations de gardiennage et sécurité incendie pour le campus HEC Paris</t>
        </is>
      </c>
      <c r="C13" t="inlineStr">
        <is>
          <t>HEC Paris</t>
        </is>
      </c>
      <c r="D13" t="inlineStr">
        <is>
          <t>https://www.marches-publics.info/mpiaws/index.cfm?fuseaction=dematEnt.login&amp;amp;type=DCE&amp;amp;IDM=1850314</t>
        </is>
      </c>
      <c r="E13" t="inlineStr">
        <is>
          <t>https://www.marches-publics.info/mpiaws/index.cfm?fuseaction=dematEnt.login&amp;amp;type=DCE&amp;amp;IDM=1850314</t>
        </is>
      </c>
      <c r="F13" t="inlineStr">
        <is>
          <t>LIEN_SEUL</t>
        </is>
      </c>
      <c r="G13" t="inlineStr">
        <is>
          <t>26-70040.pdf</t>
        </is>
      </c>
    </row>
    <row r="14">
      <c r="A14" t="inlineStr">
        <is>
          <t>26-72867</t>
        </is>
      </c>
      <c r="B14" t="inlineStr">
        <is>
          <t>La présente consultation a pour objet des prestations de sécurité incendie, de gardiennage des locaux et d’assistance aux personnels et usagers de l’arrondissement judiciaire de Paris.</t>
        </is>
      </c>
      <c r="C14" t="inlineStr">
        <is>
          <t>Cour d'appel de Paris - SAR</t>
        </is>
      </c>
      <c r="D14" t="inlineStr">
        <is>
          <t>https://www.marches-publics.gouv.fr/entreprise</t>
        </is>
      </c>
      <c r="E14" t="inlineStr">
        <is>
          <t>https://www.marches-publics.gouv.fr/entreprise</t>
        </is>
      </c>
      <c r="F14" t="inlineStr">
        <is>
          <t>LIEN_SEUL</t>
        </is>
      </c>
      <c r="G14" t="inlineStr">
        <is>
          <t>26-72867.pdf</t>
        </is>
      </c>
    </row>
  </sheetData>
  <pageMargins left="0.75" right="0.75" top="1" bottom="1" header="0.5" footer="0.5"/>
  <tableParts count="1">
    <tablePart xmlns:r="http://schemas.openxmlformats.org/officeDocument/2006/relationships" r:id="rId1"/>
  </tableParts>
</worksheet>
</file>

<file path=xl/worksheets/sheet10.xml><?xml version="1.0" encoding="utf-8"?>
<worksheet xmlns="http://schemas.openxmlformats.org/spreadsheetml/2006/main">
  <sheetPr>
    <outlinePr summaryBelow="1" summaryRight="1"/>
    <pageSetUpPr/>
  </sheetPr>
  <dimension ref="A1:BM21"/>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0" customWidth="1" min="1" max="1"/>
    <col width="10" customWidth="1" min="2" max="2"/>
    <col width="55" customWidth="1" min="3" max="3"/>
    <col width="49" customWidth="1" min="4" max="4"/>
    <col width="16" customWidth="1" min="5" max="5"/>
    <col width="16" customWidth="1" min="6" max="6"/>
    <col width="47" customWidth="1" min="7" max="7"/>
    <col width="16" customWidth="1" min="8" max="8"/>
    <col width="43" customWidth="1" min="9" max="9"/>
    <col width="15" customWidth="1" min="10" max="10"/>
    <col width="43" customWidth="1" min="11" max="11"/>
    <col width="13" customWidth="1" min="12" max="12"/>
    <col width="17" customWidth="1" min="13" max="13"/>
    <col width="27" customWidth="1" min="14" max="14"/>
    <col width="24" customWidth="1" min="15" max="15"/>
    <col width="15" customWidth="1" min="16" max="16"/>
    <col width="18" customWidth="1" min="17" max="17"/>
    <col width="13" customWidth="1" min="18" max="18"/>
    <col width="19" customWidth="1" min="19" max="19"/>
    <col width="21" customWidth="1" min="20" max="20"/>
    <col width="19" customWidth="1" min="21" max="21"/>
    <col width="18" customWidth="1" min="22" max="22"/>
    <col width="13" customWidth="1" min="23" max="23"/>
    <col width="10" customWidth="1" min="24" max="24"/>
    <col width="13" customWidth="1" min="25" max="25"/>
    <col width="19" customWidth="1" min="26" max="26"/>
    <col width="16" customWidth="1" min="27" max="27"/>
    <col width="55" customWidth="1" min="28" max="28"/>
    <col width="33" customWidth="1" min="29" max="29"/>
    <col width="51" customWidth="1" min="30" max="30"/>
    <col width="55" customWidth="1" min="31" max="31"/>
    <col width="55" customWidth="1" min="32" max="32"/>
    <col width="30" customWidth="1" min="33" max="33"/>
    <col width="22" customWidth="1" min="34" max="34"/>
    <col width="18" customWidth="1" min="35" max="35"/>
    <col width="19" customWidth="1" min="36" max="36"/>
    <col width="14" customWidth="1" min="37" max="37"/>
    <col width="10" customWidth="1" min="38" max="38"/>
    <col width="21" customWidth="1" min="39" max="39"/>
    <col width="24" customWidth="1" min="40" max="40"/>
    <col width="23" customWidth="1" min="41" max="41"/>
    <col width="22" customWidth="1" min="42" max="42"/>
    <col width="24" customWidth="1" min="43" max="43"/>
    <col width="55" customWidth="1" min="44" max="44"/>
    <col width="31" customWidth="1" min="45" max="45"/>
    <col width="55" customWidth="1" min="46" max="46"/>
    <col width="40" customWidth="1" min="47" max="47"/>
    <col width="12" customWidth="1" min="48" max="48"/>
    <col width="12" customWidth="1" min="49" max="49"/>
    <col width="11" customWidth="1" min="50" max="50"/>
    <col width="10" customWidth="1" min="51" max="51"/>
    <col width="13" customWidth="1" min="52" max="52"/>
    <col width="12" customWidth="1" min="53" max="53"/>
    <col width="55" customWidth="1" min="54" max="54"/>
    <col width="55" customWidth="1" min="55" max="55"/>
    <col width="55" customWidth="1" min="56" max="56"/>
    <col width="55" customWidth="1" min="57" max="57"/>
    <col width="16" customWidth="1" min="58" max="58"/>
    <col width="13" customWidth="1" min="59" max="59"/>
    <col width="14" customWidth="1" min="60" max="60"/>
    <col width="14" customWidth="1" min="61" max="61"/>
    <col width="10" customWidth="1" min="62" max="62"/>
    <col width="12" customWidth="1" min="63" max="63"/>
    <col width="20" customWidth="1" min="64" max="64"/>
    <col width="13" customWidth="1" min="65" max="65"/>
  </cols>
  <sheetData>
    <row r="1">
      <c r="A1" s="12" t="inlineStr">
        <is>
          <t>source</t>
        </is>
      </c>
      <c r="B1" s="12" t="inlineStr">
        <is>
          <t>id_ao</t>
        </is>
      </c>
      <c r="C1" s="12" t="inlineStr">
        <is>
          <t>objet</t>
        </is>
      </c>
      <c r="D1" s="12" t="inlineStr">
        <is>
          <t>acheteur</t>
        </is>
      </c>
      <c r="E1" s="12" t="inlineStr">
        <is>
          <t>siret_acheteur</t>
        </is>
      </c>
      <c r="F1" s="12" t="inlineStr">
        <is>
          <t>siren_acheteur</t>
        </is>
      </c>
      <c r="G1" s="12" t="inlineStr">
        <is>
          <t>nom_contact</t>
        </is>
      </c>
      <c r="H1" s="12" t="inlineStr">
        <is>
          <t>prenom_contact</t>
        </is>
      </c>
      <c r="I1" s="12" t="inlineStr">
        <is>
          <t>email</t>
        </is>
      </c>
      <c r="J1" s="12" t="inlineStr">
        <is>
          <t>telephone</t>
        </is>
      </c>
      <c r="K1" s="12" t="inlineStr">
        <is>
          <t>adresse</t>
        </is>
      </c>
      <c r="L1" s="12" t="inlineStr">
        <is>
          <t>code_postal</t>
        </is>
      </c>
      <c r="M1" s="12" t="inlineStr">
        <is>
          <t>ville</t>
        </is>
      </c>
      <c r="N1" s="12" t="inlineStr">
        <is>
          <t>departement</t>
        </is>
      </c>
      <c r="O1" s="12" t="inlineStr">
        <is>
          <t>departement_prestation</t>
        </is>
      </c>
      <c r="P1" s="12" t="inlineStr">
        <is>
          <t>region</t>
        </is>
      </c>
      <c r="Q1" s="12" t="inlineStr">
        <is>
          <t>date_publication</t>
        </is>
      </c>
      <c r="R1" s="12" t="inlineStr">
        <is>
          <t>date_limite</t>
        </is>
      </c>
      <c r="S1" s="12" t="inlineStr">
        <is>
          <t>budget_estime_eur</t>
        </is>
      </c>
      <c r="T1" s="12" t="inlineStr">
        <is>
          <t>budget_statut</t>
        </is>
      </c>
      <c r="U1" s="12" t="inlineStr">
        <is>
          <t>budget_annuel_eur</t>
        </is>
      </c>
      <c r="V1" s="12" t="inlineStr">
        <is>
          <t>budget_annualise</t>
        </is>
      </c>
      <c r="W1" s="12" t="inlineStr">
        <is>
          <t>categorie</t>
        </is>
      </c>
      <c r="X1" s="12" t="inlineStr">
        <is>
          <t>secteur</t>
        </is>
      </c>
      <c r="Y1" s="12" t="inlineStr">
        <is>
          <t>type_marche</t>
        </is>
      </c>
      <c r="Z1" s="12" t="inlineStr">
        <is>
          <t>procedure</t>
        </is>
      </c>
      <c r="AA1" s="12" t="inlineStr">
        <is>
          <t>nature_avis</t>
        </is>
      </c>
      <c r="AB1" s="12" t="inlineStr">
        <is>
          <t>descripteur</t>
        </is>
      </c>
      <c r="AC1" s="12" t="inlineStr">
        <is>
          <t>criteres</t>
        </is>
      </c>
      <c r="AD1" s="12" t="inlineStr">
        <is>
          <t>url_avis</t>
        </is>
      </c>
      <c r="AE1" s="12" t="inlineStr">
        <is>
          <t>url_dce</t>
        </is>
      </c>
      <c r="AF1" s="12" t="inlineStr">
        <is>
          <t>url_profil_acheteur</t>
        </is>
      </c>
      <c r="AG1" s="12" t="inlineStr">
        <is>
          <t>mots_cles_detectes</t>
        </is>
      </c>
      <c r="AH1" s="12" t="inlineStr">
        <is>
          <t>nb_infos_disponibles</t>
        </is>
      </c>
      <c r="AI1" s="12" t="inlineStr">
        <is>
          <t>niveau_confiance</t>
        </is>
      </c>
      <c r="AJ1" s="12" t="inlineStr">
        <is>
          <t>statut_extraction</t>
        </is>
      </c>
      <c r="AK1" s="12" t="inlineStr">
        <is>
          <t>score_chruth</t>
        </is>
      </c>
      <c r="AL1" s="12" t="inlineStr">
        <is>
          <t>priorite</t>
        </is>
      </c>
      <c r="AM1" s="12" t="inlineStr">
        <is>
          <t>score_excel_formule</t>
        </is>
      </c>
      <c r="AN1" s="12" t="inlineStr">
        <is>
          <t>priorite_excel_formule</t>
        </is>
      </c>
      <c r="AO1" s="12" t="inlineStr">
        <is>
          <t>qualite_infos_formule</t>
        </is>
      </c>
      <c r="AP1" s="12" t="inlineStr">
        <is>
          <t>action_excel_formule</t>
        </is>
      </c>
      <c r="AQ1" s="12" t="inlineStr">
        <is>
          <t>ia_statut</t>
        </is>
      </c>
      <c r="AR1" s="12" t="inlineStr">
        <is>
          <t>ia_action_recommandee</t>
        </is>
      </c>
      <c r="AS1" s="12" t="inlineStr">
        <is>
          <t>ia_champs_a_completer</t>
        </is>
      </c>
      <c r="AT1" s="12" t="inlineStr">
        <is>
          <t>ia_prompt_verification</t>
        </is>
      </c>
      <c r="AU1" s="12" t="inlineStr">
        <is>
          <t>preuve_source</t>
        </is>
      </c>
      <c r="AV1" s="12" t="inlineStr">
        <is>
          <t>dce_statut</t>
        </is>
      </c>
      <c r="AW1" s="12" t="inlineStr">
        <is>
          <t>dce_budget</t>
        </is>
      </c>
      <c r="AX1" s="12" t="inlineStr">
        <is>
          <t>dce_email</t>
        </is>
      </c>
      <c r="AY1" s="12" t="inlineStr">
        <is>
          <t>dce_tel</t>
        </is>
      </c>
      <c r="AZ1" s="12" t="inlineStr">
        <is>
          <t>dce_contact</t>
        </is>
      </c>
      <c r="BA1" s="12" t="inlineStr">
        <is>
          <t>dce_resume</t>
        </is>
      </c>
      <c r="BB1" s="12" t="inlineStr">
        <is>
          <t>raisons_scoring</t>
        </is>
      </c>
      <c r="BC1" s="12" t="inlineStr">
        <is>
          <t>resume_commercial</t>
        </is>
      </c>
      <c r="BD1" s="12" t="inlineStr">
        <is>
          <t>proposition_message</t>
        </is>
      </c>
      <c r="BE1" s="12" t="inlineStr">
        <is>
          <t>script_appel</t>
        </is>
      </c>
      <c r="BF1" s="12" t="inlineStr">
        <is>
          <t>statut_contact</t>
        </is>
      </c>
      <c r="BG1" s="12" t="inlineStr">
        <is>
          <t>responsable</t>
        </is>
      </c>
      <c r="BH1" s="12" t="inlineStr">
        <is>
          <t>date_contact</t>
        </is>
      </c>
      <c r="BI1" s="12" t="inlineStr">
        <is>
          <t>date_relance</t>
        </is>
      </c>
      <c r="BJ1" s="12" t="inlineStr">
        <is>
          <t>reponse</t>
        </is>
      </c>
      <c r="BK1" s="12" t="inlineStr">
        <is>
          <t>rdv_obtenu</t>
        </is>
      </c>
      <c r="BL1" s="12" t="inlineStr">
        <is>
          <t>commentaire_humain</t>
        </is>
      </c>
      <c r="BM1" s="12" t="inlineStr">
        <is>
          <t>semaine_iso</t>
        </is>
      </c>
    </row>
    <row r="2">
      <c r="A2" t="inlineStr">
        <is>
          <t>BOAMP</t>
        </is>
      </c>
      <c r="B2" t="inlineStr">
        <is>
          <t>26-73275</t>
        </is>
      </c>
      <c r="C2" t="inlineStr">
        <is>
          <t>ENTRETIEN, REMISE EN ETAT ET AMENAGEMENT D'ESPACES VERTS POUR LA VILLE DE GENNEVILLIERS
LOT N°1 : Entretien des secteurs d'habitation Nord et du cimetière, remise en état et aménagement d'e</t>
        </is>
      </c>
      <c r="D2" t="inlineStr">
        <is>
          <t>Ville de Gennevilliers</t>
        </is>
      </c>
      <c r="E2" t="inlineStr"/>
      <c r="F2" t="inlineStr"/>
      <c r="G2" t="inlineStr"/>
      <c r="H2" t="inlineStr"/>
      <c r="I2" t="inlineStr">
        <is>
          <t>publications-joue@aws-france.com</t>
        </is>
      </c>
      <c r="J2" t="inlineStr">
        <is>
          <t>+33480041260</t>
        </is>
      </c>
      <c r="K2" t="inlineStr"/>
      <c r="L2" t="inlineStr"/>
      <c r="M2" t="inlineStr"/>
      <c r="N2" t="inlineStr">
        <is>
          <t>92</t>
        </is>
      </c>
      <c r="O2" t="inlineStr"/>
      <c r="P2" t="inlineStr">
        <is>
          <t>Ile-de-France</t>
        </is>
      </c>
      <c r="Q2" s="14" t="n">
        <v>46227</v>
      </c>
      <c r="R2" s="14" t="n">
        <v>46261</v>
      </c>
      <c r="S2" t="inlineStr"/>
      <c r="T2" t="inlineStr">
        <is>
          <t>A_VERIFIER_BUDGET</t>
        </is>
      </c>
      <c r="U2" t="inlineStr"/>
      <c r="V2" t="inlineStr">
        <is>
          <t>non</t>
        </is>
      </c>
      <c r="W2" t="inlineStr">
        <is>
          <t>Personnel</t>
        </is>
      </c>
      <c r="X2" t="inlineStr">
        <is>
          <t>Mairie</t>
        </is>
      </c>
      <c r="Y2" t="inlineStr">
        <is>
          <t>SERVICES</t>
        </is>
      </c>
      <c r="Z2" t="inlineStr">
        <is>
          <t>Procédure Ouverte</t>
        </is>
      </c>
      <c r="AA2" t="inlineStr">
        <is>
          <t>Avis de marché</t>
        </is>
      </c>
      <c r="AB2" t="inlineStr">
        <is>
          <t>Espaces verts, Prestations de services</t>
        </is>
      </c>
      <c r="AC2" t="inlineStr">
        <is>
          <t>['environnementaux']</t>
        </is>
      </c>
      <c r="AD2" s="10" t="inlineStr">
        <is>
          <t>https://www.boamp.fr/pages/avis/?q=idweb:26-73275</t>
        </is>
      </c>
      <c r="AE2" t="inlineStr">
        <is>
          <t>https://www.marches-publics.info/mpiaws/index.cfm?fuseaction=dematEnt.login&amp;amp;type=DCE&amp;amp;IDM=1848323</t>
        </is>
      </c>
      <c r="AF2" t="inlineStr">
        <is>
          <t>https://www.marches-publics.info/mpiaws/index.cfm?fuseaction=dematEnt.login&amp;amp;type=DCE&amp;amp;IDM=1848323</t>
        </is>
      </c>
      <c r="AG2" t="inlineStr">
        <is>
          <t>nettoyage</t>
        </is>
      </c>
      <c r="AH2" t="inlineStr">
        <is>
          <t>2</t>
        </is>
      </c>
      <c r="AI2" t="inlineStr">
        <is>
          <t>58</t>
        </is>
      </c>
      <c r="AJ2" t="inlineStr">
        <is>
          <t>INFO_PARTIELLE</t>
        </is>
      </c>
      <c r="AK2" t="inlineStr">
        <is>
          <t>80</t>
        </is>
      </c>
      <c r="AL2" s="13" t="inlineStr">
        <is>
          <t>CHAUD</t>
        </is>
      </c>
      <c r="AM2" t="inlineStr"/>
      <c r="AN2" t="inlineStr"/>
      <c r="AO2" t="inlineStr"/>
      <c r="AP2" t="inlineStr"/>
      <c r="AQ2" t="inlineStr">
        <is>
          <t>IA_BUDGET_A_VERIFIER</t>
        </is>
      </c>
      <c r="AR2" t="inlineStr">
        <is>
          <t>Verifier le budget dans l'avis source ou le DCE avant decision commerciale.</t>
        </is>
      </c>
      <c r="AS2" t="inlineStr">
        <is>
          <t>SIRET, adresse, ville, budget</t>
        </is>
      </c>
      <c r="AT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26-73275. Objet: ENTRETIEN, REMISE EN ETAT ET AMENAGEMENT D'ESPACES VERTS POUR LA VILLE DE GENNEVILLIERS
LOT N°1 : Entretien des secteurs d'habitation Nord et du cimetière, remise en état et aménagement d'e. Acheteur: Ville de Gennevilliers. Lien: https://www.boamp.fr/pages/avis/?q=idweb:26-73275.</t>
        </is>
      </c>
      <c r="AU2" t="inlineStr">
        <is>
          <t>Verifier url_avis et DCE si disponible</t>
        </is>
      </c>
      <c r="AV2" t="inlineStr">
        <is>
          <t>LIEN_SEUL</t>
        </is>
      </c>
      <c r="AW2" t="inlineStr"/>
      <c r="AX2" t="inlineStr"/>
      <c r="AY2" t="inlineStr"/>
      <c r="AZ2" t="inlineStr"/>
      <c r="BA2" t="inlineStr"/>
      <c r="BB2" t="inlineStr">
        <is>
          <t>+35 nettoyage + categorie claire | +10 budget non affiche (a verifier) | +15 procedure adaptee / MAPA / allotissement | +10 secteur cible Mairie | +10 delai confortable 30j</t>
        </is>
      </c>
      <c r="BC2" t="inlineStr">
        <is>
          <t>Ville de Gennevilliers publie un AO potentiellement pertinent pour CHRUTH : ENTRETIEN, REMISE EN ETAT ET AMENAGEMENT D'ESPACES VERTS POUR LA VILLE DE GENNEVILLIERS
LOT N°1 : Entretien des secteurs d'habitation Nord et du cimetière, remise en état et aménagement d'e. Zone : 92. Budget a verifier. Verifier le lien source avant contact.</t>
        </is>
      </c>
      <c r="BD2" t="inlineStr">
        <is>
          <t>Bonjour,
Je me permets de vous contacter au sujet de votre appel d'offres : ENTRETIEN, REMISE EN ETAT ET AMENAGEMENT D'ESPACES VERTS POUR LA VILLE DE GENNEVILLIERS
LOT N°1 : Entretien des secteurs d'habitation Nord et du cimetière, remise en état et aménagement d'e.
CHRUTH accompagne les structures publiques et privées sur les besoins de nettoyage, d'entretien des locaux et d'organisation de prestations de service.
Serait-il possible d'échanger rapidement afin de vérifier les modalités de réponse et les attentes de Ville de Gennevilliers ?
Cordialement,</t>
        </is>
      </c>
      <c r="BE2" t="inlineStr">
        <is>
          <t>Bonjour, je vous appelle concernant un appel d'offres publié par Ville de Gennevilliers. Je souhaite vérifier les informations pratiques : périmètre des prestations, date limite, modalités de visite, contact technique et pièces attendues. Pouvez-vous m'indiquer la bonne personne à contacter ?</t>
        </is>
      </c>
      <c r="BF2" t="inlineStr"/>
      <c r="BG2" t="inlineStr"/>
      <c r="BH2" t="inlineStr"/>
      <c r="BI2" t="inlineStr"/>
      <c r="BJ2" t="inlineStr"/>
      <c r="BK2" t="inlineStr"/>
      <c r="BL2" t="inlineStr"/>
      <c r="BM2" t="inlineStr">
        <is>
          <t>2026-W30</t>
        </is>
      </c>
    </row>
    <row r="3">
      <c r="A3" t="inlineStr">
        <is>
          <t>BOAMP</t>
        </is>
      </c>
      <c r="B3" t="inlineStr">
        <is>
          <t>26-74949</t>
        </is>
      </c>
      <c r="C3" t="inlineStr">
        <is>
          <t>Prestations D'Entretien Ménager Des Gymnases De La Ville De Roissy-En-Brie</t>
        </is>
      </c>
      <c r="D3" t="inlineStr">
        <is>
          <t>Mairie de Roissy-en-Brie</t>
        </is>
      </c>
      <c r="E3" t="inlineStr">
        <is>
          <t>21770390900010</t>
        </is>
      </c>
      <c r="F3" t="inlineStr">
        <is>
          <t>217703909</t>
        </is>
      </c>
      <c r="G3" t="inlineStr">
        <is>
          <t>Service Commande Publique</t>
        </is>
      </c>
      <c r="H3" t="inlineStr"/>
      <c r="I3" t="inlineStr"/>
      <c r="J3" t="inlineStr">
        <is>
          <t>0390900010</t>
        </is>
      </c>
      <c r="K3" t="inlineStr">
        <is>
          <t>77680 - ROISSY-EN-BRIE</t>
        </is>
      </c>
      <c r="L3" t="inlineStr">
        <is>
          <t>77680</t>
        </is>
      </c>
      <c r="M3" t="inlineStr">
        <is>
          <t>ROISSY EN BRIE</t>
        </is>
      </c>
      <c r="N3" t="inlineStr">
        <is>
          <t>77</t>
        </is>
      </c>
      <c r="O3" t="inlineStr"/>
      <c r="P3" t="inlineStr">
        <is>
          <t>Ile-de-France</t>
        </is>
      </c>
      <c r="Q3" s="14" t="n">
        <v>46230</v>
      </c>
      <c r="R3" s="14" t="n">
        <v>46262</v>
      </c>
      <c r="S3" s="15" t="n">
        <v>77680</v>
      </c>
      <c r="T3" t="inlineStr">
        <is>
          <t>BUDGET_SOUS_SEUIL</t>
        </is>
      </c>
      <c r="U3" t="inlineStr">
        <is>
          <t>77680.0</t>
        </is>
      </c>
      <c r="V3" t="inlineStr">
        <is>
          <t>non</t>
        </is>
      </c>
      <c r="W3" t="inlineStr">
        <is>
          <t>Batiments</t>
        </is>
      </c>
      <c r="X3" t="inlineStr">
        <is>
          <t>Mairie</t>
        </is>
      </c>
      <c r="Y3" t="inlineStr">
        <is>
          <t>SERVICES</t>
        </is>
      </c>
      <c r="Z3" t="inlineStr">
        <is>
          <t>Procédure Ouverte</t>
        </is>
      </c>
      <c r="AA3" t="inlineStr">
        <is>
          <t>Avis de marché</t>
        </is>
      </c>
      <c r="AB3" t="inlineStr">
        <is>
          <t>Nettoyage de locaux</t>
        </is>
      </c>
      <c r="AC3" t="inlineStr"/>
      <c r="AD3" s="10" t="inlineStr">
        <is>
          <t>https://www.boamp.fr/pages/avis/?q=idweb:26-74949</t>
        </is>
      </c>
      <c r="AE3" t="inlineStr">
        <is>
          <t>https://www.marches-publics.info/mpiaws/index.cfm?fuseaction=dematent.login&amp;type=Dce&amp;Idm=1855543</t>
        </is>
      </c>
      <c r="AF3" t="inlineStr">
        <is>
          <t>https://www.marches-publics.info/mpiaws/index.cfm?fuseaction=dematent.login&amp;type=Dce&amp;Idm=1855543</t>
        </is>
      </c>
      <c r="AG3" t="inlineStr">
        <is>
          <t>nettoyage, entretien menager</t>
        </is>
      </c>
      <c r="AH3" t="inlineStr">
        <is>
          <t>5</t>
        </is>
      </c>
      <c r="AI3" t="inlineStr">
        <is>
          <t>92</t>
        </is>
      </c>
      <c r="AJ3" t="inlineStr">
        <is>
          <t>INFO_PARTIELLE</t>
        </is>
      </c>
      <c r="AK3" t="inlineStr">
        <is>
          <t>75</t>
        </is>
      </c>
      <c r="AL3" s="13" t="inlineStr">
        <is>
          <t>CHAUD</t>
        </is>
      </c>
      <c r="AM3" t="inlineStr"/>
      <c r="AN3" t="inlineStr"/>
      <c r="AO3" t="inlineStr"/>
      <c r="AP3" t="inlineStr"/>
      <c r="AQ3" t="inlineStr">
        <is>
          <t>IA_CONTACT_A_COMPLETER</t>
        </is>
      </c>
      <c r="AR3" t="inlineStr">
        <is>
          <t>Completer les champs manquants depuis l'avis source, le site acheteur ou le DCE.</t>
        </is>
      </c>
      <c r="AS3" t="inlineStr">
        <is>
          <t>email</t>
        </is>
      </c>
      <c r="AT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26-74949. Objet: Prestations D'Entretien Ménager Des Gymnases De La Ville De Roissy-En-Brie. Acheteur: Mairie de Roissy-en-Brie. Lien: https://www.boamp.fr/pages/avis/?q=idweb:26-74949.</t>
        </is>
      </c>
      <c r="AU3" t="inlineStr">
        <is>
          <t>Verifier url_avis et DCE si disponible</t>
        </is>
      </c>
      <c r="AV3" t="inlineStr">
        <is>
          <t>LIEN_SEUL</t>
        </is>
      </c>
      <c r="AW3" t="inlineStr"/>
      <c r="AX3" t="inlineStr"/>
      <c r="AY3" t="inlineStr"/>
      <c r="AZ3" t="inlineStr"/>
      <c r="BA3" t="inlineStr"/>
      <c r="BB3" t="inlineStr">
        <is>
          <t>+35 nettoyage + categorie claire | +20 budget annualise &lt;= 100 000 EUR | +10 secteur cible Mairie | +10 delai confortable 31j</t>
        </is>
      </c>
      <c r="BC3" t="inlineStr">
        <is>
          <t>Mairie de Roissy-en-Brie publie un AO potentiellement pertinent pour CHRUTH : Prestations D'Entretien Ménager Des Gymnases De La Ville De Roissy-En-Brie. Zone : ROISSY EN BRIE. Budget detecte environ 77 680 EUR. Verifier le lien source avant contact.</t>
        </is>
      </c>
      <c r="BD3" t="inlineStr">
        <is>
          <t>Bonjour,
Je me permets de vous contacter au sujet de votre appel d'offres : Prestations D'Entretien Ménager Des Gymnases De La Ville De Roissy-En-Brie.
CHRUTH accompagne les structures publiques et privées sur les besoins de nettoyage, d'entretien des locaux et d'organisation de prestations de service.
Serait-il possible d'échanger rapidement afin de vérifier les modalités de réponse et les attentes de Mairie de Roissy-en-Brie ?
Cordialement,</t>
        </is>
      </c>
      <c r="BE3" t="inlineStr">
        <is>
          <t>Bonjour, je vous appelle concernant un appel d'offres publié par Mairie de Roissy-en-Brie. Je souhaite vérifier les informations pratiques : périmètre des prestations, date limite, modalités de visite, contact technique et pièces attendues. Pouvez-vous m'indiquer la bonne personne à contacter ?</t>
        </is>
      </c>
      <c r="BF3" t="inlineStr"/>
      <c r="BG3" t="inlineStr"/>
      <c r="BH3" t="inlineStr"/>
      <c r="BI3" t="inlineStr"/>
      <c r="BJ3" t="inlineStr"/>
      <c r="BK3" t="inlineStr"/>
      <c r="BL3" t="inlineStr"/>
      <c r="BM3" t="inlineStr">
        <is>
          <t>2026-W31</t>
        </is>
      </c>
    </row>
    <row r="4">
      <c r="A4" t="inlineStr">
        <is>
          <t>BOAMP</t>
        </is>
      </c>
      <c r="B4" t="inlineStr">
        <is>
          <t>26-74013</t>
        </is>
      </c>
      <c r="C4" t="inlineStr">
        <is>
          <t>Prestations de nettoyage des locaux de l'École nationale supérieure d’architecture de Paris-La Villette</t>
        </is>
      </c>
      <c r="D4" t="inlineStr">
        <is>
          <t>ENSA Paris-La Villette</t>
        </is>
      </c>
      <c r="E4" t="inlineStr">
        <is>
          <t>19751875600014</t>
        </is>
      </c>
      <c r="F4" t="inlineStr">
        <is>
          <t>197518756</t>
        </is>
      </c>
      <c r="G4" t="inlineStr">
        <is>
          <t>ACHOUR</t>
        </is>
      </c>
      <c r="H4" t="inlineStr"/>
      <c r="I4" t="inlineStr">
        <is>
          <t>safae.achour@paris-lavillette.archi.fr</t>
        </is>
      </c>
      <c r="J4" t="inlineStr">
        <is>
          <t>07-23 2026-09</t>
        </is>
      </c>
      <c r="K4" t="inlineStr">
        <is>
          <t>75019</t>
        </is>
      </c>
      <c r="L4" t="inlineStr">
        <is>
          <t>75019</t>
        </is>
      </c>
      <c r="M4" t="inlineStr">
        <is>
          <t>Paris</t>
        </is>
      </c>
      <c r="N4" t="inlineStr">
        <is>
          <t>75,92,93,91,95,77,94</t>
        </is>
      </c>
      <c r="O4" t="inlineStr"/>
      <c r="P4" t="inlineStr">
        <is>
          <t>Ile-de-France</t>
        </is>
      </c>
      <c r="Q4" s="14" t="n">
        <v>46226</v>
      </c>
      <c r="R4" s="14" t="n">
        <v>46293</v>
      </c>
      <c r="S4" s="15" t="n">
        <v>75019</v>
      </c>
      <c r="T4" t="inlineStr">
        <is>
          <t>BUDGET_SOUS_SEUIL</t>
        </is>
      </c>
      <c r="U4" t="inlineStr">
        <is>
          <t>75019.0</t>
        </is>
      </c>
      <c r="V4" t="inlineStr">
        <is>
          <t>non</t>
        </is>
      </c>
      <c r="W4" t="inlineStr">
        <is>
          <t>Batiments</t>
        </is>
      </c>
      <c r="X4" t="inlineStr">
        <is>
          <t>Ecole</t>
        </is>
      </c>
      <c r="Y4" t="inlineStr">
        <is>
          <t>SERVICES</t>
        </is>
      </c>
      <c r="Z4" t="inlineStr">
        <is>
          <t>Procédure Ouverte</t>
        </is>
      </c>
      <c r="AA4" t="inlineStr">
        <is>
          <t>Avis de marché</t>
        </is>
      </c>
      <c r="AB4" t="inlineStr">
        <is>
          <t>Nettoyage de locaux</t>
        </is>
      </c>
      <c r="AC4" t="inlineStr"/>
      <c r="AD4" s="10" t="inlineStr">
        <is>
          <t>https://www.boamp.fr/pages/avis/?q=idweb:26-74013</t>
        </is>
      </c>
      <c r="AE4" t="inlineStr">
        <is>
          <t>https://www.marches-publics.gouv.fr/entreprise/consultation/3044724?orgAcronyme=f5j</t>
        </is>
      </c>
      <c r="AF4" t="inlineStr">
        <is>
          <t>https://www.marches-publics.gouv.fr/entreprise/consultation/3044724?orgAcronyme=f5j</t>
        </is>
      </c>
      <c r="AG4" t="inlineStr">
        <is>
          <t>nettoyage</t>
        </is>
      </c>
      <c r="AH4" t="inlineStr">
        <is>
          <t>6</t>
        </is>
      </c>
      <c r="AI4" t="inlineStr">
        <is>
          <t>98</t>
        </is>
      </c>
      <c r="AJ4" t="inlineStr">
        <is>
          <t>INFO_PARTIELLE</t>
        </is>
      </c>
      <c r="AK4" t="inlineStr">
        <is>
          <t>75</t>
        </is>
      </c>
      <c r="AL4" s="13" t="inlineStr">
        <is>
          <t>CHAUD</t>
        </is>
      </c>
      <c r="AM4" t="inlineStr"/>
      <c r="AN4" t="inlineStr"/>
      <c r="AO4" t="inlineStr"/>
      <c r="AP4" t="inlineStr"/>
      <c r="AQ4" t="inlineStr">
        <is>
          <t>IA_CONTROLE_SOURCE</t>
        </is>
      </c>
      <c r="AR4" t="inlineStr">
        <is>
          <t>Verifier rapidement la source avant contact.</t>
        </is>
      </c>
      <c r="AS4" t="inlineStr">
        <is>
          <t>Aucun champ critique manquant</t>
        </is>
      </c>
      <c r="AT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26-74013. Objet: Prestations de nettoyage des locaux de l'École nationale supérieure d’architecture de Paris-La Villette. Acheteur: ENSA Paris-La Villette. Lien: https://www.boamp.fr/pages/avis/?q=idweb:26-74013.</t>
        </is>
      </c>
      <c r="AU4" t="inlineStr">
        <is>
          <t>Verifier url_avis et DCE si disponible</t>
        </is>
      </c>
      <c r="AV4" t="inlineStr"/>
      <c r="AW4" t="inlineStr"/>
      <c r="AX4" t="inlineStr"/>
      <c r="AY4" t="inlineStr"/>
      <c r="AZ4" t="inlineStr"/>
      <c r="BA4" t="inlineStr"/>
      <c r="BB4" t="inlineStr">
        <is>
          <t>+35 nettoyage + categorie claire | +20 budget annualise &lt;= 100 000 EUR | +10 secteur cible Ecole | +10 delai confortable 62j</t>
        </is>
      </c>
      <c r="BC4" t="inlineStr">
        <is>
          <t>ENSA Paris-La Villette publie un AO potentiellement pertinent pour CHRUTH : Prestations de nettoyage des locaux de l'École nationale supérieure d’architecture de Paris-La Villette. Zone : Paris. Budget detecte environ 75 019 EUR. Verifier le lien source avant contact.</t>
        </is>
      </c>
      <c r="BD4" t="inlineStr">
        <is>
          <t>Bonjour,
Je me permets de vous contacter au sujet de votre appel d'offres : Prestations de nettoyage des locaux de l'École nationale supérieure d’architecture de Paris-La Villette.
CHRUTH accompagne les structures publiques et privées sur les besoins de nettoyage, d'entretien des locaux et d'organisation de prestations de service.
Serait-il possible d'échanger rapidement afin de vérifier les modalités de réponse et les attentes de ENSA Paris-La Villette ?
Cordialement,</t>
        </is>
      </c>
      <c r="BE4" t="inlineStr">
        <is>
          <t>Bonjour, je vous appelle concernant un appel d'offres publié par ENSA Paris-La Villette. Je souhaite vérifier les informations pratiques : périmètre des prestations, date limite, modalités de visite, contact technique et pièces attendues. Pouvez-vous m'indiquer la bonne personne à contacter ?</t>
        </is>
      </c>
      <c r="BF4" t="inlineStr"/>
      <c r="BG4" t="inlineStr"/>
      <c r="BH4" t="inlineStr"/>
      <c r="BI4" t="inlineStr"/>
      <c r="BJ4" t="inlineStr"/>
      <c r="BK4" t="inlineStr"/>
      <c r="BL4" t="inlineStr"/>
      <c r="BM4" t="inlineStr">
        <is>
          <t>2026-W30</t>
        </is>
      </c>
    </row>
    <row r="5">
      <c r="A5" t="inlineStr">
        <is>
          <t>BOAMP</t>
        </is>
      </c>
      <c r="B5" t="inlineStr">
        <is>
          <t>26-72283</t>
        </is>
      </c>
      <c r="C5" t="inlineStr">
        <is>
          <t>Prestation d'écrivains publics interprètes à Montreuil</t>
        </is>
      </c>
      <c r="D5" t="inlineStr">
        <is>
          <t>Mairie de Montreuil</t>
        </is>
      </c>
      <c r="E5" t="inlineStr">
        <is>
          <t>21930048000015</t>
        </is>
      </c>
      <c r="F5" t="inlineStr">
        <is>
          <t>219300480</t>
        </is>
      </c>
      <c r="G5" t="inlineStr">
        <is>
          <t>Service des achats et de la commande publique</t>
        </is>
      </c>
      <c r="H5" t="inlineStr"/>
      <c r="I5" t="inlineStr">
        <is>
          <t>sacop@montreuil.fr</t>
        </is>
      </c>
      <c r="J5" t="inlineStr">
        <is>
          <t>+33 331487060</t>
        </is>
      </c>
      <c r="K5" t="inlineStr">
        <is>
          <t>(93) Seine-Saint-Denis</t>
        </is>
      </c>
      <c r="L5" t="inlineStr">
        <is>
          <t>93100</t>
        </is>
      </c>
      <c r="M5" t="inlineStr">
        <is>
          <t>Montreuil</t>
        </is>
      </c>
      <c r="N5" t="inlineStr">
        <is>
          <t>93</t>
        </is>
      </c>
      <c r="O5" t="inlineStr"/>
      <c r="P5" t="inlineStr">
        <is>
          <t>Ile-de-France</t>
        </is>
      </c>
      <c r="Q5" s="14" t="n">
        <v>46223</v>
      </c>
      <c r="R5" s="14" t="n">
        <v>46276</v>
      </c>
      <c r="S5" s="15" t="n">
        <v>93100</v>
      </c>
      <c r="T5" t="inlineStr">
        <is>
          <t>BUDGET_SOUS_SEUIL</t>
        </is>
      </c>
      <c r="U5" t="inlineStr">
        <is>
          <t>93100.0</t>
        </is>
      </c>
      <c r="V5" t="inlineStr">
        <is>
          <t>non</t>
        </is>
      </c>
      <c r="W5" t="inlineStr">
        <is>
          <t>Batiments</t>
        </is>
      </c>
      <c r="X5" t="inlineStr">
        <is>
          <t>Mairie</t>
        </is>
      </c>
      <c r="Y5" t="inlineStr">
        <is>
          <t>SERVICES</t>
        </is>
      </c>
      <c r="Z5" t="inlineStr">
        <is>
          <t>Procédure Ouverte</t>
        </is>
      </c>
      <c r="AA5" t="inlineStr">
        <is>
          <t>Avis de marché</t>
        </is>
      </c>
      <c r="AB5" t="inlineStr">
        <is>
          <t>Nettoyage de locaux</t>
        </is>
      </c>
      <c r="AC5" t="inlineStr"/>
      <c r="AD5" s="10" t="inlineStr">
        <is>
          <t>https://www.boamp.fr/pages/avis/?q=idweb:26-72283</t>
        </is>
      </c>
      <c r="AE5" t="inlineStr">
        <is>
          <t>https://marches.maximilien.fr/entreprise/consultation/943753?orgAcronyme=d6a</t>
        </is>
      </c>
      <c r="AF5" t="inlineStr">
        <is>
          <t>https://marches.maximilien.fr/entreprise/consultation/943753?orgAcronyme=d6a</t>
        </is>
      </c>
      <c r="AG5" t="inlineStr">
        <is>
          <t>nettoyage</t>
        </is>
      </c>
      <c r="AH5" t="inlineStr">
        <is>
          <t>6</t>
        </is>
      </c>
      <c r="AI5" t="inlineStr">
        <is>
          <t>98</t>
        </is>
      </c>
      <c r="AJ5" t="inlineStr">
        <is>
          <t>INFO_PARTIELLE</t>
        </is>
      </c>
      <c r="AK5" t="inlineStr">
        <is>
          <t>75</t>
        </is>
      </c>
      <c r="AL5" s="13" t="inlineStr">
        <is>
          <t>CHAUD</t>
        </is>
      </c>
      <c r="AM5" t="inlineStr"/>
      <c r="AN5" t="inlineStr"/>
      <c r="AO5" t="inlineStr"/>
      <c r="AP5" t="inlineStr"/>
      <c r="AQ5" t="inlineStr">
        <is>
          <t>IA_CONTROLE_SOURCE</t>
        </is>
      </c>
      <c r="AR5" t="inlineStr">
        <is>
          <t>Verifier rapidement la source avant contact.</t>
        </is>
      </c>
      <c r="AS5" t="inlineStr">
        <is>
          <t>Aucun champ critique manquant</t>
        </is>
      </c>
      <c r="AT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26-72283. Objet: Prestation d'écrivains publics interprètes à Montreuil. Acheteur: Mairie de Montreuil. Lien: https://www.boamp.fr/pages/avis/?q=idweb:26-72283.</t>
        </is>
      </c>
      <c r="AU5" t="inlineStr">
        <is>
          <t>Verifier url_avis et DCE si disponible</t>
        </is>
      </c>
      <c r="AV5" t="inlineStr"/>
      <c r="AW5" t="inlineStr"/>
      <c r="AX5" t="inlineStr"/>
      <c r="AY5" t="inlineStr"/>
      <c r="AZ5" t="inlineStr"/>
      <c r="BA5" t="inlineStr"/>
      <c r="BB5" t="inlineStr">
        <is>
          <t>+35 nettoyage + categorie claire | +20 budget annualise &lt;= 100 000 EUR | +10 secteur cible Mairie | +10 delai confortable 45j</t>
        </is>
      </c>
      <c r="BC5" t="inlineStr">
        <is>
          <t>Mairie de Montreuil publie un AO potentiellement pertinent pour CHRUTH : Prestation d'écrivains publics interprètes à Montreuil. Zone : Montreuil. Budget detecte environ 93 100 EUR. Verifier le lien source avant contact.</t>
        </is>
      </c>
      <c r="BD5" t="inlineStr">
        <is>
          <t>Bonjour,
Je me permets de vous contacter au sujet de votre appel d'offres : Prestation d'écrivains publics interprètes à Montreuil.
CHRUTH accompagne les structures publiques et privées sur les besoins de nettoyage, d'entretien des locaux et d'organisation de prestations de service.
Serait-il possible d'échanger rapidement afin de vérifier les modalités de réponse et les attentes de Mairie de Montreuil ?
Cordialement,</t>
        </is>
      </c>
      <c r="BE5" t="inlineStr">
        <is>
          <t>Bonjour, je vous appelle concernant un appel d'offres publié par Mairie de Montreuil. Je souhaite vérifier les informations pratiques : périmètre des prestations, date limite, modalités de visite, contact technique et pièces attendues. Pouvez-vous m'indiquer la bonne personne à contacter ?</t>
        </is>
      </c>
      <c r="BF5" t="inlineStr"/>
      <c r="BG5" t="inlineStr"/>
      <c r="BH5" t="inlineStr"/>
      <c r="BI5" t="inlineStr"/>
      <c r="BJ5" t="inlineStr"/>
      <c r="BK5" t="inlineStr"/>
      <c r="BL5" t="inlineStr"/>
      <c r="BM5" t="inlineStr">
        <is>
          <t>2026-W30</t>
        </is>
      </c>
    </row>
    <row r="6">
      <c r="A6" t="inlineStr">
        <is>
          <t>BOAMP</t>
        </is>
      </c>
      <c r="B6" t="inlineStr">
        <is>
          <t>26-70858</t>
        </is>
      </c>
      <c r="C6" t="inlineStr">
        <is>
          <t>Nettoyage des locaux de l'EPAMSA</t>
        </is>
      </c>
      <c r="D6" t="inlineStr">
        <is>
          <t>EPAMSA</t>
        </is>
      </c>
      <c r="E6" t="inlineStr">
        <is>
          <t>41063810000033</t>
        </is>
      </c>
      <c r="F6" t="inlineStr">
        <is>
          <t>410638100</t>
        </is>
      </c>
      <c r="G6" t="inlineStr">
        <is>
          <t>Courteille</t>
        </is>
      </c>
      <c r="H6" t="inlineStr"/>
      <c r="I6" t="inlineStr">
        <is>
          <t>t.courteille@epamsa.fr</t>
        </is>
      </c>
      <c r="J6" t="inlineStr">
        <is>
          <t>0638100000</t>
        </is>
      </c>
      <c r="K6" t="inlineStr">
        <is>
          <t>Mantes-la-Jolie</t>
        </is>
      </c>
      <c r="L6" t="inlineStr">
        <is>
          <t>78200</t>
        </is>
      </c>
      <c r="M6" t="inlineStr">
        <is>
          <t>MANTES-LA-JOLIE</t>
        </is>
      </c>
      <c r="N6" t="inlineStr">
        <is>
          <t>78</t>
        </is>
      </c>
      <c r="O6" t="inlineStr"/>
      <c r="P6" t="inlineStr">
        <is>
          <t>Ile-de-France</t>
        </is>
      </c>
      <c r="Q6" s="14" t="n">
        <v>46219</v>
      </c>
      <c r="R6" s="14" t="n">
        <v>46269</v>
      </c>
      <c r="S6" s="15" t="n">
        <v>78200</v>
      </c>
      <c r="T6" t="inlineStr">
        <is>
          <t>BUDGET_SOUS_SEUIL</t>
        </is>
      </c>
      <c r="U6" t="inlineStr">
        <is>
          <t>19550</t>
        </is>
      </c>
      <c r="V6" t="inlineStr">
        <is>
          <t>oui</t>
        </is>
      </c>
      <c r="W6" t="inlineStr">
        <is>
          <t>Batiments</t>
        </is>
      </c>
      <c r="X6" t="inlineStr">
        <is>
          <t>Autre</t>
        </is>
      </c>
      <c r="Y6" t="inlineStr">
        <is>
          <t>SERVICES</t>
        </is>
      </c>
      <c r="Z6" t="inlineStr">
        <is>
          <t>Procédure Ouverte</t>
        </is>
      </c>
      <c r="AA6" t="inlineStr">
        <is>
          <t>Avis de marché</t>
        </is>
      </c>
      <c r="AB6" t="inlineStr">
        <is>
          <t>Nettoyage de locaux</t>
        </is>
      </c>
      <c r="AC6" t="inlineStr">
        <is>
          <t>['sociaux', 'environnementaux']</t>
        </is>
      </c>
      <c r="AD6" s="10" t="inlineStr">
        <is>
          <t>https://www.boamp.fr/pages/avis/?q=idweb:26-70858</t>
        </is>
      </c>
      <c r="AE6" t="inlineStr">
        <is>
          <t>https://www.marches-publics.gouv.fr/entreprise/consultation/3039334?orgAcronyme=d4t</t>
        </is>
      </c>
      <c r="AF6" t="inlineStr">
        <is>
          <t>https://www.marches-publics.gouv.fr/entreprise/consultation/3039334?orgAcronyme=d4t</t>
        </is>
      </c>
      <c r="AG6" t="inlineStr">
        <is>
          <t>nettoyage</t>
        </is>
      </c>
      <c r="AH6" t="inlineStr">
        <is>
          <t>6</t>
        </is>
      </c>
      <c r="AI6" t="inlineStr">
        <is>
          <t>98</t>
        </is>
      </c>
      <c r="AJ6" t="inlineStr">
        <is>
          <t>INFO_PARTIELLE</t>
        </is>
      </c>
      <c r="AK6" t="inlineStr">
        <is>
          <t>70</t>
        </is>
      </c>
      <c r="AL6" s="13" t="inlineStr">
        <is>
          <t>CHAUD</t>
        </is>
      </c>
      <c r="AM6" t="inlineStr"/>
      <c r="AN6" t="inlineStr"/>
      <c r="AO6" t="inlineStr"/>
      <c r="AP6" t="inlineStr"/>
      <c r="AQ6" t="inlineStr">
        <is>
          <t>IA_CONTROLE_SOURCE</t>
        </is>
      </c>
      <c r="AR6" t="inlineStr">
        <is>
          <t>Verifier rapidement la source avant contact.</t>
        </is>
      </c>
      <c r="AS6" t="inlineStr">
        <is>
          <t>Aucun champ critique manquant</t>
        </is>
      </c>
      <c r="AT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26-70858. Objet: Nettoyage des locaux de l'EPAMSA. Acheteur: EPAMSA. Lien: https://www.boamp.fr/pages/avis/?q=idweb:26-70858.</t>
        </is>
      </c>
      <c r="AU6" t="inlineStr">
        <is>
          <t>Verifier url_avis et DCE si disponible</t>
        </is>
      </c>
      <c r="AV6" t="inlineStr"/>
      <c r="AW6" t="inlineStr"/>
      <c r="AX6" t="inlineStr"/>
      <c r="AY6" t="inlineStr"/>
      <c r="AZ6" t="inlineStr"/>
      <c r="BA6" t="inlineStr"/>
      <c r="BB6" t="inlineStr">
        <is>
          <t>+35 nettoyage + categorie claire | +25 budget annualise &lt;= 50 000 EUR | +10 delai confortable 38j</t>
        </is>
      </c>
      <c r="BC6" t="inlineStr">
        <is>
          <t>EPAMSA publie un AO potentiellement pertinent pour CHRUTH : Nettoyage des locaux de l'EPAMSA. Zone : MANTES-LA-JOLIE. Budget detecte environ 78 200 EUR. Verifier le lien source avant contact.</t>
        </is>
      </c>
      <c r="BD6" t="inlineStr">
        <is>
          <t>Bonjour,
Je me permets de vous contacter au sujet de votre appel d'offres : Nettoyage des locaux de l'EPAMSA.
CHRUTH accompagne les structures publiques et privées sur les besoins de nettoyage, d'entretien des locaux et d'organisation de prestations de service.
Serait-il possible d'échanger rapidement afin de vérifier les modalités de réponse et les attentes de EPAMSA ?
Cordialement,</t>
        </is>
      </c>
      <c r="BE6" t="inlineStr">
        <is>
          <t>Bonjour, je vous appelle concernant un appel d'offres publié par EPAMSA. Je souhaite vérifier les informations pratiques : périmètre des prestations, date limite, modalités de visite, contact technique et pièces attendues. Pouvez-vous m'indiquer la bonne personne à contacter ?</t>
        </is>
      </c>
      <c r="BF6" t="inlineStr"/>
      <c r="BG6" t="inlineStr"/>
      <c r="BH6" t="inlineStr"/>
      <c r="BI6" t="inlineStr"/>
      <c r="BJ6" t="inlineStr"/>
      <c r="BK6" t="inlineStr"/>
      <c r="BL6" t="inlineStr"/>
      <c r="BM6" t="inlineStr">
        <is>
          <t>2026-W29</t>
        </is>
      </c>
    </row>
    <row r="7">
      <c r="A7" t="inlineStr">
        <is>
          <t>BOAMP</t>
        </is>
      </c>
      <c r="B7" t="inlineStr">
        <is>
          <t>26-70565</t>
        </is>
      </c>
      <c r="C7" t="inlineStr">
        <is>
          <t>TRAVAUX D'AMÉNAGEMENT INTÉRIEUR DU R+1 ET COMBLE DE LA FERME DURPÉ</t>
        </is>
      </c>
      <c r="D7" t="inlineStr">
        <is>
          <t>COMMUNE DE MAGNY LE HONGRE</t>
        </is>
      </c>
      <c r="E7" t="inlineStr">
        <is>
          <t>21770268700013</t>
        </is>
      </c>
      <c r="F7" t="inlineStr">
        <is>
          <t>217702687</t>
        </is>
      </c>
      <c r="G7" t="inlineStr">
        <is>
          <t>M. SOW LAMARANA</t>
        </is>
      </c>
      <c r="H7" t="inlineStr"/>
      <c r="I7" t="inlineStr">
        <is>
          <t>service-mp@magnylehongre.fr</t>
        </is>
      </c>
      <c r="J7" t="inlineStr">
        <is>
          <t>0268700013</t>
        </is>
      </c>
      <c r="K7" t="inlineStr">
        <is>
          <t>1 rue de l'Église - 77700 MAGNY LE HONGRE</t>
        </is>
      </c>
      <c r="L7" t="inlineStr">
        <is>
          <t>77700</t>
        </is>
      </c>
      <c r="M7" t="inlineStr">
        <is>
          <t>MAGNY LE HONGRE</t>
        </is>
      </c>
      <c r="N7" t="inlineStr">
        <is>
          <t>77,75,78,91</t>
        </is>
      </c>
      <c r="O7" t="inlineStr"/>
      <c r="P7" t="inlineStr">
        <is>
          <t>Ile-de-France</t>
        </is>
      </c>
      <c r="Q7" s="14" t="n">
        <v>46218</v>
      </c>
      <c r="R7" s="14" t="n">
        <v>46275</v>
      </c>
      <c r="S7" s="15" t="n">
        <v>77700</v>
      </c>
      <c r="T7" t="inlineStr">
        <is>
          <t>BUDGET_SOUS_SEUIL</t>
        </is>
      </c>
      <c r="U7" t="inlineStr">
        <is>
          <t>77700.0</t>
        </is>
      </c>
      <c r="V7" t="inlineStr">
        <is>
          <t>non</t>
        </is>
      </c>
      <c r="W7" t="inlineStr">
        <is>
          <t>Mixte/Autre</t>
        </is>
      </c>
      <c r="X7" t="inlineStr">
        <is>
          <t>Mairie</t>
        </is>
      </c>
      <c r="Y7" t="inlineStr">
        <is>
          <t>TRAVAUX</t>
        </is>
      </c>
      <c r="Z7" t="inlineStr">
        <is>
          <t>Procédure Ouverte</t>
        </is>
      </c>
      <c r="AA7" t="inlineStr">
        <is>
          <t>Avis de marché</t>
        </is>
      </c>
      <c r="AB7" t="inlineStr">
        <is>
          <t>Plomberie (travaux), Peinture (travaux), Electricité (travaux)</t>
        </is>
      </c>
      <c r="AC7" t="inlineStr">
        <is>
          <t>['environnementaux']</t>
        </is>
      </c>
      <c r="AD7" s="10" t="inlineStr">
        <is>
          <t>https://www.boamp.fr/pages/avis/?q=idweb:26-70565</t>
        </is>
      </c>
      <c r="AE7" t="inlineStr">
        <is>
          <t>https://marches.maximilien.fr/?page=Entreprise.EntrepriseAdvancedSearch&amp;AllCons&amp;id=942965&amp;orgAcronyme=a4d</t>
        </is>
      </c>
      <c r="AF7" t="inlineStr">
        <is>
          <t>https://marches.maximilien.fr/?page=Entreprise.EntrepriseAdvancedSearch&amp;AllCons&amp;id=942965&amp;orgAcronyme=a4d</t>
        </is>
      </c>
      <c r="AG7" t="inlineStr">
        <is>
          <t>nettoyage</t>
        </is>
      </c>
      <c r="AH7" t="inlineStr">
        <is>
          <t>6</t>
        </is>
      </c>
      <c r="AI7" t="inlineStr">
        <is>
          <t>98</t>
        </is>
      </c>
      <c r="AJ7" t="inlineStr">
        <is>
          <t>INFO_PARTIELLE</t>
        </is>
      </c>
      <c r="AK7" t="inlineStr">
        <is>
          <t>70</t>
        </is>
      </c>
      <c r="AL7" s="13" t="inlineStr">
        <is>
          <t>CHAUD</t>
        </is>
      </c>
      <c r="AM7" t="inlineStr"/>
      <c r="AN7" t="inlineStr"/>
      <c r="AO7" t="inlineStr"/>
      <c r="AP7" t="inlineStr"/>
      <c r="AQ7" t="inlineStr">
        <is>
          <t>IA_CONTROLE_SOURCE</t>
        </is>
      </c>
      <c r="AR7" t="inlineStr">
        <is>
          <t>Verifier rapidement la source avant contact.</t>
        </is>
      </c>
      <c r="AS7" t="inlineStr">
        <is>
          <t>Aucun champ critique manquant</t>
        </is>
      </c>
      <c r="AT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26-70565. Objet: TRAVAUX D'AMÉNAGEMENT INTÉRIEUR DU R+1 ET COMBLE DE LA FERME DURPÉ. Acheteur: COMMUNE DE MAGNY LE HONGRE. Lien: https://www.boamp.fr/pages/avis/?q=idweb:26-70565.</t>
        </is>
      </c>
      <c r="AU7" t="inlineStr">
        <is>
          <t>Verifier url_avis et DCE si disponible</t>
        </is>
      </c>
      <c r="AV7" t="inlineStr"/>
      <c r="AW7" t="inlineStr"/>
      <c r="AX7" t="inlineStr"/>
      <c r="AY7" t="inlineStr"/>
      <c r="AZ7" t="inlineStr"/>
      <c r="BA7" t="inlineStr"/>
      <c r="BB7" t="inlineStr">
        <is>
          <t>+30 mots-cles nettoyage forts | +20 budget annualise &lt;= 100 000 EUR | +10 secteur cible Mairie | +10 delai confortable 44j</t>
        </is>
      </c>
      <c r="BC7" t="inlineStr">
        <is>
          <t>COMMUNE DE MAGNY LE HONGRE publie un AO potentiellement pertinent pour CHRUTH : TRAVAUX D'AMÉNAGEMENT INTÉRIEUR DU R+1 ET COMBLE DE LA FERME DURPÉ. Zone : MAGNY LE HONGRE. Budget detecte environ 77 700 EUR. Verifier le lien source avant contact.</t>
        </is>
      </c>
      <c r="BD7" t="inlineStr">
        <is>
          <t>Bonjour,
Je me permets de vous contacter au sujet de votre appel d'offres : TRAVAUX D'AMÉNAGEMENT INTÉRIEUR DU R+1 ET COMBLE DE LA FERME DURPÉ.
CHRUTH accompagne les structures publiques et privées sur les besoins de nettoyage, d'entretien des locaux et d'organisation de prestations de service.
Serait-il possible d'échanger rapidement afin de vérifier les modalités de réponse et les attentes de COMMUNE DE MAGNY LE HONGRE ?
Cordialement,</t>
        </is>
      </c>
      <c r="BE7" t="inlineStr">
        <is>
          <t>Bonjour, je vous appelle concernant un appel d'offres publié par COMMUNE DE MAGNY LE HONGRE. Je souhaite vérifier les informations pratiques : périmètre des prestations, date limite, modalités de visite, contact technique et pièces attendues. Pouvez-vous m'indiquer la bonne personne à contacter ?</t>
        </is>
      </c>
      <c r="BF7" t="inlineStr"/>
      <c r="BG7" t="inlineStr"/>
      <c r="BH7" t="inlineStr"/>
      <c r="BI7" t="inlineStr"/>
      <c r="BJ7" t="inlineStr"/>
      <c r="BK7" t="inlineStr"/>
      <c r="BL7" t="inlineStr"/>
      <c r="BM7" t="inlineStr">
        <is>
          <t>2026-W29</t>
        </is>
      </c>
    </row>
    <row r="8">
      <c r="A8" t="inlineStr">
        <is>
          <t>BOAMP</t>
        </is>
      </c>
      <c r="B8" t="inlineStr">
        <is>
          <t>26-72708</t>
        </is>
      </c>
      <c r="C8" t="inlineStr">
        <is>
          <t>Entretien ménager des locaux des sites mégalithiques de Carnac et Locmariaquer</t>
        </is>
      </c>
      <c r="D8" t="inlineStr">
        <is>
          <t>Centre Monuments Nationaux</t>
        </is>
      </c>
      <c r="E8" t="inlineStr">
        <is>
          <t>18004601300017</t>
        </is>
      </c>
      <c r="F8" t="inlineStr">
        <is>
          <t>180046013</t>
        </is>
      </c>
      <c r="G8" t="inlineStr"/>
      <c r="H8" t="inlineStr"/>
      <c r="I8" t="inlineStr">
        <is>
          <t>marches-publics@monuments-nationaux.fr</t>
        </is>
      </c>
      <c r="J8" t="inlineStr">
        <is>
          <t>0460130001</t>
        </is>
      </c>
      <c r="K8" t="inlineStr"/>
      <c r="L8" t="inlineStr"/>
      <c r="M8" t="inlineStr"/>
      <c r="N8" t="inlineStr">
        <is>
          <t>75,56</t>
        </is>
      </c>
      <c r="O8" t="inlineStr"/>
      <c r="P8" t="inlineStr">
        <is>
          <t>Ile-de-France</t>
        </is>
      </c>
      <c r="Q8" s="14" t="n">
        <v>46226</v>
      </c>
      <c r="R8" s="14" t="n">
        <v>46276</v>
      </c>
      <c r="S8" s="15" t="n">
        <v>60000</v>
      </c>
      <c r="T8" t="inlineStr">
        <is>
          <t>BUDGET_SOUS_SEUIL</t>
        </is>
      </c>
      <c r="U8" t="inlineStr">
        <is>
          <t>60000.0</t>
        </is>
      </c>
      <c r="V8" t="inlineStr">
        <is>
          <t>non</t>
        </is>
      </c>
      <c r="W8" t="inlineStr">
        <is>
          <t>Batiments</t>
        </is>
      </c>
      <c r="X8" t="inlineStr">
        <is>
          <t>Autre</t>
        </is>
      </c>
      <c r="Y8" t="inlineStr">
        <is>
          <t>SERVICES</t>
        </is>
      </c>
      <c r="Z8" t="inlineStr">
        <is>
          <t>Procédure Ouverte</t>
        </is>
      </c>
      <c r="AA8" t="inlineStr">
        <is>
          <t>Avis de marché</t>
        </is>
      </c>
      <c r="AB8" t="inlineStr">
        <is>
          <t>Nettoyage de locaux, Monuments historiques</t>
        </is>
      </c>
      <c r="AC8" t="inlineStr"/>
      <c r="AD8" s="10" t="inlineStr">
        <is>
          <t>https://www.boamp.fr/pages/avis/?q=idweb:26-72708</t>
        </is>
      </c>
      <c r="AE8" t="inlineStr">
        <is>
          <t>https://www.marches-publics.gouv.fr/entreprise</t>
        </is>
      </c>
      <c r="AF8" t="inlineStr">
        <is>
          <t>https://www.marches-publics.gouv.fr/entreprise</t>
        </is>
      </c>
      <c r="AG8" t="inlineStr">
        <is>
          <t>nettoyage, entretien menager</t>
        </is>
      </c>
      <c r="AH8" t="inlineStr">
        <is>
          <t>3</t>
        </is>
      </c>
      <c r="AI8" t="inlineStr">
        <is>
          <t>72</t>
        </is>
      </c>
      <c r="AJ8" t="inlineStr">
        <is>
          <t>INFO_PARTIELLE</t>
        </is>
      </c>
      <c r="AK8" t="inlineStr">
        <is>
          <t>65</t>
        </is>
      </c>
      <c r="AL8" s="13" t="inlineStr">
        <is>
          <t>CHAUD</t>
        </is>
      </c>
      <c r="AM8" t="inlineStr"/>
      <c r="AN8" t="inlineStr"/>
      <c r="AO8" t="inlineStr"/>
      <c r="AP8" t="inlineStr"/>
      <c r="AQ8" t="inlineStr">
        <is>
          <t>IA_CONTACT_A_COMPLETER</t>
        </is>
      </c>
      <c r="AR8" t="inlineStr">
        <is>
          <t>Completer les champs manquants depuis l'avis source, le site acheteur ou le DCE.</t>
        </is>
      </c>
      <c r="AS8" t="inlineStr">
        <is>
          <t>adresse, ville</t>
        </is>
      </c>
      <c r="AT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26-72708. Objet: Entretien ménager des locaux des sites mégalithiques de Carnac et Locmariaquer. Acheteur: Centre Monuments Nationaux. Lien: https://www.boamp.fr/pages/avis/?q=idweb:26-72708.</t>
        </is>
      </c>
      <c r="AU8" t="inlineStr">
        <is>
          <t>Verifier url_avis et DCE si disponible</t>
        </is>
      </c>
      <c r="AV8" t="inlineStr"/>
      <c r="AW8" t="inlineStr"/>
      <c r="AX8" t="inlineStr"/>
      <c r="AY8" t="inlineStr"/>
      <c r="AZ8" t="inlineStr"/>
      <c r="BA8" t="inlineStr"/>
      <c r="BB8" t="inlineStr">
        <is>
          <t>+35 nettoyage + categorie claire | +20 budget annualise &lt;= 100 000 EUR | +10 delai confortable 45j</t>
        </is>
      </c>
      <c r="BC8" t="inlineStr">
        <is>
          <t>Centre Monuments Nationaux publie un AO potentiellement pertinent pour CHRUTH : Entretien ménager des locaux des sites mégalithiques de Carnac et Locmariaquer. Zone : 75,56. Budget detecte environ 60 000 EUR. Verifier le lien source avant contact.</t>
        </is>
      </c>
      <c r="BD8" t="inlineStr">
        <is>
          <t>Bonjour,
Je me permets de vous contacter au sujet de votre appel d'offres : Entretien ménager des locaux des sites mégalithiques de Carnac et Locmariaquer.
CHRUTH accompagne les structures publiques et privées sur les besoins de nettoyage, d'entretien des locaux et d'organisation de prestations de service.
Serait-il possible d'échanger rapidement afin de vérifier les modalités de réponse et les attentes de Centre Monuments Nationaux ?
Cordialement,</t>
        </is>
      </c>
      <c r="BE8" t="inlineStr">
        <is>
          <t>Bonjour, je vous appelle concernant un appel d'offres publié par Centre Monuments Nationaux. Je souhaite vérifier les informations pratiques : périmètre des prestations, date limite, modalités de visite, contact technique et pièces attendues. Pouvez-vous m'indiquer la bonne personne à contacter ?</t>
        </is>
      </c>
      <c r="BF8" t="inlineStr"/>
      <c r="BG8" t="inlineStr"/>
      <c r="BH8" t="inlineStr"/>
      <c r="BI8" t="inlineStr"/>
      <c r="BJ8" t="inlineStr"/>
      <c r="BK8" t="inlineStr"/>
      <c r="BL8" t="inlineStr"/>
      <c r="BM8" t="inlineStr">
        <is>
          <t>2026-W30</t>
        </is>
      </c>
    </row>
    <row r="9">
      <c r="A9" t="inlineStr">
        <is>
          <t>BOAMP</t>
        </is>
      </c>
      <c r="B9" t="inlineStr">
        <is>
          <t>26-71675</t>
        </is>
      </c>
      <c r="C9" t="inlineStr">
        <is>
          <t>Décontamination, dépoussiérage et reconditionnement des réserves documentaires n°2 et 3 du Château de Sceaux</t>
        </is>
      </c>
      <c r="D9" t="inlineStr">
        <is>
          <t>Département des Hauts-de-Seine</t>
        </is>
      </c>
      <c r="E9" t="inlineStr">
        <is>
          <t>22920050600611</t>
        </is>
      </c>
      <c r="F9" t="inlineStr">
        <is>
          <t>229200506</t>
        </is>
      </c>
      <c r="G9" t="inlineStr">
        <is>
          <t>cellulecontact.achats@hauts-de-seine.fr</t>
        </is>
      </c>
      <c r="H9" t="inlineStr"/>
      <c r="I9" t="inlineStr">
        <is>
          <t>cellulecontact.achats@hauts-de-seine.fr</t>
        </is>
      </c>
      <c r="J9" t="inlineStr">
        <is>
          <t>+33 806000092</t>
        </is>
      </c>
      <c r="K9" t="inlineStr">
        <is>
          <t>Château de Sceaux 92330 - SCEAUX</t>
        </is>
      </c>
      <c r="L9" t="inlineStr">
        <is>
          <t>92000</t>
        </is>
      </c>
      <c r="M9" t="inlineStr">
        <is>
          <t>NANTERRE</t>
        </is>
      </c>
      <c r="N9" t="inlineStr">
        <is>
          <t>92</t>
        </is>
      </c>
      <c r="O9" t="inlineStr"/>
      <c r="P9" t="inlineStr">
        <is>
          <t>Ile-de-France</t>
        </is>
      </c>
      <c r="Q9" s="14" t="n">
        <v>46220</v>
      </c>
      <c r="R9" s="14" t="n">
        <v>46276</v>
      </c>
      <c r="S9" s="15" t="n">
        <v>92000</v>
      </c>
      <c r="T9" t="inlineStr">
        <is>
          <t>BUDGET_SOUS_SEUIL</t>
        </is>
      </c>
      <c r="U9" t="inlineStr">
        <is>
          <t>92000.0</t>
        </is>
      </c>
      <c r="V9" t="inlineStr">
        <is>
          <t>non</t>
        </is>
      </c>
      <c r="W9" t="inlineStr">
        <is>
          <t>Batiments</t>
        </is>
      </c>
      <c r="X9" t="inlineStr">
        <is>
          <t>Autre</t>
        </is>
      </c>
      <c r="Y9" t="inlineStr">
        <is>
          <t>SERVICES</t>
        </is>
      </c>
      <c r="Z9" t="inlineStr">
        <is>
          <t>Procédure Ouverte</t>
        </is>
      </c>
      <c r="AA9" t="inlineStr">
        <is>
          <t>Avis de marché</t>
        </is>
      </c>
      <c r="AB9" t="inlineStr">
        <is>
          <t>Prestations de services</t>
        </is>
      </c>
      <c r="AC9" t="inlineStr">
        <is>
          <t>['environnementaux']</t>
        </is>
      </c>
      <c r="AD9" s="10" t="inlineStr">
        <is>
          <t>https://www.boamp.fr/pages/avis/?q=idweb:26-71675</t>
        </is>
      </c>
      <c r="AE9" t="inlineStr">
        <is>
          <t>https://www.marches-publics.info/mpiaws/index.cfm?fuseaction=dematent.login&amp;type=Dce&amp;Idm=1851815</t>
        </is>
      </c>
      <c r="AF9" t="inlineStr">
        <is>
          <t>https://www.marches-publics.info/mpiaws/index.cfm?fuseaction=dematent.login&amp;type=Dce&amp;Idm=1851815</t>
        </is>
      </c>
      <c r="AG9" t="inlineStr">
        <is>
          <t>nettoyage</t>
        </is>
      </c>
      <c r="AH9" t="inlineStr">
        <is>
          <t>6</t>
        </is>
      </c>
      <c r="AI9" t="inlineStr">
        <is>
          <t>98</t>
        </is>
      </c>
      <c r="AJ9" t="inlineStr">
        <is>
          <t>INFO_PARTIELLE</t>
        </is>
      </c>
      <c r="AK9" t="inlineStr">
        <is>
          <t>65</t>
        </is>
      </c>
      <c r="AL9" s="13" t="inlineStr">
        <is>
          <t>CHAUD</t>
        </is>
      </c>
      <c r="AM9" t="inlineStr"/>
      <c r="AN9" t="inlineStr"/>
      <c r="AO9" t="inlineStr"/>
      <c r="AP9" t="inlineStr"/>
      <c r="AQ9" t="inlineStr">
        <is>
          <t>IA_CONTROLE_SOURCE</t>
        </is>
      </c>
      <c r="AR9" t="inlineStr">
        <is>
          <t>Verifier rapidement la source avant contact.</t>
        </is>
      </c>
      <c r="AS9" t="inlineStr">
        <is>
          <t>Aucun champ critique manquant</t>
        </is>
      </c>
      <c r="AT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26-71675. Objet: Décontamination, dépoussiérage et reconditionnement des réserves documentaires n°2 et 3 du Château de Sceaux. Acheteur: Département des Hauts-de-Seine. Lien: https://www.boamp.fr/pages/avis/?q=idweb:26-71675.</t>
        </is>
      </c>
      <c r="AU9" t="inlineStr">
        <is>
          <t>Verifier url_avis et DCE si disponible</t>
        </is>
      </c>
      <c r="AV9" t="inlineStr"/>
      <c r="AW9" t="inlineStr"/>
      <c r="AX9" t="inlineStr"/>
      <c r="AY9" t="inlineStr"/>
      <c r="AZ9" t="inlineStr"/>
      <c r="BA9" t="inlineStr"/>
      <c r="BB9" t="inlineStr">
        <is>
          <t>+35 nettoyage + categorie claire | +20 budget annualise &lt;= 100 000 EUR | +10 delai confortable 45j</t>
        </is>
      </c>
      <c r="BC9" t="inlineStr">
        <is>
          <t>Département des Hauts-de-Seine publie un AO potentiellement pertinent pour CHRUTH : Décontamination, dépoussiérage et reconditionnement des réserves documentaires n°2 et 3 du Château de Sceaux. Zone : NANTERRE. Budget detecte environ 92 000 EUR. Verifier le lien source avant contact.</t>
        </is>
      </c>
      <c r="BD9" t="inlineStr">
        <is>
          <t>Bonjour,
Je me permets de vous contacter au sujet de votre appel d'offres : Décontamination, dépoussiérage et reconditionnement des réserves documentaires n°2 et 3 du Château de Sceaux.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9"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9" t="inlineStr"/>
      <c r="BG9" t="inlineStr"/>
      <c r="BH9" t="inlineStr"/>
      <c r="BI9" t="inlineStr"/>
      <c r="BJ9" t="inlineStr"/>
      <c r="BK9" t="inlineStr"/>
      <c r="BL9" t="inlineStr"/>
      <c r="BM9" t="inlineStr">
        <is>
          <t>2026-W29</t>
        </is>
      </c>
    </row>
    <row r="10">
      <c r="A10" t="inlineStr">
        <is>
          <t>BOAMP</t>
        </is>
      </c>
      <c r="B10" t="inlineStr">
        <is>
          <t>26-71198</t>
        </is>
      </c>
      <c r="C10" t="inlineStr">
        <is>
          <t>CONCESSION DE SERVICE PUBLIC 
PORTANT SUR LA GESTION ET L'EXPLOITATION DES MARCHES FORAINS DE LA VILLE DE MONTROUGE</t>
        </is>
      </c>
      <c r="D10" t="inlineStr">
        <is>
          <t>Ville de Montrouge</t>
        </is>
      </c>
      <c r="E10" t="inlineStr"/>
      <c r="F10" t="inlineStr"/>
      <c r="G10" t="inlineStr">
        <is>
          <t>Le Bassard</t>
        </is>
      </c>
      <c r="H10" t="inlineStr"/>
      <c r="I10" t="inlineStr">
        <is>
          <t>marches@ville-montrouge.fr</t>
        </is>
      </c>
      <c r="J10" t="inlineStr">
        <is>
          <t>0146127303</t>
        </is>
      </c>
      <c r="K10" t="inlineStr"/>
      <c r="L10" t="inlineStr">
        <is>
          <t>92121</t>
        </is>
      </c>
      <c r="M10" t="inlineStr">
        <is>
          <t>Montrouge cedex</t>
        </is>
      </c>
      <c r="N10" t="inlineStr">
        <is>
          <t>92,75</t>
        </is>
      </c>
      <c r="O10" t="inlineStr"/>
      <c r="P10" t="inlineStr">
        <is>
          <t>Ile-de-France</t>
        </is>
      </c>
      <c r="Q10" s="14" t="n">
        <v>46219</v>
      </c>
      <c r="R10" s="14" t="n">
        <v>46295</v>
      </c>
      <c r="S10" t="inlineStr"/>
      <c r="T10" t="inlineStr">
        <is>
          <t>A_VERIFIER_BUDGET</t>
        </is>
      </c>
      <c r="U10" t="inlineStr"/>
      <c r="V10" t="inlineStr">
        <is>
          <t>non</t>
        </is>
      </c>
      <c r="W10" t="inlineStr">
        <is>
          <t>Batiments</t>
        </is>
      </c>
      <c r="X10" t="inlineStr">
        <is>
          <t>Mairie</t>
        </is>
      </c>
      <c r="Y10" t="inlineStr">
        <is>
          <t>SERVICES</t>
        </is>
      </c>
      <c r="Z10" t="inlineStr">
        <is>
          <t>Procédure NC</t>
        </is>
      </c>
      <c r="AA10" t="inlineStr">
        <is>
          <t>Avis de marché</t>
        </is>
      </c>
      <c r="AB10" t="inlineStr">
        <is>
          <t>Denrées alimentaires</t>
        </is>
      </c>
      <c r="AC10" t="inlineStr">
        <is>
          <t>['sociaux', 'environnementaux']</t>
        </is>
      </c>
      <c r="AD10" s="10" t="inlineStr">
        <is>
          <t>https://www.boamp.fr/pages/avis/?q=idweb:26-71198</t>
        </is>
      </c>
      <c r="AE10" t="inlineStr">
        <is>
          <t>https://www.achatpublic.com/sdm/ent2/gen/index.jsp</t>
        </is>
      </c>
      <c r="AF10" t="inlineStr">
        <is>
          <t>https://www.achatpublic.com/sdm/ent2/gen/index.jsp</t>
        </is>
      </c>
      <c r="AG10" t="inlineStr">
        <is>
          <t>nettoyage, proprete</t>
        </is>
      </c>
      <c r="AH10" t="inlineStr">
        <is>
          <t>4</t>
        </is>
      </c>
      <c r="AI10" t="inlineStr">
        <is>
          <t>86</t>
        </is>
      </c>
      <c r="AJ10" t="inlineStr">
        <is>
          <t>INFO_PARTIELLE</t>
        </is>
      </c>
      <c r="AK10" t="inlineStr">
        <is>
          <t>65</t>
        </is>
      </c>
      <c r="AL10" s="13" t="inlineStr">
        <is>
          <t>CHAUD</t>
        </is>
      </c>
      <c r="AM10" t="inlineStr"/>
      <c r="AN10" t="inlineStr"/>
      <c r="AO10" t="inlineStr"/>
      <c r="AP10" t="inlineStr"/>
      <c r="AQ10" t="inlineStr">
        <is>
          <t>IA_BUDGET_A_VERIFIER</t>
        </is>
      </c>
      <c r="AR10" t="inlineStr">
        <is>
          <t>Verifier le budget dans l'avis source ou le DCE avant decision commerciale.</t>
        </is>
      </c>
      <c r="AS10" t="inlineStr">
        <is>
          <t>SIRET, adresse, budget</t>
        </is>
      </c>
      <c r="AT1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26-71198. Objet: CONCESSION DE SERVICE PUBLIC 
PORTANT SUR LA GESTION ET L'EXPLOITATION DES MARCHES FORAINS DE LA VILLE DE MONTROUGE. Acheteur: Ville de Montrouge. Lien: https://www.boamp.fr/pages/avis/?q=idweb:26-71198.</t>
        </is>
      </c>
      <c r="AU10" t="inlineStr">
        <is>
          <t>Verifier url_avis et DCE si disponible</t>
        </is>
      </c>
      <c r="AV10" t="inlineStr">
        <is>
          <t>LIEN_SEUL</t>
        </is>
      </c>
      <c r="AW10" t="inlineStr"/>
      <c r="AX10" t="inlineStr"/>
      <c r="AY10" t="inlineStr"/>
      <c r="AZ10" t="inlineStr"/>
      <c r="BA10" t="inlineStr"/>
      <c r="BB10" t="inlineStr">
        <is>
          <t>+35 nettoyage + categorie claire | +10 budget non affiche (a verifier) | +10 secteur cible Mairie | +10 delai confortable 64j</t>
        </is>
      </c>
      <c r="BC10" t="inlineStr">
        <is>
          <t>Ville de Montrouge publie un AO potentiellement pertinent pour CHRUTH : CONCESSION DE SERVICE PUBLIC 
PORTANT SUR LA GESTION ET L'EXPLOITATION DES MARCHES FORAINS DE LA VILLE DE MONTROUGE. Zone : Montrouge cedex. Budget a verifier. Verifier le lien source avant contact.</t>
        </is>
      </c>
      <c r="BD10" t="inlineStr">
        <is>
          <t>Bonjour,
Je me permets de vous contacter au sujet de votre appel d'offres : CONCESSION DE SERVICE PUBLIC 
PORTANT SUR LA GESTION ET L'EXPLOITATION DES MARCHES FORAINS DE LA VILLE DE MONTROUGE.
CHRUTH accompagne les structures publiques et privées sur les besoins de nettoyage, d'entretien des locaux et d'organisation de prestations de service.
Serait-il possible d'échanger rapidement afin de vérifier les modalités de réponse et les attentes de Ville de Montrouge ?
Cordialement,</t>
        </is>
      </c>
      <c r="BE10" t="inlineStr">
        <is>
          <t>Bonjour, je vous appelle concernant un appel d'offres publié par Ville de Montrouge. Je souhaite vérifier les informations pratiques : périmètre des prestations, date limite, modalités de visite, contact technique et pièces attendues. Pouvez-vous m'indiquer la bonne personne à contacter ?</t>
        </is>
      </c>
      <c r="BF10" t="inlineStr"/>
      <c r="BG10" t="inlineStr"/>
      <c r="BH10" t="inlineStr"/>
      <c r="BI10" t="inlineStr"/>
      <c r="BJ10" t="inlineStr"/>
      <c r="BK10" t="inlineStr"/>
      <c r="BL10" t="inlineStr"/>
      <c r="BM10" t="inlineStr">
        <is>
          <t>2026-W29</t>
        </is>
      </c>
    </row>
    <row r="11">
      <c r="A11" t="inlineStr">
        <is>
          <t>BOAMP</t>
        </is>
      </c>
      <c r="B11" t="inlineStr">
        <is>
          <t>26-72948</t>
        </is>
      </c>
      <c r="C11" t="inlineStr">
        <is>
          <t>26MF026 - Fourniture d'appareils ménagers et d'équipements professionnels</t>
        </is>
      </c>
      <c r="D11" t="inlineStr">
        <is>
          <t>Ville de Plaisir</t>
        </is>
      </c>
      <c r="E11" t="inlineStr">
        <is>
          <t>21780490500016</t>
        </is>
      </c>
      <c r="F11" t="inlineStr">
        <is>
          <t>217804905</t>
        </is>
      </c>
      <c r="G11" t="inlineStr"/>
      <c r="H11" t="inlineStr"/>
      <c r="I11" t="inlineStr">
        <is>
          <t>vermuseau-ma@ville-plaisir.fr</t>
        </is>
      </c>
      <c r="J11" t="inlineStr">
        <is>
          <t>0490500016</t>
        </is>
      </c>
      <c r="K11" t="inlineStr"/>
      <c r="L11" t="inlineStr"/>
      <c r="M11" t="inlineStr"/>
      <c r="N11" t="inlineStr">
        <is>
          <t>78</t>
        </is>
      </c>
      <c r="O11" t="inlineStr"/>
      <c r="P11" t="inlineStr">
        <is>
          <t>Ile-de-France</t>
        </is>
      </c>
      <c r="Q11" s="14" t="n">
        <v>46226</v>
      </c>
      <c r="R11" s="14" t="n">
        <v>46261</v>
      </c>
      <c r="S11" t="inlineStr"/>
      <c r="T11" t="inlineStr">
        <is>
          <t>A_VERIFIER_BUDGET</t>
        </is>
      </c>
      <c r="U11" t="inlineStr"/>
      <c r="V11" t="inlineStr">
        <is>
          <t>non</t>
        </is>
      </c>
      <c r="W11" t="inlineStr">
        <is>
          <t>Mixte/Autre</t>
        </is>
      </c>
      <c r="X11" t="inlineStr">
        <is>
          <t>Mairie</t>
        </is>
      </c>
      <c r="Y11" t="inlineStr">
        <is>
          <t>FOURNITURES</t>
        </is>
      </c>
      <c r="Z11" t="inlineStr">
        <is>
          <t>Procédure Ouverte</t>
        </is>
      </c>
      <c r="AA11" t="inlineStr">
        <is>
          <t>Avis de marché</t>
        </is>
      </c>
      <c r="AB11" t="inlineStr">
        <is>
          <t>Electroménager</t>
        </is>
      </c>
      <c r="AC11" t="inlineStr"/>
      <c r="AD11" s="10" t="inlineStr">
        <is>
          <t>https://www.boamp.fr/pages/avis/?q=idweb:26-72948</t>
        </is>
      </c>
      <c r="AE11" t="inlineStr">
        <is>
          <t>https://ville-plaisir.e-marches-publics.com</t>
        </is>
      </c>
      <c r="AF11" t="inlineStr"/>
      <c r="AG11" t="inlineStr">
        <is>
          <t>nettoyage</t>
        </is>
      </c>
      <c r="AH11" t="inlineStr">
        <is>
          <t>3</t>
        </is>
      </c>
      <c r="AI11" t="inlineStr">
        <is>
          <t>68</t>
        </is>
      </c>
      <c r="AJ11" t="inlineStr">
        <is>
          <t>INFO_PARTIELLE</t>
        </is>
      </c>
      <c r="AK11" t="inlineStr">
        <is>
          <t>60</t>
        </is>
      </c>
      <c r="AL11" t="inlineStr">
        <is>
          <t>TIEDE</t>
        </is>
      </c>
      <c r="AM11" t="inlineStr"/>
      <c r="AN11" t="inlineStr"/>
      <c r="AO11" t="inlineStr"/>
      <c r="AP11" t="inlineStr"/>
      <c r="AQ11" t="inlineStr">
        <is>
          <t>IA_BUDGET_A_VERIFIER</t>
        </is>
      </c>
      <c r="AR11" t="inlineStr">
        <is>
          <t>Verifier le budget dans l'avis source ou le DCE avant decision commerciale.</t>
        </is>
      </c>
      <c r="AS11" t="inlineStr">
        <is>
          <t>adresse, ville, budget</t>
        </is>
      </c>
      <c r="AT1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26-72948. Objet: 26MF026 - Fourniture d'appareils ménagers et d'équipements professionnels. Acheteur: Ville de Plaisir. Lien: https://www.boamp.fr/pages/avis/?q=idweb:26-72948.</t>
        </is>
      </c>
      <c r="AU11" t="inlineStr">
        <is>
          <t>Verifier url_avis et DCE si disponible</t>
        </is>
      </c>
      <c r="AV11" t="inlineStr">
        <is>
          <t>LIEN_SEUL</t>
        </is>
      </c>
      <c r="AW11" t="inlineStr"/>
      <c r="AX11" t="inlineStr"/>
      <c r="AY11" t="inlineStr"/>
      <c r="AZ11" t="inlineStr"/>
      <c r="BA11" t="inlineStr"/>
      <c r="BB11" t="inlineStr">
        <is>
          <t>+30 mots-cles nettoyage forts | +10 budget non affiche (a verifier) | +10 secteur cible Mairie | +10 delai confortable 30j</t>
        </is>
      </c>
      <c r="BC11" t="inlineStr">
        <is>
          <t>Ville de Plaisir publie un AO potentiellement pertinent pour CHRUTH : 26MF026 - Fourniture d'appareils ménagers et d'équipements professionnels. Zone : 78. Budget a verifier. Verifier le lien source avant contact.</t>
        </is>
      </c>
      <c r="BD11" t="inlineStr">
        <is>
          <t>Bonjour,
Je me permets de vous contacter au sujet de votre appel d'offres : 26MF026 - Fourniture d'appareils ménagers et d'équipements professionnels.
CHRUTH accompagne les structures publiques et privées sur les besoins de nettoyage, d'entretien des locaux et d'organisation de prestations de service.
Serait-il possible d'échanger rapidement afin de vérifier les modalités de réponse et les attentes de Ville de Plaisir ?
Cordialement,</t>
        </is>
      </c>
      <c r="BE11" t="inlineStr">
        <is>
          <t>Bonjour, je vous appelle concernant un appel d'offres publié par Ville de Plaisir. Je souhaite vérifier les informations pratiques : périmètre des prestations, date limite, modalités de visite, contact technique et pièces attendues. Pouvez-vous m'indiquer la bonne personne à contacter ?</t>
        </is>
      </c>
      <c r="BF11" t="inlineStr"/>
      <c r="BG11" t="inlineStr"/>
      <c r="BH11" t="inlineStr"/>
      <c r="BI11" t="inlineStr"/>
      <c r="BJ11" t="inlineStr"/>
      <c r="BK11" t="inlineStr"/>
      <c r="BL11" t="inlineStr"/>
      <c r="BM11" t="inlineStr">
        <is>
          <t>2026-W30</t>
        </is>
      </c>
    </row>
    <row r="12">
      <c r="A12" t="inlineStr">
        <is>
          <t>BOAMP</t>
        </is>
      </c>
      <c r="B12" t="inlineStr">
        <is>
          <t>26-71986</t>
        </is>
      </c>
      <c r="C12" t="inlineStr">
        <is>
          <t>Nettoyage des locaux communaux et des vitreries des bâtiments communaux</t>
        </is>
      </c>
      <c r="D12" t="inlineStr">
        <is>
          <t>Ville de Fontenay-aux-Roses</t>
        </is>
      </c>
      <c r="E12" t="inlineStr"/>
      <c r="F12" t="inlineStr"/>
      <c r="G12" t="inlineStr"/>
      <c r="H12" t="inlineStr"/>
      <c r="I12" t="inlineStr">
        <is>
          <t>publications-joue@aws-france.com</t>
        </is>
      </c>
      <c r="J12" t="inlineStr">
        <is>
          <t>+33480041260</t>
        </is>
      </c>
      <c r="K12" t="inlineStr"/>
      <c r="L12" t="inlineStr"/>
      <c r="M12" t="inlineStr"/>
      <c r="N12" t="inlineStr">
        <is>
          <t>92</t>
        </is>
      </c>
      <c r="O12" t="inlineStr"/>
      <c r="P12" t="inlineStr">
        <is>
          <t>Ile-de-France</t>
        </is>
      </c>
      <c r="Q12" s="14" t="n">
        <v>46224</v>
      </c>
      <c r="R12" s="14" t="n">
        <v>46240</v>
      </c>
      <c r="S12" t="inlineStr"/>
      <c r="T12" t="inlineStr">
        <is>
          <t>A_VERIFIER_BUDGET</t>
        </is>
      </c>
      <c r="U12" t="inlineStr"/>
      <c r="V12" t="inlineStr">
        <is>
          <t>non</t>
        </is>
      </c>
      <c r="W12" t="inlineStr">
        <is>
          <t>Vitres</t>
        </is>
      </c>
      <c r="X12" t="inlineStr">
        <is>
          <t>Mairie</t>
        </is>
      </c>
      <c r="Y12" t="inlineStr">
        <is>
          <t>SERVICES</t>
        </is>
      </c>
      <c r="Z12" t="inlineStr">
        <is>
          <t>Procédure Ouverte</t>
        </is>
      </c>
      <c r="AA12" t="inlineStr">
        <is>
          <t>Avis de marché</t>
        </is>
      </c>
      <c r="AB12" t="inlineStr">
        <is>
          <t>Nettoyage de locaux, Vitrerie</t>
        </is>
      </c>
      <c r="AC12" t="inlineStr">
        <is>
          <t>['environnementaux']</t>
        </is>
      </c>
      <c r="AD12" s="10" t="inlineStr">
        <is>
          <t>https://www.boamp.fr/pages/avis/?q=idweb:26-71986</t>
        </is>
      </c>
      <c r="AE12" t="inlineStr">
        <is>
          <t>https://www.marches-publics.info/accueil.htm</t>
        </is>
      </c>
      <c r="AF12" t="inlineStr">
        <is>
          <t>https://www.marches-publics.info/accueil.htm</t>
        </is>
      </c>
      <c r="AG12" t="inlineStr">
        <is>
          <t>nettoyage</t>
        </is>
      </c>
      <c r="AH12" t="inlineStr">
        <is>
          <t>2</t>
        </is>
      </c>
      <c r="AI12" t="inlineStr">
        <is>
          <t>58</t>
        </is>
      </c>
      <c r="AJ12" t="inlineStr">
        <is>
          <t>INFO_PARTIELLE</t>
        </is>
      </c>
      <c r="AK12" t="inlineStr">
        <is>
          <t>60</t>
        </is>
      </c>
      <c r="AL12" t="inlineStr">
        <is>
          <t>TIEDE</t>
        </is>
      </c>
      <c r="AM12" t="inlineStr"/>
      <c r="AN12" t="inlineStr"/>
      <c r="AO12" t="inlineStr"/>
      <c r="AP12" t="inlineStr"/>
      <c r="AQ12" t="inlineStr">
        <is>
          <t>IA_BUDGET_A_VERIFIER</t>
        </is>
      </c>
      <c r="AR12" t="inlineStr">
        <is>
          <t>Verifier le budget dans l'avis source ou le DCE avant decision commerciale.</t>
        </is>
      </c>
      <c r="AS12" t="inlineStr">
        <is>
          <t>SIRET, adresse, ville, budget</t>
        </is>
      </c>
      <c r="AT12"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26-71986. Objet: Nettoyage des locaux communaux et des vitreries des bâtiments communaux. Acheteur: Ville de Fontenay-aux-Roses. Lien: https://www.boamp.fr/pages/avis/?q=idweb:26-71986.</t>
        </is>
      </c>
      <c r="AU12" t="inlineStr">
        <is>
          <t>Verifier url_avis et DCE si disponible</t>
        </is>
      </c>
      <c r="AV12" t="inlineStr">
        <is>
          <t>LIEN_SEUL</t>
        </is>
      </c>
      <c r="AW12" t="inlineStr"/>
      <c r="AX12" t="inlineStr"/>
      <c r="AY12" t="inlineStr"/>
      <c r="AZ12" t="inlineStr"/>
      <c r="BA12" t="inlineStr"/>
      <c r="BB12" t="inlineStr">
        <is>
          <t>+35 nettoyage + categorie claire | +10 budget non affiche (a verifier) | +10 secteur cible Mairie | +5 delai court 9j</t>
        </is>
      </c>
      <c r="BC12" t="inlineStr">
        <is>
          <t>Ville de Fontenay-aux-Roses publie un AO potentiellement pertinent pour CHRUTH : Nettoyage des locaux communaux et des vitreries des bâtiments communaux. Zone : 92. Budget a verifier. Verifier le lien source avant contact.</t>
        </is>
      </c>
      <c r="BD12" t="inlineStr">
        <is>
          <t>Bonjour,
Je me permets de vous contacter au sujet de votre appel d'offres : Nettoyage des locaux communaux et des vitreries des bâtiments communaux.
CHRUTH accompagne les structures publiques et privées sur les besoins de nettoyage, d'entretien des locaux et d'organisation de prestations de service.
Serait-il possible d'échanger rapidement afin de vérifier les modalités de réponse et les attentes de Ville de Fontenay-aux-Roses ?
Cordialement,</t>
        </is>
      </c>
      <c r="BE12" t="inlineStr">
        <is>
          <t>Bonjour, je vous appelle concernant un appel d'offres publié par Ville de Fontenay-aux-Roses. Je souhaite vérifier les informations pratiques : périmètre des prestations, date limite, modalités de visite, contact technique et pièces attendues. Pouvez-vous m'indiquer la bonne personne à contacter ?</t>
        </is>
      </c>
      <c r="BF12" t="inlineStr"/>
      <c r="BG12" t="inlineStr"/>
      <c r="BH12" t="inlineStr"/>
      <c r="BI12" t="inlineStr"/>
      <c r="BJ12" t="inlineStr"/>
      <c r="BK12" t="inlineStr"/>
      <c r="BL12" t="inlineStr"/>
      <c r="BM12" t="inlineStr">
        <is>
          <t>2026-W30</t>
        </is>
      </c>
    </row>
    <row r="13">
      <c r="A13" t="inlineStr">
        <is>
          <t>BOAMP</t>
        </is>
      </c>
      <c r="B13" t="inlineStr">
        <is>
          <t>26-71545</t>
        </is>
      </c>
      <c r="C13" t="inlineStr">
        <is>
          <t>Exploitation, maintenance des dispositifs de collecte pneumatique fixes et mobiles des déchets ménagers et transport de ces déchets</t>
        </is>
      </c>
      <c r="D13" t="inlineStr">
        <is>
          <t>Grand Paris Seine Ouest</t>
        </is>
      </c>
      <c r="E13" t="inlineStr">
        <is>
          <t>20005797400012</t>
        </is>
      </c>
      <c r="F13" t="inlineStr">
        <is>
          <t>200057974</t>
        </is>
      </c>
      <c r="G13" t="inlineStr"/>
      <c r="H13" t="inlineStr"/>
      <c r="I13" t="inlineStr">
        <is>
          <t>judith.comminsoli@seineouest.fr</t>
        </is>
      </c>
      <c r="J13" t="inlineStr">
        <is>
          <t>0579740001</t>
        </is>
      </c>
      <c r="K13" t="inlineStr"/>
      <c r="L13" t="inlineStr"/>
      <c r="M13" t="inlineStr"/>
      <c r="N13" t="inlineStr">
        <is>
          <t>92</t>
        </is>
      </c>
      <c r="O13" t="inlineStr"/>
      <c r="P13" t="inlineStr">
        <is>
          <t>Ile-de-France</t>
        </is>
      </c>
      <c r="Q13" s="14" t="n">
        <v>46222</v>
      </c>
      <c r="R13" s="14" t="n">
        <v>46275</v>
      </c>
      <c r="S13" s="15" t="n">
        <v>300000</v>
      </c>
      <c r="T13" t="inlineStr">
        <is>
          <t>BUDGET_EXPLICITE_OK</t>
        </is>
      </c>
      <c r="U13" t="inlineStr">
        <is>
          <t>75000</t>
        </is>
      </c>
      <c r="V13" t="inlineStr">
        <is>
          <t>oui</t>
        </is>
      </c>
      <c r="W13" t="inlineStr">
        <is>
          <t>Mixte/Autre</t>
        </is>
      </c>
      <c r="X13" t="inlineStr">
        <is>
          <t>Autre</t>
        </is>
      </c>
      <c r="Y13" t="inlineStr">
        <is>
          <t>SERVICES</t>
        </is>
      </c>
      <c r="Z13" t="inlineStr">
        <is>
          <t>Procédure Ouverte</t>
        </is>
      </c>
      <c r="AA13" t="inlineStr">
        <is>
          <t>Avis de marché</t>
        </is>
      </c>
      <c r="AB13" t="inlineStr">
        <is>
          <t>Collecte sélective</t>
        </is>
      </c>
      <c r="AC13" t="inlineStr">
        <is>
          <t>['environnementaux']</t>
        </is>
      </c>
      <c r="AD13" s="10" t="inlineStr">
        <is>
          <t>https://www.boamp.fr/pages/avis/?q=idweb:26-71545</t>
        </is>
      </c>
      <c r="AE13" t="inlineStr">
        <is>
          <t>https://marches.maximilien.fr/</t>
        </is>
      </c>
      <c r="AF13" t="inlineStr">
        <is>
          <t>https://marches.maximilien.fr/</t>
        </is>
      </c>
      <c r="AG13" t="inlineStr">
        <is>
          <t>nettoyage</t>
        </is>
      </c>
      <c r="AH13" t="inlineStr">
        <is>
          <t>3</t>
        </is>
      </c>
      <c r="AI13" t="inlineStr">
        <is>
          <t>68</t>
        </is>
      </c>
      <c r="AJ13" t="inlineStr">
        <is>
          <t>INFO_PARTIELLE</t>
        </is>
      </c>
      <c r="AK13" t="inlineStr">
        <is>
          <t>60</t>
        </is>
      </c>
      <c r="AL13" t="inlineStr">
        <is>
          <t>TIEDE</t>
        </is>
      </c>
      <c r="AM13" t="inlineStr"/>
      <c r="AN13" t="inlineStr"/>
      <c r="AO13" t="inlineStr"/>
      <c r="AP13" t="inlineStr"/>
      <c r="AQ13" t="inlineStr">
        <is>
          <t>IA_CONTACT_A_COMPLETER</t>
        </is>
      </c>
      <c r="AR13" t="inlineStr">
        <is>
          <t>Completer les champs manquants depuis l'avis source, le site acheteur ou le DCE.</t>
        </is>
      </c>
      <c r="AS13" t="inlineStr">
        <is>
          <t>adresse, ville</t>
        </is>
      </c>
      <c r="AT13"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26-71545. Objet: Exploitation, maintenance des dispositifs de collecte pneumatique fixes et mobiles des déchets ménagers et transport de ces déchets. Acheteur: Grand Paris Seine Ouest. Lien: https://www.boamp.fr/pages/avis/?q=idweb:26-71545.</t>
        </is>
      </c>
      <c r="AU13" t="inlineStr">
        <is>
          <t>Verifier url_avis et DCE si disponible</t>
        </is>
      </c>
      <c r="AV13" t="inlineStr"/>
      <c r="AW13" t="inlineStr"/>
      <c r="AX13" t="inlineStr"/>
      <c r="AY13" t="inlineStr"/>
      <c r="AZ13" t="inlineStr"/>
      <c r="BA13" t="inlineStr"/>
      <c r="BB13" t="inlineStr">
        <is>
          <t>+30 mots-cles nettoyage forts | +20 budget annualise &lt;= 100 000 EUR | +10 delai confortable 44j</t>
        </is>
      </c>
      <c r="BC13" t="inlineStr">
        <is>
          <t>Grand Paris Seine Ouest publie un AO potentiellement pertinent pour CHRUTH : Exploitation, maintenance des dispositifs de collecte pneumatique fixes et mobiles des déchets ménagers et transport de ces déchets. Zone : 92. Budget detecte environ 300 000 EUR. Verifier le lien source avant contact.</t>
        </is>
      </c>
      <c r="BD13" t="inlineStr">
        <is>
          <t>Bonjour,
Je me permets de vous contacter au sujet de votre appel d'offres : Exploitation, maintenance des dispositifs de collecte pneumatique fixes et mobiles des déchets ménagers et transport de ces déchets.
CHRUTH accompagne les structures publiques et privées sur les besoins de nettoyage, d'entretien des locaux et d'organisation de prestations de service.
Serait-il possible d'échanger rapidement afin de vérifier les modalités de réponse et les attentes de Grand Paris Seine Ouest ?
Cordialement,</t>
        </is>
      </c>
      <c r="BE13" t="inlineStr">
        <is>
          <t>Bonjour, je vous appelle concernant un appel d'offres publié par Grand Paris Seine Ouest. Je souhaite vérifier les informations pratiques : périmètre des prestations, date limite, modalités de visite, contact technique et pièces attendues. Pouvez-vous m'indiquer la bonne personne à contacter ?</t>
        </is>
      </c>
      <c r="BF13" t="inlineStr"/>
      <c r="BG13" t="inlineStr"/>
      <c r="BH13" t="inlineStr"/>
      <c r="BI13" t="inlineStr"/>
      <c r="BJ13" t="inlineStr"/>
      <c r="BK13" t="inlineStr"/>
      <c r="BL13" t="inlineStr"/>
      <c r="BM13" t="inlineStr">
        <is>
          <t>2026-W29</t>
        </is>
      </c>
    </row>
    <row r="14">
      <c r="A14" t="inlineStr">
        <is>
          <t>BOAMP</t>
        </is>
      </c>
      <c r="B14" t="inlineStr">
        <is>
          <t>26-73898</t>
        </is>
      </c>
      <c r="C14" t="inlineStr">
        <is>
          <t>Fourniture de petits matériels et de consommables d'entretien et d'hygiène</t>
        </is>
      </c>
      <c r="D14" t="inlineStr">
        <is>
          <t>Département des Hauts-de-Seine</t>
        </is>
      </c>
      <c r="E14" t="inlineStr"/>
      <c r="F14" t="inlineStr"/>
      <c r="G14" t="inlineStr"/>
      <c r="H14" t="inlineStr"/>
      <c r="I14" t="inlineStr">
        <is>
          <t>publications-joue@aws-france.com</t>
        </is>
      </c>
      <c r="J14" t="inlineStr">
        <is>
          <t>+33480041260</t>
        </is>
      </c>
      <c r="K14" t="inlineStr"/>
      <c r="L14" t="inlineStr"/>
      <c r="M14" t="inlineStr"/>
      <c r="N14" t="inlineStr">
        <is>
          <t>92</t>
        </is>
      </c>
      <c r="O14" t="inlineStr"/>
      <c r="P14" t="inlineStr">
        <is>
          <t>Ile-de-France</t>
        </is>
      </c>
      <c r="Q14" s="14" t="n">
        <v>46228</v>
      </c>
      <c r="R14" s="14" t="n">
        <v>46280</v>
      </c>
      <c r="S14" t="inlineStr"/>
      <c r="T14" t="inlineStr">
        <is>
          <t>A_VERIFIER_BUDGET</t>
        </is>
      </c>
      <c r="U14" t="inlineStr"/>
      <c r="V14" t="inlineStr">
        <is>
          <t>non</t>
        </is>
      </c>
      <c r="W14" t="inlineStr">
        <is>
          <t>Batiments</t>
        </is>
      </c>
      <c r="X14" t="inlineStr">
        <is>
          <t>Autre</t>
        </is>
      </c>
      <c r="Y14" t="inlineStr">
        <is>
          <t>FOURNITURES</t>
        </is>
      </c>
      <c r="Z14" t="inlineStr">
        <is>
          <t>Procédure Ouverte</t>
        </is>
      </c>
      <c r="AA14" t="inlineStr">
        <is>
          <t>Avis de marché</t>
        </is>
      </c>
      <c r="AB14" t="inlineStr">
        <is>
          <t>Produits d'entretien</t>
        </is>
      </c>
      <c r="AC14" t="inlineStr">
        <is>
          <t>['sociaux', 'environnementaux']</t>
        </is>
      </c>
      <c r="AD14" s="10" t="inlineStr">
        <is>
          <t>https://www.boamp.fr/pages/avis/?q=idweb:26-73898</t>
        </is>
      </c>
      <c r="AE14" t="inlineStr">
        <is>
          <t>https://www.marches-publics.info/mpiaws/index.cfm?fuseaction=dematEnt.login&amp;amp;type=DCE&amp;amp;IDM=1854121</t>
        </is>
      </c>
      <c r="AF14" t="inlineStr">
        <is>
          <t>https://www.marches-publics.info/mpiaws/index.cfm?fuseaction=dematEnt.login&amp;amp;type=DCE&amp;amp;IDM=1854121</t>
        </is>
      </c>
      <c r="AG14" t="inlineStr">
        <is>
          <t>hygiene des locaux</t>
        </is>
      </c>
      <c r="AH14" t="inlineStr">
        <is>
          <t>2</t>
        </is>
      </c>
      <c r="AI14" t="inlineStr">
        <is>
          <t>58</t>
        </is>
      </c>
      <c r="AJ14" t="inlineStr">
        <is>
          <t>INFO_PARTIELLE</t>
        </is>
      </c>
      <c r="AK14" t="inlineStr">
        <is>
          <t>55</t>
        </is>
      </c>
      <c r="AL14" t="inlineStr">
        <is>
          <t>TIEDE</t>
        </is>
      </c>
      <c r="AM14" t="inlineStr"/>
      <c r="AN14" t="inlineStr"/>
      <c r="AO14" t="inlineStr"/>
      <c r="AP14" t="inlineStr"/>
      <c r="AQ14" t="inlineStr">
        <is>
          <t>IA_BUDGET_A_VERIFIER</t>
        </is>
      </c>
      <c r="AR14" t="inlineStr">
        <is>
          <t>Verifier le budget dans l'avis source ou le DCE avant decision commerciale.</t>
        </is>
      </c>
      <c r="AS14" t="inlineStr">
        <is>
          <t>SIRET, adresse, ville, budget</t>
        </is>
      </c>
      <c r="AT14"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26-73898. Objet: Fourniture de petits matériels et de consommables d'entretien et d'hygiène. Acheteur: Département des Hauts-de-Seine. Lien: https://www.boamp.fr/pages/avis/?q=idweb:26-73898.</t>
        </is>
      </c>
      <c r="AU14" t="inlineStr">
        <is>
          <t>Verifier url_avis et DCE si disponible</t>
        </is>
      </c>
      <c r="AV14" t="inlineStr">
        <is>
          <t>LIEN_SEUL</t>
        </is>
      </c>
      <c r="AW14" t="inlineStr"/>
      <c r="AX14" t="inlineStr"/>
      <c r="AY14" t="inlineStr"/>
      <c r="AZ14" t="inlineStr"/>
      <c r="BA14" t="inlineStr"/>
      <c r="BB14" t="inlineStr">
        <is>
          <t>+35 nettoyage + categorie claire | +10 budget non affiche (a verifier) | +10 delai confortable 49j</t>
        </is>
      </c>
      <c r="BC14" t="inlineStr">
        <is>
          <t>Département des Hauts-de-Seine publie un AO potentiellement pertinent pour CHRUTH : Fourniture de petits matériels et de consommables d'entretien et d'hygiène. Zone : 92. Budget a verifier. Verifier le lien source avant contact.</t>
        </is>
      </c>
      <c r="BD14" t="inlineStr">
        <is>
          <t>Bonjour,
Je me permets de vous contacter au sujet de votre appel d'offres : Fourniture de petits matériels et de consommables d'entretien et d'hygiène.
CHRUTH accompagne les structures publiques et privées sur les besoins de nettoyage, d'entretien des locaux et d'organisation de prestations de service.
Serait-il possible d'échanger rapidement afin de vérifier les modalités de réponse et les attentes de Département des Hauts-de-Seine ?
Cordialement,</t>
        </is>
      </c>
      <c r="BE14" t="inlineStr">
        <is>
          <t>Bonjour, je vous appelle concernant un appel d'offres publié par Département des Hauts-de-Seine. Je souhaite vérifier les informations pratiques : périmètre des prestations, date limite, modalités de visite, contact technique et pièces attendues. Pouvez-vous m'indiquer la bonne personne à contacter ?</t>
        </is>
      </c>
      <c r="BF14" t="inlineStr"/>
      <c r="BG14" t="inlineStr"/>
      <c r="BH14" t="inlineStr"/>
      <c r="BI14" t="inlineStr"/>
      <c r="BJ14" t="inlineStr"/>
      <c r="BK14" t="inlineStr"/>
      <c r="BL14" t="inlineStr"/>
      <c r="BM14" t="inlineStr">
        <is>
          <t>2026-W30</t>
        </is>
      </c>
    </row>
    <row r="15">
      <c r="A15" t="inlineStr">
        <is>
          <t>BOAMP</t>
        </is>
      </c>
      <c r="B15" t="inlineStr">
        <is>
          <t>26-72955</t>
        </is>
      </c>
      <c r="C15" t="inlineStr">
        <is>
          <t>Prestations de nettoyage courant des locaux du CNRS et de vitreries incluant la fourniture des produits d’entretien et d’hygiène</t>
        </is>
      </c>
      <c r="D15" t="inlineStr">
        <is>
          <t>CNRS Délégation paris-Centre</t>
        </is>
      </c>
      <c r="E15" t="inlineStr">
        <is>
          <t>18008901303282</t>
        </is>
      </c>
      <c r="F15" t="inlineStr">
        <is>
          <t>180089013</t>
        </is>
      </c>
      <c r="G15" t="inlineStr"/>
      <c r="H15" t="inlineStr"/>
      <c r="I15" t="inlineStr">
        <is>
          <t>marchesdr2@dr2.cnrs.fr</t>
        </is>
      </c>
      <c r="J15" t="inlineStr">
        <is>
          <t>0890130328</t>
        </is>
      </c>
      <c r="K15" t="inlineStr"/>
      <c r="L15" t="inlineStr"/>
      <c r="M15" t="inlineStr"/>
      <c r="N15" t="inlineStr">
        <is>
          <t>75,77,78,91,92,93,94,95</t>
        </is>
      </c>
      <c r="O15" t="inlineStr"/>
      <c r="P15" t="inlineStr">
        <is>
          <t>Ile-de-France</t>
        </is>
      </c>
      <c r="Q15" s="14" t="n">
        <v>46225</v>
      </c>
      <c r="R15" s="14" t="n">
        <v>46269</v>
      </c>
      <c r="S15" t="inlineStr"/>
      <c r="T15" t="inlineStr">
        <is>
          <t>A_VERIFIER_BUDGET</t>
        </is>
      </c>
      <c r="U15" t="inlineStr"/>
      <c r="V15" t="inlineStr">
        <is>
          <t>non</t>
        </is>
      </c>
      <c r="W15" t="inlineStr">
        <is>
          <t>Batiments</t>
        </is>
      </c>
      <c r="X15" t="inlineStr">
        <is>
          <t>Autre</t>
        </is>
      </c>
      <c r="Y15" t="inlineStr">
        <is>
          <t>SERVICES</t>
        </is>
      </c>
      <c r="Z15" t="inlineStr">
        <is>
          <t>Procédure Ouverte</t>
        </is>
      </c>
      <c r="AA15" t="inlineStr">
        <is>
          <t>Avis de marché</t>
        </is>
      </c>
      <c r="AB15" t="inlineStr">
        <is>
          <t>Nettoyage de locaux</t>
        </is>
      </c>
      <c r="AC15" t="inlineStr"/>
      <c r="AD15" s="10" t="inlineStr">
        <is>
          <t>https://www.boamp.fr/pages/avis/?q=idweb:26-72955</t>
        </is>
      </c>
      <c r="AE15" t="inlineStr">
        <is>
          <t>https://www.marches-publics.gouv.fr</t>
        </is>
      </c>
      <c r="AF15" t="inlineStr">
        <is>
          <t>https://www.marches-publics.gouv.fr</t>
        </is>
      </c>
      <c r="AG15" t="inlineStr">
        <is>
          <t>nettoyage</t>
        </is>
      </c>
      <c r="AH15" t="inlineStr">
        <is>
          <t>3</t>
        </is>
      </c>
      <c r="AI15" t="inlineStr">
        <is>
          <t>68</t>
        </is>
      </c>
      <c r="AJ15" t="inlineStr">
        <is>
          <t>INFO_PARTIELLE</t>
        </is>
      </c>
      <c r="AK15" t="inlineStr">
        <is>
          <t>55</t>
        </is>
      </c>
      <c r="AL15" t="inlineStr">
        <is>
          <t>TIEDE</t>
        </is>
      </c>
      <c r="AM15" t="inlineStr"/>
      <c r="AN15" t="inlineStr"/>
      <c r="AO15" t="inlineStr"/>
      <c r="AP15" t="inlineStr"/>
      <c r="AQ15" t="inlineStr">
        <is>
          <t>IA_BUDGET_A_VERIFIER</t>
        </is>
      </c>
      <c r="AR15" t="inlineStr">
        <is>
          <t>Verifier le budget dans l'avis source ou le DCE avant decision commerciale.</t>
        </is>
      </c>
      <c r="AS15" t="inlineStr">
        <is>
          <t>adresse, ville, budget</t>
        </is>
      </c>
      <c r="AT15"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26-72955. Objet: Prestations de nettoyage courant des locaux du CNRS et de vitreries incluant la fourniture des produits d’entretien et d’hygiène. Acheteur: CNRS Délégation paris-Centre. Lien: https://www.boamp.fr/pages/avis/?q=idweb:26-72955.</t>
        </is>
      </c>
      <c r="AU15" t="inlineStr">
        <is>
          <t>Verifier url_avis et DCE si disponible</t>
        </is>
      </c>
      <c r="AV15" t="inlineStr">
        <is>
          <t>LIEN_SEUL</t>
        </is>
      </c>
      <c r="AW15" t="inlineStr"/>
      <c r="AX15" t="inlineStr"/>
      <c r="AY15" t="inlineStr"/>
      <c r="AZ15" t="inlineStr"/>
      <c r="BA15" t="inlineStr"/>
      <c r="BB15" t="inlineStr">
        <is>
          <t>+35 nettoyage + categorie claire | +10 budget non affiche (a verifier) | +10 delai confortable 38j</t>
        </is>
      </c>
      <c r="BC15" t="inlineStr">
        <is>
          <t>CNRS Délégation paris-Centre publie un AO potentiellement pertinent pour CHRUTH : Prestations de nettoyage courant des locaux du CNRS et de vitreries incluant la fourniture des produits d’entretien et d’hygiène. Zone : 75,77,78,91,92,93,94,95. Budget a verifier. Verifier le lien source avant contact.</t>
        </is>
      </c>
      <c r="BD15" t="inlineStr">
        <is>
          <t>Bonjour,
Je me permets de vous contacter au sujet de votre appel d'offres : Prestations de nettoyage courant des locaux du CNRS et de vitreries incluant la fourniture des produits d’entretien et d’hygiène.
CHRUTH accompagne les structures publiques et privées sur les besoins de nettoyage, d'entretien des locaux et d'organisation de prestations de service.
Serait-il possible d'échanger rapidement afin de vérifier les modalités de réponse et les attentes de CNRS Délégation paris-Centre ?
Cordialement,</t>
        </is>
      </c>
      <c r="BE15" t="inlineStr">
        <is>
          <t>Bonjour, je vous appelle concernant un appel d'offres publié par CNRS Délégation paris-Centre. Je souhaite vérifier les informations pratiques : périmètre des prestations, date limite, modalités de visite, contact technique et pièces attendues. Pouvez-vous m'indiquer la bonne personne à contacter ?</t>
        </is>
      </c>
      <c r="BF15" t="inlineStr"/>
      <c r="BG15" t="inlineStr"/>
      <c r="BH15" t="inlineStr"/>
      <c r="BI15" t="inlineStr"/>
      <c r="BJ15" t="inlineStr"/>
      <c r="BK15" t="inlineStr"/>
      <c r="BL15" t="inlineStr"/>
      <c r="BM15" t="inlineStr">
        <is>
          <t>2026-W30</t>
        </is>
      </c>
    </row>
    <row r="16">
      <c r="A16" t="inlineStr">
        <is>
          <t>BOAMP</t>
        </is>
      </c>
      <c r="B16" t="inlineStr">
        <is>
          <t>26-72105</t>
        </is>
      </c>
      <c r="C16" t="inlineStr">
        <is>
          <t>PRESTATIONS DE SERVICES DE NETTOYAGE ET BIONETTOYAGE DES LOCAUX, DE LA VITRERIE ET SERVICES ASSOCIES POUR LE CHIMM</t>
        </is>
      </c>
      <c r="D16" t="inlineStr">
        <is>
          <t>Centre Hospitalier Poissy/Saint-Germain-En-Laye</t>
        </is>
      </c>
      <c r="E16" t="inlineStr">
        <is>
          <t>26780580200316</t>
        </is>
      </c>
      <c r="F16" t="inlineStr">
        <is>
          <t>267805802</t>
        </is>
      </c>
      <c r="G16" t="inlineStr"/>
      <c r="H16" t="inlineStr"/>
      <c r="I16" t="inlineStr">
        <is>
          <t>clementine.hee@ght-yvelinesnord.fr</t>
        </is>
      </c>
      <c r="J16" t="inlineStr">
        <is>
          <t>0580200316</t>
        </is>
      </c>
      <c r="K16" t="inlineStr"/>
      <c r="L16" t="inlineStr"/>
      <c r="M16" t="inlineStr"/>
      <c r="N16" t="inlineStr">
        <is>
          <t>78</t>
        </is>
      </c>
      <c r="O16" t="inlineStr"/>
      <c r="P16" t="inlineStr">
        <is>
          <t>Ile-de-France</t>
        </is>
      </c>
      <c r="Q16" s="14" t="n">
        <v>46224</v>
      </c>
      <c r="R16" s="14" t="n">
        <v>46293</v>
      </c>
      <c r="S16" t="inlineStr"/>
      <c r="T16" t="inlineStr">
        <is>
          <t>A_VERIFIER_BUDGET</t>
        </is>
      </c>
      <c r="U16" t="inlineStr"/>
      <c r="V16" t="inlineStr">
        <is>
          <t>non</t>
        </is>
      </c>
      <c r="W16" t="inlineStr">
        <is>
          <t>Vitres</t>
        </is>
      </c>
      <c r="X16" t="inlineStr">
        <is>
          <t>Autre</t>
        </is>
      </c>
      <c r="Y16" t="inlineStr">
        <is>
          <t>SERVICES</t>
        </is>
      </c>
      <c r="Z16" t="inlineStr">
        <is>
          <t>Procédure Ouverte</t>
        </is>
      </c>
      <c r="AA16" t="inlineStr">
        <is>
          <t>Avis de marché</t>
        </is>
      </c>
      <c r="AB16" t="inlineStr">
        <is>
          <t>Nettoyage de locaux, Vitrerie</t>
        </is>
      </c>
      <c r="AC16" t="inlineStr"/>
      <c r="AD16" s="10" t="inlineStr">
        <is>
          <t>https://www.boamp.fr/pages/avis/?q=idweb:26-72105</t>
        </is>
      </c>
      <c r="AE16" t="inlineStr">
        <is>
          <t>https://marches.maximilien.fr/entreprise/consultation/943757?orgAcronyme=a2k</t>
        </is>
      </c>
      <c r="AF16" t="inlineStr">
        <is>
          <t>https://marches.maximilien.fr/entreprise/consultation/943757?orgAcronyme=a2k</t>
        </is>
      </c>
      <c r="AG16" t="inlineStr">
        <is>
          <t>nettoyage, bionettoyage</t>
        </is>
      </c>
      <c r="AH16" t="inlineStr">
        <is>
          <t>3</t>
        </is>
      </c>
      <c r="AI16" t="inlineStr">
        <is>
          <t>76</t>
        </is>
      </c>
      <c r="AJ16" t="inlineStr">
        <is>
          <t>INFO_PARTIELLE</t>
        </is>
      </c>
      <c r="AK16" t="inlineStr">
        <is>
          <t>55</t>
        </is>
      </c>
      <c r="AL16" t="inlineStr">
        <is>
          <t>TIEDE</t>
        </is>
      </c>
      <c r="AM16" t="inlineStr"/>
      <c r="AN16" t="inlineStr"/>
      <c r="AO16" t="inlineStr"/>
      <c r="AP16" t="inlineStr"/>
      <c r="AQ16" t="inlineStr">
        <is>
          <t>IA_BUDGET_A_VERIFIER</t>
        </is>
      </c>
      <c r="AR16" t="inlineStr">
        <is>
          <t>Verifier le budget dans l'avis source ou le DCE avant decision commerciale.</t>
        </is>
      </c>
      <c r="AS16" t="inlineStr">
        <is>
          <t>adresse, ville, budget</t>
        </is>
      </c>
      <c r="AT16"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26-72105. Objet: PRESTATIONS DE SERVICES DE NETTOYAGE ET BIONETTOYAGE DES LOCAUX, DE LA VITRERIE ET SERVICES ASSOCIES POUR LE CHIMM. Acheteur: Centre Hospitalier Poissy/Saint-Germain-En-Laye. Lien: https://www.boamp.fr/pages/avis/?q=idweb:26-72105.</t>
        </is>
      </c>
      <c r="AU16" t="inlineStr">
        <is>
          <t>Verifier url_avis et DCE si disponible</t>
        </is>
      </c>
      <c r="AV16" t="inlineStr">
        <is>
          <t>LIEN_SEUL</t>
        </is>
      </c>
      <c r="AW16" t="inlineStr"/>
      <c r="AX16" t="inlineStr"/>
      <c r="AY16" t="inlineStr"/>
      <c r="AZ16" t="inlineStr"/>
      <c r="BA16" t="inlineStr"/>
      <c r="BB16" t="inlineStr">
        <is>
          <t>+35 nettoyage + categorie claire | +10 budget non affiche (a verifier) | +10 delai confortable 62j</t>
        </is>
      </c>
      <c r="BC16" t="inlineStr">
        <is>
          <t>Centre Hospitalier Poissy/Saint-Germain-En-Laye publie un AO potentiellement pertinent pour CHRUTH : PRESTATIONS DE SERVICES DE NETTOYAGE ET BIONETTOYAGE DES LOCAUX, DE LA VITRERIE ET SERVICES ASSOCIES POUR LE CHIMM. Zone : 78. Budget a verifier. Verifier le lien source avant contact.</t>
        </is>
      </c>
      <c r="BD16" t="inlineStr">
        <is>
          <t>Bonjour,
Je me permets de vous contacter au sujet de votre appel d'offres : PRESTATIONS DE SERVICES DE NETTOYAGE ET BIONETTOYAGE DES LOCAUX, DE LA VITRERIE ET SERVICES ASSOCIES POUR LE CHIMM.
CHRUTH accompagne les structures publiques et privées sur les besoins de nettoyage, d'entretien des locaux et d'organisation de prestations de service.
Serait-il possible d'échanger rapidement afin de vérifier les modalités de réponse et les attentes de Centre Hospitalier Poissy/Saint-Germain-En-Laye ?
Cordialement,</t>
        </is>
      </c>
      <c r="BE16" t="inlineStr">
        <is>
          <t>Bonjour, je vous appelle concernant un appel d'offres publié par Centre Hospitalier Poissy/Saint-Germain-En-Laye. Je souhaite vérifier les informations pratiques : périmètre des prestations, date limite, modalités de visite, contact technique et pièces attendues. Pouvez-vous m'indiquer la bonne personne à contacter ?</t>
        </is>
      </c>
      <c r="BF16" t="inlineStr"/>
      <c r="BG16" t="inlineStr"/>
      <c r="BH16" t="inlineStr"/>
      <c r="BI16" t="inlineStr"/>
      <c r="BJ16" t="inlineStr"/>
      <c r="BK16" t="inlineStr"/>
      <c r="BL16" t="inlineStr"/>
      <c r="BM16" t="inlineStr">
        <is>
          <t>2026-W30</t>
        </is>
      </c>
    </row>
    <row r="17">
      <c r="A17" t="inlineStr">
        <is>
          <t>BOAMP</t>
        </is>
      </c>
      <c r="B17" t="inlineStr">
        <is>
          <t>26-70522</t>
        </is>
      </c>
      <c r="C17" t="inlineStr">
        <is>
          <t>PRESTATIONS DE COACHING ET D’ACCOMPAGNEMENT DES MEMBRES D’UN CODIR AU PROFIT DE L’EPIDE</t>
        </is>
      </c>
      <c r="D17" t="inlineStr">
        <is>
          <t>EPIDE</t>
        </is>
      </c>
      <c r="E17" t="inlineStr">
        <is>
          <t>18009259500131</t>
        </is>
      </c>
      <c r="F17" t="inlineStr">
        <is>
          <t>180092595</t>
        </is>
      </c>
      <c r="G17" t="inlineStr"/>
      <c r="H17" t="inlineStr"/>
      <c r="I17" t="inlineStr">
        <is>
          <t>achats@epide.fr</t>
        </is>
      </c>
      <c r="J17" t="inlineStr">
        <is>
          <t>0925950013</t>
        </is>
      </c>
      <c r="K17" t="inlineStr"/>
      <c r="L17" t="inlineStr"/>
      <c r="M17" t="inlineStr"/>
      <c r="N17" t="inlineStr">
        <is>
          <t>92,67,68,24,33,40,47,64,3</t>
        </is>
      </c>
      <c r="O17" t="inlineStr"/>
      <c r="P17" t="inlineStr">
        <is>
          <t>Ile-de-France</t>
        </is>
      </c>
      <c r="Q17" s="14" t="n">
        <v>46220</v>
      </c>
      <c r="R17" s="14" t="n">
        <v>46259</v>
      </c>
      <c r="S17" t="inlineStr"/>
      <c r="T17" t="inlineStr">
        <is>
          <t>A_VERIFIER_BUDGET</t>
        </is>
      </c>
      <c r="U17" t="inlineStr"/>
      <c r="V17" t="inlineStr">
        <is>
          <t>non</t>
        </is>
      </c>
      <c r="W17" t="inlineStr">
        <is>
          <t>Batiments</t>
        </is>
      </c>
      <c r="X17" t="inlineStr">
        <is>
          <t>Autre</t>
        </is>
      </c>
      <c r="Y17" t="inlineStr">
        <is>
          <t>SERVICES</t>
        </is>
      </c>
      <c r="Z17" t="inlineStr">
        <is>
          <t>Procédure Ouverte</t>
        </is>
      </c>
      <c r="AA17" t="inlineStr">
        <is>
          <t>Avis de marché</t>
        </is>
      </c>
      <c r="AB17" t="inlineStr">
        <is>
          <t>Nettoyage de locaux</t>
        </is>
      </c>
      <c r="AC17" t="inlineStr"/>
      <c r="AD17" s="10" t="inlineStr">
        <is>
          <t>https://www.boamp.fr/pages/avis/?q=idweb:26-70522</t>
        </is>
      </c>
      <c r="AE17" t="inlineStr">
        <is>
          <t>https://www.epide.fr/</t>
        </is>
      </c>
      <c r="AF17" t="inlineStr"/>
      <c r="AG17" t="inlineStr">
        <is>
          <t>nettoyage</t>
        </is>
      </c>
      <c r="AH17" t="inlineStr">
        <is>
          <t>3</t>
        </is>
      </c>
      <c r="AI17" t="inlineStr">
        <is>
          <t>68</t>
        </is>
      </c>
      <c r="AJ17" t="inlineStr">
        <is>
          <t>INFO_PARTIELLE</t>
        </is>
      </c>
      <c r="AK17" t="inlineStr">
        <is>
          <t>55</t>
        </is>
      </c>
      <c r="AL17" t="inlineStr">
        <is>
          <t>TIEDE</t>
        </is>
      </c>
      <c r="AM17" t="inlineStr"/>
      <c r="AN17" t="inlineStr"/>
      <c r="AO17" t="inlineStr"/>
      <c r="AP17" t="inlineStr"/>
      <c r="AQ17" t="inlineStr">
        <is>
          <t>IA_BUDGET_A_VERIFIER</t>
        </is>
      </c>
      <c r="AR17" t="inlineStr">
        <is>
          <t>Verifier le budget dans l'avis source ou le DCE avant decision commerciale.</t>
        </is>
      </c>
      <c r="AS17" t="inlineStr">
        <is>
          <t>adresse, ville, budget</t>
        </is>
      </c>
      <c r="AT17"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26-70522. Objet: PRESTATIONS DE COACHING ET D’ACCOMPAGNEMENT DES MEMBRES D’UN CODIR AU PROFIT DE L’EPIDE. Acheteur: EPIDE. Lien: https://www.boamp.fr/pages/avis/?q=idweb:26-70522.</t>
        </is>
      </c>
      <c r="AU17" t="inlineStr">
        <is>
          <t>Verifier url_avis et DCE si disponible</t>
        </is>
      </c>
      <c r="AV17" t="inlineStr">
        <is>
          <t>LIEN_SEUL</t>
        </is>
      </c>
      <c r="AW17" t="inlineStr"/>
      <c r="AX17" t="inlineStr"/>
      <c r="AY17" t="inlineStr"/>
      <c r="AZ17" t="inlineStr"/>
      <c r="BA17" t="inlineStr"/>
      <c r="BB17" t="inlineStr">
        <is>
          <t>+35 nettoyage + categorie claire | +10 budget non affiche (a verifier) | +10 delai confortable 28j</t>
        </is>
      </c>
      <c r="BC17" t="inlineStr">
        <is>
          <t>EPIDE publie un AO potentiellement pertinent pour CHRUTH : PRESTATIONS DE COACHING ET D’ACCOMPAGNEMENT DES MEMBRES D’UN CODIR AU PROFIT DE L’EPIDE. Zone : 92,67,68,24,33,40,47,64,3. Budget a verifier. Verifier le lien source avant contact.</t>
        </is>
      </c>
      <c r="BD17" t="inlineStr">
        <is>
          <t>Bonjour,
Je me permets de vous contacter au sujet de votre appel d'offres : PRESTATIONS DE COACHING ET D’ACCOMPAGNEMENT DES MEMBRES D’UN CODIR AU PROFIT DE L’EPIDE.
CHRUTH accompagne les structures publiques et privées sur les besoins de nettoyage, d'entretien des locaux et d'organisation de prestations de service.
Serait-il possible d'échanger rapidement afin de vérifier les modalités de réponse et les attentes de EPIDE ?
Cordialement,</t>
        </is>
      </c>
      <c r="BE17" t="inlineStr">
        <is>
          <t>Bonjour, je vous appelle concernant un appel d'offres publié par EPIDE. Je souhaite vérifier les informations pratiques : périmètre des prestations, date limite, modalités de visite, contact technique et pièces attendues. Pouvez-vous m'indiquer la bonne personne à contacter ?</t>
        </is>
      </c>
      <c r="BF17" t="inlineStr"/>
      <c r="BG17" t="inlineStr"/>
      <c r="BH17" t="inlineStr"/>
      <c r="BI17" t="inlineStr"/>
      <c r="BJ17" t="inlineStr"/>
      <c r="BK17" t="inlineStr"/>
      <c r="BL17" t="inlineStr"/>
      <c r="BM17" t="inlineStr">
        <is>
          <t>2026-W29</t>
        </is>
      </c>
    </row>
    <row r="18">
      <c r="A18" t="inlineStr">
        <is>
          <t>BOAMP</t>
        </is>
      </c>
      <c r="B18" t="inlineStr">
        <is>
          <t>26-70503</t>
        </is>
      </c>
      <c r="C18" t="inlineStr">
        <is>
          <t>Prestations de nettoyage des locaux et de la vitrerie et prestations associées pour les sites du GHT Grand Paris Nord-Est</t>
        </is>
      </c>
      <c r="D18" t="inlineStr">
        <is>
          <t>GHT GPNE</t>
        </is>
      </c>
      <c r="E18" t="inlineStr">
        <is>
          <t>20001803400013</t>
        </is>
      </c>
      <c r="F18" t="inlineStr">
        <is>
          <t>200018034</t>
        </is>
      </c>
      <c r="G18" t="inlineStr"/>
      <c r="H18" t="inlineStr"/>
      <c r="I18" t="inlineStr">
        <is>
          <t>ght.cellule-des-marches@ght-gpne.fr</t>
        </is>
      </c>
      <c r="J18" t="inlineStr">
        <is>
          <t>0180340001</t>
        </is>
      </c>
      <c r="K18" t="inlineStr"/>
      <c r="L18" t="inlineStr"/>
      <c r="M18" t="inlineStr"/>
      <c r="N18" t="inlineStr">
        <is>
          <t>93</t>
        </is>
      </c>
      <c r="O18" t="inlineStr"/>
      <c r="P18" t="inlineStr">
        <is>
          <t>Ile-de-France</t>
        </is>
      </c>
      <c r="Q18" s="14" t="n">
        <v>46220</v>
      </c>
      <c r="R18" s="14" t="n">
        <v>46269</v>
      </c>
      <c r="S18" t="inlineStr"/>
      <c r="T18" t="inlineStr">
        <is>
          <t>A_VERIFIER_BUDGET</t>
        </is>
      </c>
      <c r="U18" t="inlineStr"/>
      <c r="V18" t="inlineStr">
        <is>
          <t>non</t>
        </is>
      </c>
      <c r="W18" t="inlineStr">
        <is>
          <t>Vitres</t>
        </is>
      </c>
      <c r="X18" t="inlineStr">
        <is>
          <t>Autre</t>
        </is>
      </c>
      <c r="Y18" t="inlineStr">
        <is>
          <t>SERVICES</t>
        </is>
      </c>
      <c r="Z18" t="inlineStr">
        <is>
          <t>Procédure Ouverte</t>
        </is>
      </c>
      <c r="AA18" t="inlineStr">
        <is>
          <t>Avis de marché</t>
        </is>
      </c>
      <c r="AB18" t="inlineStr">
        <is>
          <t>Nettoyage de locaux</t>
        </is>
      </c>
      <c r="AC18" t="inlineStr"/>
      <c r="AD18" s="10" t="inlineStr">
        <is>
          <t>https://www.boamp.fr/pages/avis/?q=idweb:26-70503</t>
        </is>
      </c>
      <c r="AE18" t="inlineStr">
        <is>
          <t>https://marches.maximilien.fr/entreprise/consultation/943277?orgAcronyme=a1j</t>
        </is>
      </c>
      <c r="AF18" t="inlineStr">
        <is>
          <t>https://marches.maximilien.fr/entreprise/consultation/943277?orgAcronyme=a1j</t>
        </is>
      </c>
      <c r="AG18" t="inlineStr">
        <is>
          <t>nettoyage</t>
        </is>
      </c>
      <c r="AH18" t="inlineStr">
        <is>
          <t>3</t>
        </is>
      </c>
      <c r="AI18" t="inlineStr">
        <is>
          <t>68</t>
        </is>
      </c>
      <c r="AJ18" t="inlineStr">
        <is>
          <t>INFO_PARTIELLE</t>
        </is>
      </c>
      <c r="AK18" t="inlineStr">
        <is>
          <t>55</t>
        </is>
      </c>
      <c r="AL18" t="inlineStr">
        <is>
          <t>TIEDE</t>
        </is>
      </c>
      <c r="AM18" t="inlineStr"/>
      <c r="AN18" t="inlineStr"/>
      <c r="AO18" t="inlineStr"/>
      <c r="AP18" t="inlineStr"/>
      <c r="AQ18" t="inlineStr">
        <is>
          <t>IA_BUDGET_A_VERIFIER</t>
        </is>
      </c>
      <c r="AR18" t="inlineStr">
        <is>
          <t>Verifier le budget dans l'avis source ou le DCE avant decision commerciale.</t>
        </is>
      </c>
      <c r="AS18" t="inlineStr">
        <is>
          <t>adresse, ville, budget</t>
        </is>
      </c>
      <c r="AT18"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26-70503. Objet: Prestations de nettoyage des locaux et de la vitrerie et prestations associées pour les sites du GHT Grand Paris Nord-Est. Acheteur: GHT GPNE. Lien: https://www.boamp.fr/pages/avis/?q=idweb:26-70503.</t>
        </is>
      </c>
      <c r="AU18" t="inlineStr">
        <is>
          <t>Verifier url_avis et DCE si disponible</t>
        </is>
      </c>
      <c r="AV18" t="inlineStr">
        <is>
          <t>LIEN_SEUL</t>
        </is>
      </c>
      <c r="AW18" t="inlineStr"/>
      <c r="AX18" t="inlineStr"/>
      <c r="AY18" t="inlineStr"/>
      <c r="AZ18" t="inlineStr"/>
      <c r="BA18" t="inlineStr"/>
      <c r="BB18" t="inlineStr">
        <is>
          <t>+35 nettoyage + categorie claire | +10 budget non affiche (a verifier) | +10 delai confortable 38j</t>
        </is>
      </c>
      <c r="BC18" t="inlineStr">
        <is>
          <t>GHT GPNE publie un AO potentiellement pertinent pour CHRUTH : Prestations de nettoyage des locaux et de la vitrerie et prestations associées pour les sites du GHT Grand Paris Nord-Est. Zone : 93. Budget a verifier. Verifier le lien source avant contact.</t>
        </is>
      </c>
      <c r="BD18" t="inlineStr">
        <is>
          <t>Bonjour,
Je me permets de vous contacter au sujet de votre appel d'offres : Prestations de nettoyage des locaux et de la vitrerie et prestations associées pour les sites du GHT Grand Paris Nord-Est.
CHRUTH accompagne les structures publiques et privées sur les besoins de nettoyage, d'entretien des locaux et d'organisation de prestations de service.
Serait-il possible d'échanger rapidement afin de vérifier les modalités de réponse et les attentes de GHT GPNE ?
Cordialement,</t>
        </is>
      </c>
      <c r="BE18" t="inlineStr">
        <is>
          <t>Bonjour, je vous appelle concernant un appel d'offres publié par GHT GPNE. Je souhaite vérifier les informations pratiques : périmètre des prestations, date limite, modalités de visite, contact technique et pièces attendues. Pouvez-vous m'indiquer la bonne personne à contacter ?</t>
        </is>
      </c>
      <c r="BF18" t="inlineStr"/>
      <c r="BG18" t="inlineStr"/>
      <c r="BH18" t="inlineStr"/>
      <c r="BI18" t="inlineStr"/>
      <c r="BJ18" t="inlineStr"/>
      <c r="BK18" t="inlineStr"/>
      <c r="BL18" t="inlineStr"/>
      <c r="BM18" t="inlineStr">
        <is>
          <t>2026-W29</t>
        </is>
      </c>
    </row>
    <row r="19">
      <c r="A19" t="inlineStr">
        <is>
          <t>BOAMP</t>
        </is>
      </c>
      <c r="B19" t="inlineStr">
        <is>
          <t>26-72690</t>
        </is>
      </c>
      <c r="C19" t="inlineStr">
        <is>
          <t>Service de mise à disposition de personnel</t>
        </is>
      </c>
      <c r="D19" t="inlineStr">
        <is>
          <t>Mairie d&amp;#039;ANTONY</t>
        </is>
      </c>
      <c r="E19" t="inlineStr">
        <is>
          <t>21920002900011</t>
        </is>
      </c>
      <c r="F19" t="inlineStr">
        <is>
          <t>219200029</t>
        </is>
      </c>
      <c r="G19" t="inlineStr"/>
      <c r="H19" t="inlineStr"/>
      <c r="I19" t="inlineStr">
        <is>
          <t>marchespublics@ville-antony.fr</t>
        </is>
      </c>
      <c r="J19" t="inlineStr">
        <is>
          <t>+33 140966840</t>
        </is>
      </c>
      <c r="K19" t="inlineStr"/>
      <c r="L19" t="inlineStr"/>
      <c r="M19" t="inlineStr"/>
      <c r="N19" t="inlineStr">
        <is>
          <t>92</t>
        </is>
      </c>
      <c r="O19" t="inlineStr"/>
      <c r="P19" t="inlineStr">
        <is>
          <t>Ile-de-France</t>
        </is>
      </c>
      <c r="Q19" s="14" t="n">
        <v>46225</v>
      </c>
      <c r="R19" s="14" t="n">
        <v>46274</v>
      </c>
      <c r="S19" s="15" t="n">
        <v>150000</v>
      </c>
      <c r="T19" t="inlineStr">
        <is>
          <t>BUDGET_EXPLICITE_OK</t>
        </is>
      </c>
      <c r="U19" t="inlineStr">
        <is>
          <t>37500</t>
        </is>
      </c>
      <c r="V19" t="inlineStr">
        <is>
          <t>oui</t>
        </is>
      </c>
      <c r="W19" t="inlineStr">
        <is>
          <t>Personnel</t>
        </is>
      </c>
      <c r="X19" t="inlineStr">
        <is>
          <t>Mairie</t>
        </is>
      </c>
      <c r="Y19" t="inlineStr">
        <is>
          <t>SERVICES</t>
        </is>
      </c>
      <c r="Z19" t="inlineStr">
        <is>
          <t>Procédure Ouverte</t>
        </is>
      </c>
      <c r="AA19" t="inlineStr">
        <is>
          <t>Avis de marché</t>
        </is>
      </c>
      <c r="AB19" t="inlineStr">
        <is>
          <t>Mise à disposition de personnel</t>
        </is>
      </c>
      <c r="AC19" t="inlineStr"/>
      <c r="AD19" s="10" t="inlineStr">
        <is>
          <t>https://www.boamp.fr/pages/avis/?q=idweb:26-72690</t>
        </is>
      </c>
      <c r="AE19" t="inlineStr">
        <is>
          <t>https://marches.maximilien.fr/</t>
        </is>
      </c>
      <c r="AF19" t="inlineStr">
        <is>
          <t>https://marches.maximilien.fr/</t>
        </is>
      </c>
      <c r="AG19" t="inlineStr"/>
      <c r="AH19" t="inlineStr">
        <is>
          <t>3</t>
        </is>
      </c>
      <c r="AI19" t="inlineStr">
        <is>
          <t>60</t>
        </is>
      </c>
      <c r="AJ19" t="inlineStr">
        <is>
          <t>INFO_PARTIELLE</t>
        </is>
      </c>
      <c r="AK19" t="inlineStr">
        <is>
          <t>45</t>
        </is>
      </c>
      <c r="AL19" t="inlineStr">
        <is>
          <t>TIEDE</t>
        </is>
      </c>
      <c r="AM19" t="inlineStr"/>
      <c r="AN19" t="inlineStr"/>
      <c r="AO19" t="inlineStr"/>
      <c r="AP19" t="inlineStr"/>
      <c r="AQ19" t="inlineStr">
        <is>
          <t>IA_CONTACT_A_COMPLETER</t>
        </is>
      </c>
      <c r="AR19" t="inlineStr">
        <is>
          <t>Completer les champs manquants depuis l'avis source, le site acheteur ou le DCE.</t>
        </is>
      </c>
      <c r="AS19" t="inlineStr">
        <is>
          <t>adresse, ville</t>
        </is>
      </c>
      <c r="AT19"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26-72690. Objet: Service de mise à disposition de personnel. Acheteur: Mairie d&amp;#039;ANTONY. Lien: https://www.boamp.fr/pages/avis/?q=idweb:26-72690.</t>
        </is>
      </c>
      <c r="AU19" t="inlineStr">
        <is>
          <t>Verifier url_avis et DCE si disponible</t>
        </is>
      </c>
      <c r="AV19" t="inlineStr"/>
      <c r="AW19" t="inlineStr"/>
      <c r="AX19" t="inlineStr"/>
      <c r="AY19" t="inlineStr"/>
      <c r="AZ19" t="inlineStr"/>
      <c r="BA19" t="inlineStr"/>
      <c r="BB19" t="inlineStr">
        <is>
          <t>0 pertinence metier faible | +25 budget annualise &lt;= 50 000 EUR | +10 secteur cible Mairie | +10 delai confortable 43j</t>
        </is>
      </c>
      <c r="BC19" t="inlineStr">
        <is>
          <t>Mairie d&amp;#039;ANTONY publie un AO potentiellement pertinent pour CHRUTH : Service de mise à disposition de personnel. Zone : 92. Budget detecte environ 150 000 EUR. Verifier le lien source avant contact.</t>
        </is>
      </c>
      <c r="BD19" t="inlineStr">
        <is>
          <t>Bonjour,
Je me permets de vous contacter au sujet de votre appel d'offres : Service de mise à disposition de personnel.
CHRUTH accompagne les structures publiques et privées sur les besoins de nettoyage, d'entretien des locaux et d'organisation de prestations de service.
Serait-il possible d'échanger rapidement afin de vérifier les modalités de réponse et les attentes de Mairie d&amp;#039;ANTONY ?
Cordialement,</t>
        </is>
      </c>
      <c r="BE19" t="inlineStr">
        <is>
          <t>Bonjour, je vous appelle concernant un appel d'offres publié par Mairie d&amp;#039;ANTONY. Je souhaite vérifier les informations pratiques : périmètre des prestations, date limite, modalités de visite, contact technique et pièces attendues. Pouvez-vous m'indiquer la bonne personne à contacter ?</t>
        </is>
      </c>
      <c r="BF19" t="inlineStr"/>
      <c r="BG19" t="inlineStr"/>
      <c r="BH19" t="inlineStr"/>
      <c r="BI19" t="inlineStr"/>
      <c r="BJ19" t="inlineStr"/>
      <c r="BK19" t="inlineStr"/>
      <c r="BL19" t="inlineStr"/>
      <c r="BM19" t="inlineStr">
        <is>
          <t>2026-W30</t>
        </is>
      </c>
    </row>
    <row r="20">
      <c r="A20" t="inlineStr">
        <is>
          <t>BOAMP</t>
        </is>
      </c>
      <c r="B20" t="inlineStr">
        <is>
          <t>26-70805</t>
        </is>
      </c>
      <c r="C20" t="inlineStr">
        <is>
          <t>Prestation de paie externalisée</t>
        </is>
      </c>
      <c r="D20" t="inlineStr">
        <is>
          <t>Les Eaux de la Confluence</t>
        </is>
      </c>
      <c r="E20" t="inlineStr">
        <is>
          <t>10133050400016</t>
        </is>
      </c>
      <c r="F20" t="inlineStr">
        <is>
          <t>101330504</t>
        </is>
      </c>
      <c r="G20" t="inlineStr">
        <is>
          <t>Service achat</t>
        </is>
      </c>
      <c r="H20" t="inlineStr"/>
      <c r="I20" t="inlineStr">
        <is>
          <t>juliette.gontier@leseauxdelaconfluence.fr</t>
        </is>
      </c>
      <c r="J20" t="inlineStr">
        <is>
          <t>0133050400</t>
        </is>
      </c>
      <c r="K20" t="inlineStr">
        <is>
          <t>(95) Val-d'Oise</t>
        </is>
      </c>
      <c r="L20" t="inlineStr">
        <is>
          <t>95027</t>
        </is>
      </c>
      <c r="M20" t="inlineStr">
        <is>
          <t>Cergy-Pontoise</t>
        </is>
      </c>
      <c r="N20" t="inlineStr">
        <is>
          <t>95</t>
        </is>
      </c>
      <c r="O20" t="inlineStr"/>
      <c r="P20" t="inlineStr">
        <is>
          <t>Ile-de-France</t>
        </is>
      </c>
      <c r="Q20" s="14" t="n">
        <v>46219</v>
      </c>
      <c r="R20" s="14" t="n">
        <v>46240</v>
      </c>
      <c r="S20" s="15" t="n">
        <v>95027</v>
      </c>
      <c r="T20" t="inlineStr">
        <is>
          <t>BUDGET_SOUS_SEUIL</t>
        </is>
      </c>
      <c r="U20" t="inlineStr">
        <is>
          <t>190054</t>
        </is>
      </c>
      <c r="V20" t="inlineStr">
        <is>
          <t>oui</t>
        </is>
      </c>
      <c r="W20" t="inlineStr">
        <is>
          <t>Batiments</t>
        </is>
      </c>
      <c r="X20" t="inlineStr">
        <is>
          <t>Autre</t>
        </is>
      </c>
      <c r="Y20" t="inlineStr">
        <is>
          <t>SERVICES</t>
        </is>
      </c>
      <c r="Z20" t="inlineStr">
        <is>
          <t>Procédure Ouverte</t>
        </is>
      </c>
      <c r="AA20" t="inlineStr">
        <is>
          <t>Avis de marché</t>
        </is>
      </c>
      <c r="AB20" t="inlineStr">
        <is>
          <t>Nettoyage de locaux</t>
        </is>
      </c>
      <c r="AC20" t="inlineStr"/>
      <c r="AD20" s="10" t="inlineStr">
        <is>
          <t>https://www.boamp.fr/pages/avis/?q=idweb:26-70805</t>
        </is>
      </c>
      <c r="AE20" t="inlineStr">
        <is>
          <t>https://marches.maximilien.fr/entreprise/consultation/943427?orgAcronyme=a7q</t>
        </is>
      </c>
      <c r="AF20" t="inlineStr">
        <is>
          <t>https://marches.maximilien.fr/entreprise/consultation/943427?orgAcronyme=a7q</t>
        </is>
      </c>
      <c r="AG20" t="inlineStr">
        <is>
          <t>nettoyage</t>
        </is>
      </c>
      <c r="AH20" t="inlineStr">
        <is>
          <t>6</t>
        </is>
      </c>
      <c r="AI20" t="inlineStr">
        <is>
          <t>98</t>
        </is>
      </c>
      <c r="AJ20" t="inlineStr">
        <is>
          <t>INFO_PARTIELLE</t>
        </is>
      </c>
      <c r="AK20" t="inlineStr">
        <is>
          <t>45</t>
        </is>
      </c>
      <c r="AL20" t="inlineStr">
        <is>
          <t>TIEDE</t>
        </is>
      </c>
      <c r="AM20" t="inlineStr"/>
      <c r="AN20" t="inlineStr"/>
      <c r="AO20" t="inlineStr"/>
      <c r="AP20" t="inlineStr"/>
      <c r="AQ20" t="inlineStr">
        <is>
          <t>IA_CONTROLE_SOURCE</t>
        </is>
      </c>
      <c r="AR20" t="inlineStr">
        <is>
          <t>Verifier rapidement la source avant contact.</t>
        </is>
      </c>
      <c r="AS20" t="inlineStr">
        <is>
          <t>Aucun champ critique manquant</t>
        </is>
      </c>
      <c r="AT20"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26-70805. Objet: Prestation de paie externalisée. Acheteur: Les Eaux de la Confluence. Lien: https://www.boamp.fr/pages/avis/?q=idweb:26-70805.</t>
        </is>
      </c>
      <c r="AU20" t="inlineStr">
        <is>
          <t>Verifier url_avis et DCE si disponible</t>
        </is>
      </c>
      <c r="AV20" t="inlineStr"/>
      <c r="AW20" t="inlineStr"/>
      <c r="AX20" t="inlineStr"/>
      <c r="AY20" t="inlineStr"/>
      <c r="AZ20" t="inlineStr"/>
      <c r="BA20" t="inlineStr"/>
      <c r="BB20" t="inlineStr">
        <is>
          <t>+35 nettoyage + categorie claire | +5 budget annualise &lt;= 200 000 EUR | +5 delai court 9j</t>
        </is>
      </c>
      <c r="BC20" t="inlineStr">
        <is>
          <t>Les Eaux de la Confluence publie un AO potentiellement pertinent pour CHRUTH : Prestation de paie externalisée. Zone : Cergy-Pontoise. Budget detecte environ 95 027 EUR. Verifier le lien source avant contact.</t>
        </is>
      </c>
      <c r="BD20" t="inlineStr">
        <is>
          <t>Bonjour,
Je me permets de vous contacter au sujet de votre appel d'offres : Prestation de paie externalisée.
CHRUTH accompagne les structures publiques et privées sur les besoins de nettoyage, d'entretien des locaux et d'organisation de prestations de service.
Serait-il possible d'échanger rapidement afin de vérifier les modalités de réponse et les attentes de Les Eaux de la Confluence ?
Cordialement,</t>
        </is>
      </c>
      <c r="BE20" t="inlineStr">
        <is>
          <t>Bonjour, je vous appelle concernant un appel d'offres publié par Les Eaux de la Confluence. Je souhaite vérifier les informations pratiques : périmètre des prestations, date limite, modalités de visite, contact technique et pièces attendues. Pouvez-vous m'indiquer la bonne personne à contacter ?</t>
        </is>
      </c>
      <c r="BF20" t="inlineStr"/>
      <c r="BG20" t="inlineStr"/>
      <c r="BH20" t="inlineStr"/>
      <c r="BI20" t="inlineStr"/>
      <c r="BJ20" t="inlineStr"/>
      <c r="BK20" t="inlineStr"/>
      <c r="BL20" t="inlineStr"/>
      <c r="BM20" t="inlineStr">
        <is>
          <t>2026-W29</t>
        </is>
      </c>
    </row>
    <row r="21">
      <c r="A21" t="inlineStr">
        <is>
          <t>BOAMP</t>
        </is>
      </c>
      <c r="B21" t="inlineStr">
        <is>
          <t>26-70259</t>
        </is>
      </c>
      <c r="C21" t="inlineStr">
        <is>
          <t>Marché de prestations de gardiennage lors de manifestations sur sites
Le titulaire du présent marché sera capable d'assurer sa mission de gardiennage dans le cadre d'interventions planifiée</t>
        </is>
      </c>
      <c r="D21" t="inlineStr">
        <is>
          <t>Mairie de Sannois</t>
        </is>
      </c>
      <c r="E21" t="inlineStr"/>
      <c r="F21" t="inlineStr"/>
      <c r="G21" t="inlineStr"/>
      <c r="H21" t="inlineStr"/>
      <c r="I21" t="inlineStr">
        <is>
          <t>publications-joue@aws-france.com</t>
        </is>
      </c>
      <c r="J21" t="inlineStr">
        <is>
          <t>+33480041260</t>
        </is>
      </c>
      <c r="K21" t="inlineStr"/>
      <c r="L21" t="inlineStr"/>
      <c r="M21" t="inlineStr"/>
      <c r="N21" t="inlineStr">
        <is>
          <t>95</t>
        </is>
      </c>
      <c r="O21" t="inlineStr"/>
      <c r="P21" t="inlineStr">
        <is>
          <t>Ile-de-France</t>
        </is>
      </c>
      <c r="Q21" s="14" t="n">
        <v>46219</v>
      </c>
      <c r="R21" s="14" t="n">
        <v>46251</v>
      </c>
      <c r="S21" s="15" t="n">
        <v>55000</v>
      </c>
      <c r="T21" t="inlineStr">
        <is>
          <t>BUDGET_SOUS_SEUIL</t>
        </is>
      </c>
      <c r="U21" t="inlineStr">
        <is>
          <t>55000.0</t>
        </is>
      </c>
      <c r="V21" t="inlineStr">
        <is>
          <t>non</t>
        </is>
      </c>
      <c r="W21" t="inlineStr">
        <is>
          <t>Personnel</t>
        </is>
      </c>
      <c r="X21" t="inlineStr">
        <is>
          <t>Mairie</t>
        </is>
      </c>
      <c r="Y21" t="inlineStr">
        <is>
          <t>SERVICES</t>
        </is>
      </c>
      <c r="Z21" t="inlineStr">
        <is>
          <t>Procédure Ouverte</t>
        </is>
      </c>
      <c r="AA21" t="inlineStr">
        <is>
          <t>Avis de marché</t>
        </is>
      </c>
      <c r="AB21" t="inlineStr">
        <is>
          <t>Gardiennage, Prestations de services, Surveillance</t>
        </is>
      </c>
      <c r="AC21" t="inlineStr">
        <is>
          <t>['sociaux', 'environnementaux']</t>
        </is>
      </c>
      <c r="AD21" s="10" t="inlineStr">
        <is>
          <t>https://www.boamp.fr/pages/avis/?q=idweb:26-70259</t>
        </is>
      </c>
      <c r="AE21" t="inlineStr">
        <is>
          <t>https://www.achatpublic.com/</t>
        </is>
      </c>
      <c r="AF21" t="inlineStr">
        <is>
          <t>https://www.achatpublic.com/</t>
        </is>
      </c>
      <c r="AG21" t="inlineStr"/>
      <c r="AH21" t="inlineStr">
        <is>
          <t>2</t>
        </is>
      </c>
      <c r="AI21" t="inlineStr">
        <is>
          <t>50</t>
        </is>
      </c>
      <c r="AJ21" t="inlineStr">
        <is>
          <t>INFO_PARTIELLE</t>
        </is>
      </c>
      <c r="AK21" t="inlineStr">
        <is>
          <t>40</t>
        </is>
      </c>
      <c r="AL21" t="inlineStr">
        <is>
          <t>TIEDE</t>
        </is>
      </c>
      <c r="AM21" t="inlineStr"/>
      <c r="AN21" t="inlineStr"/>
      <c r="AO21" t="inlineStr"/>
      <c r="AP21" t="inlineStr"/>
      <c r="AQ21" t="inlineStr">
        <is>
          <t>IA_CONTACT_A_COMPLETER</t>
        </is>
      </c>
      <c r="AR21" t="inlineStr">
        <is>
          <t>Completer les champs manquants depuis l'avis source, le site acheteur ou le DCE.</t>
        </is>
      </c>
      <c r="AS21" t="inlineStr">
        <is>
          <t>SIRET, adresse, ville</t>
        </is>
      </c>
      <c r="AT21" t="inlineStr">
        <is>
          <t>Tu es l'agent IA CHRUTH. Verifie cet appel d'offres depuis le lien source. Extrait uniquement les informations prouvees : acheteur, SIRET, contact, email, telephone, adresse, ville, budget, date limite, pieces DCE et pertinence pour CHRUTH. Ne devine pas. Si une information est absente, reponds 'non trouve'. ID AO: 26-70259. Objet: Marché de prestations de gardiennage lors de manifestations sur sites
Le titulaire du présent marché sera capable d'assurer sa mission de gardiennage dans le cadre d'interventions planifiée. Acheteur: Mairie de Sannois. Lien: https://www.boamp.fr/pages/avis/?q=idweb:26-70259.</t>
        </is>
      </c>
      <c r="AU21" t="inlineStr">
        <is>
          <t>Verifier url_avis et DCE si disponible</t>
        </is>
      </c>
      <c r="AV21" t="inlineStr"/>
      <c r="AW21" t="inlineStr"/>
      <c r="AX21" t="inlineStr"/>
      <c r="AY21" t="inlineStr"/>
      <c r="AZ21" t="inlineStr"/>
      <c r="BA21" t="inlineStr"/>
      <c r="BB21" t="inlineStr">
        <is>
          <t>0 pertinence metier faible | +20 budget annualise &lt;= 100 000 EUR | +10 secteur cible Mairie | +10 delai confortable 20j</t>
        </is>
      </c>
      <c r="BC21" t="inlineStr">
        <is>
          <t>Mairie de Sannois publie un AO potentiellement pertinent pour CHRUTH : Marché de prestations de gardiennage lors de manifestations sur sites
Le titulaire du présent marché sera capable d'assurer sa mission de gardiennage dans le cadre d'interventions planifiée. Zone : 95. Budget detecte environ 55 000 EUR. Verifier le lien source avant contact.</t>
        </is>
      </c>
      <c r="BD21" t="inlineStr">
        <is>
          <t>Bonjour,
Je me permets de vous contacter au sujet de votre appel d'offres : Marché de prestations de gardiennage lors de manifestations sur sites
Le titulaire du présent marché sera capable d'assurer sa mission de gardiennage dans le cadre d'interventions planifiée.
CHRUTH accompagne les structures publiques et privées sur les besoins de nettoyage, d'entretien des locaux et d'organisation de prestations de service.
Serait-il possible d'échanger rapidement afin de vérifier les modalités de réponse et les attentes de Mairie de Sannois ?
Cordialement,</t>
        </is>
      </c>
      <c r="BE21" t="inlineStr">
        <is>
          <t>Bonjour, je vous appelle concernant un appel d'offres publié par Mairie de Sannois. Je souhaite vérifier les informations pratiques : périmètre des prestations, date limite, modalités de visite, contact technique et pièces attendues. Pouvez-vous m'indiquer la bonne personne à contacter ?</t>
        </is>
      </c>
      <c r="BF21" t="inlineStr"/>
      <c r="BG21" t="inlineStr"/>
      <c r="BH21" t="inlineStr"/>
      <c r="BI21" t="inlineStr"/>
      <c r="BJ21" t="inlineStr"/>
      <c r="BK21" t="inlineStr"/>
      <c r="BL21" t="inlineStr"/>
      <c r="BM21" t="inlineStr">
        <is>
          <t>2026-W29</t>
        </is>
      </c>
    </row>
  </sheetData>
  <hyperlinks>
    <hyperlink xmlns:r="http://schemas.openxmlformats.org/officeDocument/2006/relationships" ref="AD2" r:id="rId1"/>
    <hyperlink xmlns:r="http://schemas.openxmlformats.org/officeDocument/2006/relationships" ref="AD3" r:id="rId2"/>
    <hyperlink xmlns:r="http://schemas.openxmlformats.org/officeDocument/2006/relationships" ref="AD4" r:id="rId3"/>
    <hyperlink xmlns:r="http://schemas.openxmlformats.org/officeDocument/2006/relationships" ref="AD5" r:id="rId4"/>
    <hyperlink xmlns:r="http://schemas.openxmlformats.org/officeDocument/2006/relationships" ref="AD6" r:id="rId5"/>
    <hyperlink xmlns:r="http://schemas.openxmlformats.org/officeDocument/2006/relationships" ref="AD7" r:id="rId6"/>
    <hyperlink xmlns:r="http://schemas.openxmlformats.org/officeDocument/2006/relationships" ref="AD8" r:id="rId7"/>
    <hyperlink xmlns:r="http://schemas.openxmlformats.org/officeDocument/2006/relationships" ref="AD9" r:id="rId8"/>
    <hyperlink xmlns:r="http://schemas.openxmlformats.org/officeDocument/2006/relationships" ref="AD10" r:id="rId9"/>
    <hyperlink xmlns:r="http://schemas.openxmlformats.org/officeDocument/2006/relationships" ref="AD11" r:id="rId10"/>
    <hyperlink xmlns:r="http://schemas.openxmlformats.org/officeDocument/2006/relationships" ref="AD12" r:id="rId11"/>
    <hyperlink xmlns:r="http://schemas.openxmlformats.org/officeDocument/2006/relationships" ref="AD13" r:id="rId12"/>
    <hyperlink xmlns:r="http://schemas.openxmlformats.org/officeDocument/2006/relationships" ref="AD14" r:id="rId13"/>
    <hyperlink xmlns:r="http://schemas.openxmlformats.org/officeDocument/2006/relationships" ref="AD15" r:id="rId14"/>
    <hyperlink xmlns:r="http://schemas.openxmlformats.org/officeDocument/2006/relationships" ref="AD16" r:id="rId15"/>
    <hyperlink xmlns:r="http://schemas.openxmlformats.org/officeDocument/2006/relationships" ref="AD17" r:id="rId16"/>
    <hyperlink xmlns:r="http://schemas.openxmlformats.org/officeDocument/2006/relationships" ref="AD18" r:id="rId17"/>
    <hyperlink xmlns:r="http://schemas.openxmlformats.org/officeDocument/2006/relationships" ref="AD19" r:id="rId18"/>
    <hyperlink xmlns:r="http://schemas.openxmlformats.org/officeDocument/2006/relationships" ref="AD20" r:id="rId19"/>
    <hyperlink xmlns:r="http://schemas.openxmlformats.org/officeDocument/2006/relationships" ref="AD21" r:id="rId20"/>
  </hyperlinks>
  <pageMargins left="0.75" right="0.75" top="1" bottom="1" header="0.5" footer="0.5"/>
  <tableParts count="1">
    <tablePart xmlns:r="http://schemas.openxmlformats.org/officeDocument/2006/relationships" r:id="rId21"/>
  </tableParts>
</worksheet>
</file>

<file path=xl/worksheets/sheet11.xml><?xml version="1.0" encoding="utf-8"?>
<worksheet xmlns="http://schemas.openxmlformats.org/spreadsheetml/2006/main">
  <sheetPr>
    <outlinePr summaryBelow="1" summaryRight="1"/>
    <pageSetUpPr/>
  </sheetPr>
  <dimension ref="A1:D5"/>
  <sheetViews>
    <sheetView workbookViewId="0">
      <pane ySplit="1" topLeftCell="A2" activePane="bottomLeft" state="frozen"/>
      <selection pane="bottomLeft" activeCell="A1" sqref="A1"/>
    </sheetView>
  </sheetViews>
  <sheetFormatPr baseColWidth="8" defaultRowHeight="15"/>
  <cols>
    <col width="24" customWidth="1" min="1" max="1"/>
    <col width="55" customWidth="1" min="2" max="2"/>
    <col width="55" customWidth="1" min="3" max="3"/>
    <col width="55" customWidth="1" min="4" max="4"/>
  </cols>
  <sheetData>
    <row r="1">
      <c r="A1" s="12" t="inlineStr">
        <is>
          <t>cas</t>
        </is>
      </c>
      <c r="B1" s="12" t="inlineStr">
        <is>
          <t>quand_utiliser</t>
        </is>
      </c>
      <c r="C1" s="12" t="inlineStr">
        <is>
          <t>action_agent</t>
        </is>
      </c>
      <c r="D1" s="12" t="inlineStr">
        <is>
          <t>sortie_attendue</t>
        </is>
      </c>
    </row>
    <row r="2">
      <c r="A2" t="inlineStr">
        <is>
          <t>IA_DCE_REQUISE</t>
        </is>
      </c>
      <c r="B2" t="inlineStr">
        <is>
          <t>La ligne manque de contact, budget ou informations critiques.</t>
        </is>
      </c>
      <c r="C2" t="inlineStr">
        <is>
          <t>Lire l'avis source, puis telecharger ou consulter le DCE si necessaire.</t>
        </is>
      </c>
      <c r="D2" t="inlineStr">
        <is>
          <t>Champs complets ou mention 'non trouve' avec preuve.</t>
        </is>
      </c>
    </row>
    <row r="3">
      <c r="A3" t="inlineStr">
        <is>
          <t>IA_BUDGET_A_VERIFIER</t>
        </is>
      </c>
      <c r="B3" t="inlineStr">
        <is>
          <t>Le budget n'est pas explicite dans la ligne Excel.</t>
        </is>
      </c>
      <c r="C3" t="inlineStr">
        <is>
          <t>Chercher montant, valeur estimee, montant maximum ou accord-cadre dans l'avis/DCE.</t>
        </is>
      </c>
      <c r="D3" t="inlineStr">
        <is>
          <t>Budget confirme, budget non trouve, ou budget sous seuil.</t>
        </is>
      </c>
    </row>
    <row r="4">
      <c r="A4" t="inlineStr">
        <is>
          <t>IA_CONTACT_A_COMPLETER</t>
        </is>
      </c>
      <c r="B4" t="inlineStr">
        <is>
          <t>Email, telephone, SIRET, adresse ou ville manquent.</t>
        </is>
      </c>
      <c r="C4" t="inlineStr">
        <is>
          <t>Chercher dans l'avis, le profil acheteur, le site institutionnel et le DCE.</t>
        </is>
      </c>
      <c r="D4" t="inlineStr">
        <is>
          <t>Coordonnees verifiees et source de preuve.</t>
        </is>
      </c>
    </row>
    <row r="5">
      <c r="A5" t="inlineStr">
        <is>
          <t>IA_CONTROLE_SOURCE</t>
        </is>
      </c>
      <c r="B5" t="inlineStr">
        <is>
          <t>La ligne semble complete.</t>
        </is>
      </c>
      <c r="C5" t="inlineStr">
        <is>
          <t>Verifier que l'objet, le delai, le budget et le perimetre correspondent bien a CHRUTH.</t>
        </is>
      </c>
      <c r="D5" t="inlineStr">
        <is>
          <t>Decision : contacter, surveiller, non pertinent.</t>
        </is>
      </c>
    </row>
  </sheetData>
  <pageMargins left="0.75" right="0.75" top="1" bottom="1" header="0.5" footer="0.5"/>
  <tableParts count="1">
    <tablePart xmlns:r="http://schemas.openxmlformats.org/officeDocument/2006/relationships" r:id="rId1"/>
  </tableParts>
</worksheet>
</file>

<file path=xl/worksheets/sheet12.xml><?xml version="1.0" encoding="utf-8"?>
<worksheet xmlns="http://schemas.openxmlformats.org/spreadsheetml/2006/main">
  <sheetPr>
    <outlinePr summaryBelow="1" summaryRight="1"/>
    <pageSetUpPr/>
  </sheetPr>
  <dimension ref="A1:C17"/>
  <sheetViews>
    <sheetView workbookViewId="0">
      <pane ySplit="1" topLeftCell="A2" activePane="bottomLeft" state="frozen"/>
      <selection pane="bottomLeft" activeCell="A1" sqref="A1"/>
    </sheetView>
  </sheetViews>
  <sheetFormatPr baseColWidth="8" defaultRowHeight="15"/>
  <cols>
    <col width="20" customWidth="1" min="1" max="1"/>
    <col width="53" customWidth="1" min="2" max="2"/>
    <col width="12" customWidth="1" min="3" max="3"/>
  </cols>
  <sheetData>
    <row r="1">
      <c r="A1" s="12" t="inlineStr">
        <is>
          <t>critere</t>
        </is>
      </c>
      <c r="B1" s="12" t="inlineStr">
        <is>
          <t>regle</t>
        </is>
      </c>
      <c r="C1" s="12" t="inlineStr">
        <is>
          <t>points</t>
        </is>
      </c>
    </row>
    <row r="2">
      <c r="A2" t="inlineStr">
        <is>
          <t>Nettoyage</t>
        </is>
      </c>
      <c r="B2" t="inlineStr">
        <is>
          <t>Mot-cle fort + categorie claire</t>
        </is>
      </c>
      <c r="C2" t="n">
        <v>35</v>
      </c>
    </row>
    <row r="3">
      <c r="A3" t="inlineStr">
        <is>
          <t>Nettoyage</t>
        </is>
      </c>
      <c r="B3" t="inlineStr">
        <is>
          <t>Mot-cle secondaire seulement</t>
        </is>
      </c>
      <c r="C3" t="n">
        <v>15</v>
      </c>
    </row>
    <row r="4">
      <c r="A4" t="inlineStr">
        <is>
          <t>Budget (annualise)</t>
        </is>
      </c>
      <c r="B4" t="inlineStr">
        <is>
          <t>&lt;= 50 000 EUR / an (cible PME)</t>
        </is>
      </c>
      <c r="C4" t="n">
        <v>25</v>
      </c>
    </row>
    <row r="5">
      <c r="A5" t="inlineStr">
        <is>
          <t>Budget (annualise)</t>
        </is>
      </c>
      <c r="B5" t="inlineStr">
        <is>
          <t>50 000 - 100 000 EUR / an</t>
        </is>
      </c>
      <c r="C5" t="n">
        <v>20</v>
      </c>
    </row>
    <row r="6">
      <c r="A6" t="inlineStr">
        <is>
          <t>Budget (annualise)</t>
        </is>
      </c>
      <c r="B6" t="inlineStr">
        <is>
          <t>100 000 - 200 000 EUR / an</t>
        </is>
      </c>
      <c r="C6" t="n">
        <v>5</v>
      </c>
    </row>
    <row r="7">
      <c r="A7" t="inlineStr">
        <is>
          <t>Budget (annualise)</t>
        </is>
      </c>
      <c r="B7" t="inlineStr">
        <is>
          <t>200 000 - 500 000 EUR / an</t>
        </is>
      </c>
      <c r="C7" t="n">
        <v>-10</v>
      </c>
    </row>
    <row r="8">
      <c r="A8" t="inlineStr">
        <is>
          <t>Budget (annualise)</t>
        </is>
      </c>
      <c r="B8" t="inlineStr">
        <is>
          <t>&gt; 500 000 EUR / an (gros groupe)</t>
        </is>
      </c>
      <c r="C8" t="n">
        <v>-20</v>
      </c>
    </row>
    <row r="9">
      <c r="A9" t="inlineStr">
        <is>
          <t>Budget (annualise)</t>
        </is>
      </c>
      <c r="B9" t="inlineStr">
        <is>
          <t>Non affiche (frequent MAPA)</t>
        </is>
      </c>
      <c r="C9" t="n">
        <v>10</v>
      </c>
    </row>
    <row r="10">
      <c r="A10" t="inlineStr">
        <is>
          <t>Procedure</t>
        </is>
      </c>
      <c r="B10" t="inlineStr">
        <is>
          <t>Procedure adaptee / MAPA / allotissement</t>
        </is>
      </c>
      <c r="C10" t="n">
        <v>15</v>
      </c>
    </row>
    <row r="11">
      <c r="A11" t="inlineStr">
        <is>
          <t>Secteur cible</t>
        </is>
      </c>
      <c r="B11" t="inlineStr">
        <is>
          <t>Ecole / mairie / bat. admin / gymnase / mediatheque</t>
        </is>
      </c>
      <c r="C11" t="n">
        <v>10</v>
      </c>
    </row>
    <row r="12">
      <c r="A12" t="inlineStr">
        <is>
          <t>Delai</t>
        </is>
      </c>
      <c r="B12" t="inlineStr">
        <is>
          <t>Date limite confortable (&gt; 15 j)</t>
        </is>
      </c>
      <c r="C12" t="n">
        <v>10</v>
      </c>
    </row>
    <row r="13">
      <c r="A13" t="inlineStr">
        <is>
          <t>Delai</t>
        </is>
      </c>
      <c r="B13" t="inlineStr">
        <is>
          <t>Delai critique (&lt; 5 j)</t>
        </is>
      </c>
      <c r="C13" t="n">
        <v>-15</v>
      </c>
    </row>
    <row r="14">
      <c r="A14" t="inlineStr">
        <is>
          <t>Delai</t>
        </is>
      </c>
      <c r="B14" t="inlineStr">
        <is>
          <t>AO expire</t>
        </is>
      </c>
      <c r="C14" t="n">
        <v>-30</v>
      </c>
    </row>
    <row r="15">
      <c r="A15" t="inlineStr">
        <is>
          <t>Priorite</t>
        </is>
      </c>
      <c r="B15" t="inlineStr">
        <is>
          <t>Score &gt;= 65 et confiance suffisante</t>
        </is>
      </c>
      <c r="C15" t="inlineStr">
        <is>
          <t>CHAUD</t>
        </is>
      </c>
    </row>
    <row r="16">
      <c r="A16" t="inlineStr">
        <is>
          <t>Priorite</t>
        </is>
      </c>
      <c r="B16" t="inlineStr">
        <is>
          <t>Score &gt;= 40</t>
        </is>
      </c>
      <c r="C16" t="inlineStr">
        <is>
          <t>TIEDE</t>
        </is>
      </c>
    </row>
    <row r="17">
      <c r="A17" t="inlineStr">
        <is>
          <t>Priorite</t>
        </is>
      </c>
      <c r="B17" t="inlineStr">
        <is>
          <t>DCE requis / confiance faible</t>
        </is>
      </c>
      <c r="C17" t="inlineStr">
        <is>
          <t>A_VERIFIER</t>
        </is>
      </c>
    </row>
  </sheetData>
  <pageMargins left="0.75" right="0.75" top="1" bottom="1" header="0.5" footer="0.5"/>
  <tableParts count="1">
    <tablePart xmlns:r="http://schemas.openxmlformats.org/officeDocument/2006/relationships" r:id="rId1"/>
  </tableParts>
</worksheet>
</file>

<file path=xl/worksheets/sheet13.xml><?xml version="1.0" encoding="utf-8"?>
<worksheet xmlns="http://schemas.openxmlformats.org/spreadsheetml/2006/main">
  <sheetPr>
    <outlinePr summaryBelow="1" summaryRight="1"/>
    <pageSetUpPr/>
  </sheetPr>
  <dimension ref="A1:G37"/>
  <sheetViews>
    <sheetView workbookViewId="0">
      <pane ySplit="1" topLeftCell="A2" activePane="bottomLeft" state="frozen"/>
      <selection pane="bottomLeft" activeCell="A1" sqref="A1"/>
    </sheetView>
  </sheetViews>
  <sheetFormatPr baseColWidth="8" defaultRowHeight="15"/>
  <cols>
    <col width="55" customWidth="1" min="1" max="1"/>
    <col width="16" customWidth="1" min="2" max="2"/>
    <col width="10" customWidth="1" min="3" max="3"/>
    <col width="11" customWidth="1" min="4" max="4"/>
    <col width="11" customWidth="1" min="5" max="5"/>
    <col width="17" customWidth="1" min="6" max="6"/>
    <col width="12" customWidth="1" min="7" max="7"/>
  </cols>
  <sheetData>
    <row r="1">
      <c r="A1" s="12" t="inlineStr">
        <is>
          <t>acheteur</t>
        </is>
      </c>
      <c r="B1" s="12" t="inlineStr">
        <is>
          <t>siret_acheteur</t>
        </is>
      </c>
      <c r="C1" s="12" t="inlineStr">
        <is>
          <t>nb_ao</t>
        </is>
      </c>
      <c r="D1" s="12" t="inlineStr">
        <is>
          <t>score_max</t>
        </is>
      </c>
      <c r="E1" s="12" t="inlineStr">
        <is>
          <t>priorites</t>
        </is>
      </c>
      <c r="F1" s="12" t="inlineStr">
        <is>
          <t>villes</t>
        </is>
      </c>
      <c r="G1" s="12" t="inlineStr">
        <is>
          <t>dernier_ao</t>
        </is>
      </c>
    </row>
    <row r="2">
      <c r="A2" t="inlineStr">
        <is>
          <t>Ville de Gennevilliers</t>
        </is>
      </c>
      <c r="B2" t="inlineStr"/>
      <c r="C2" t="n">
        <v>1</v>
      </c>
      <c r="D2" t="n">
        <v>80</v>
      </c>
      <c r="E2" t="inlineStr">
        <is>
          <t>CHAUD</t>
        </is>
      </c>
      <c r="F2" t="inlineStr"/>
      <c r="G2" t="inlineStr">
        <is>
          <t>2026-07-24</t>
        </is>
      </c>
    </row>
    <row r="3">
      <c r="A3" t="inlineStr">
        <is>
          <t>ENSA Paris-La Villette</t>
        </is>
      </c>
      <c r="B3" t="inlineStr">
        <is>
          <t>19751875600014</t>
        </is>
      </c>
      <c r="C3" t="n">
        <v>1</v>
      </c>
      <c r="D3" t="n">
        <v>75</v>
      </c>
      <c r="E3" t="inlineStr">
        <is>
          <t>CHAUD</t>
        </is>
      </c>
      <c r="F3" t="inlineStr">
        <is>
          <t>Paris</t>
        </is>
      </c>
      <c r="G3" t="inlineStr">
        <is>
          <t>2026-07-23</t>
        </is>
      </c>
    </row>
    <row r="4">
      <c r="A4" t="inlineStr">
        <is>
          <t>Mairie de Montreuil</t>
        </is>
      </c>
      <c r="B4" t="inlineStr">
        <is>
          <t>21930048000015</t>
        </is>
      </c>
      <c r="C4" t="n">
        <v>1</v>
      </c>
      <c r="D4" t="n">
        <v>75</v>
      </c>
      <c r="E4" t="inlineStr">
        <is>
          <t>CHAUD</t>
        </is>
      </c>
      <c r="F4" t="inlineStr">
        <is>
          <t>Montreuil</t>
        </is>
      </c>
      <c r="G4" t="inlineStr">
        <is>
          <t>2026-07-20</t>
        </is>
      </c>
    </row>
    <row r="5">
      <c r="A5" t="inlineStr">
        <is>
          <t>Mairie de Roissy-en-Brie</t>
        </is>
      </c>
      <c r="B5" t="inlineStr">
        <is>
          <t>21770390900010</t>
        </is>
      </c>
      <c r="C5" t="n">
        <v>1</v>
      </c>
      <c r="D5" t="n">
        <v>75</v>
      </c>
      <c r="E5" t="inlineStr">
        <is>
          <t>CHAUD</t>
        </is>
      </c>
      <c r="F5" t="inlineStr">
        <is>
          <t>ROISSY EN BRIE</t>
        </is>
      </c>
      <c r="G5" t="inlineStr">
        <is>
          <t>2026-07-27</t>
        </is>
      </c>
    </row>
    <row r="6">
      <c r="A6" t="inlineStr">
        <is>
          <t>COMMUNE DE MAGNY LE HONGRE</t>
        </is>
      </c>
      <c r="B6" t="inlineStr">
        <is>
          <t>21770268700013</t>
        </is>
      </c>
      <c r="C6" t="n">
        <v>1</v>
      </c>
      <c r="D6" t="n">
        <v>70</v>
      </c>
      <c r="E6" t="inlineStr">
        <is>
          <t>CHAUD</t>
        </is>
      </c>
      <c r="F6" t="inlineStr">
        <is>
          <t>MAGNY LE HONGRE</t>
        </is>
      </c>
      <c r="G6" t="inlineStr">
        <is>
          <t>2026-07-15</t>
        </is>
      </c>
    </row>
    <row r="7">
      <c r="A7" t="inlineStr">
        <is>
          <t>EPAMSA</t>
        </is>
      </c>
      <c r="B7" t="inlineStr">
        <is>
          <t>41063810000033</t>
        </is>
      </c>
      <c r="C7" t="n">
        <v>1</v>
      </c>
      <c r="D7" t="n">
        <v>70</v>
      </c>
      <c r="E7" t="inlineStr">
        <is>
          <t>CHAUD</t>
        </is>
      </c>
      <c r="F7" t="inlineStr">
        <is>
          <t>MANTES-LA-JOLIE</t>
        </is>
      </c>
      <c r="G7" t="inlineStr">
        <is>
          <t>2026-07-16</t>
        </is>
      </c>
    </row>
    <row r="8">
      <c r="A8" t="inlineStr">
        <is>
          <t>Centre Monuments Nationaux</t>
        </is>
      </c>
      <c r="B8" t="inlineStr">
        <is>
          <t>18004601300017</t>
        </is>
      </c>
      <c r="C8" t="n">
        <v>1</v>
      </c>
      <c r="D8" t="n">
        <v>65</v>
      </c>
      <c r="E8" t="inlineStr">
        <is>
          <t>CHAUD</t>
        </is>
      </c>
      <c r="F8" t="inlineStr"/>
      <c r="G8" t="inlineStr">
        <is>
          <t>2026-07-23</t>
        </is>
      </c>
    </row>
    <row r="9">
      <c r="A9" t="inlineStr">
        <is>
          <t>Département des Hauts-de-Seine</t>
        </is>
      </c>
      <c r="B9" t="inlineStr">
        <is>
          <t>22920050600611</t>
        </is>
      </c>
      <c r="C9" t="n">
        <v>1</v>
      </c>
      <c r="D9" t="n">
        <v>65</v>
      </c>
      <c r="E9" t="inlineStr">
        <is>
          <t>CHAUD</t>
        </is>
      </c>
      <c r="F9" t="inlineStr">
        <is>
          <t>NANTERRE</t>
        </is>
      </c>
      <c r="G9" t="inlineStr">
        <is>
          <t>2026-07-17</t>
        </is>
      </c>
    </row>
    <row r="10">
      <c r="A10" t="inlineStr">
        <is>
          <t>Ville de Montrouge</t>
        </is>
      </c>
      <c r="B10" t="inlineStr"/>
      <c r="C10" t="n">
        <v>1</v>
      </c>
      <c r="D10" t="n">
        <v>65</v>
      </c>
      <c r="E10" t="inlineStr">
        <is>
          <t>CHAUD</t>
        </is>
      </c>
      <c r="F10" t="inlineStr">
        <is>
          <t>Montrouge cedex</t>
        </is>
      </c>
      <c r="G10" t="inlineStr">
        <is>
          <t>2026-07-16</t>
        </is>
      </c>
    </row>
    <row r="11">
      <c r="A11" t="inlineStr">
        <is>
          <t>Grand Paris Seine Ouest</t>
        </is>
      </c>
      <c r="B11" t="inlineStr">
        <is>
          <t>20005797400012</t>
        </is>
      </c>
      <c r="C11" t="n">
        <v>1</v>
      </c>
      <c r="D11" t="n">
        <v>60</v>
      </c>
      <c r="E11" t="inlineStr">
        <is>
          <t>TIEDE</t>
        </is>
      </c>
      <c r="F11" t="inlineStr"/>
      <c r="G11" t="inlineStr">
        <is>
          <t>2026-07-19</t>
        </is>
      </c>
    </row>
    <row r="12">
      <c r="A12" t="inlineStr">
        <is>
          <t>Ville de Fontenay-aux-Roses</t>
        </is>
      </c>
      <c r="B12" t="inlineStr"/>
      <c r="C12" t="n">
        <v>1</v>
      </c>
      <c r="D12" t="n">
        <v>60</v>
      </c>
      <c r="E12" t="inlineStr">
        <is>
          <t>TIEDE</t>
        </is>
      </c>
      <c r="F12" t="inlineStr"/>
      <c r="G12" t="inlineStr">
        <is>
          <t>2026-07-21</t>
        </is>
      </c>
    </row>
    <row r="13">
      <c r="A13" t="inlineStr">
        <is>
          <t>Ville de Plaisir</t>
        </is>
      </c>
      <c r="B13" t="inlineStr">
        <is>
          <t>21780490500016</t>
        </is>
      </c>
      <c r="C13" t="n">
        <v>1</v>
      </c>
      <c r="D13" t="n">
        <v>60</v>
      </c>
      <c r="E13" t="inlineStr">
        <is>
          <t>TIEDE</t>
        </is>
      </c>
      <c r="F13" t="inlineStr"/>
      <c r="G13" t="inlineStr">
        <is>
          <t>2026-07-23</t>
        </is>
      </c>
    </row>
    <row r="14">
      <c r="A14" t="inlineStr">
        <is>
          <t>CNRS Délégation paris-Centre</t>
        </is>
      </c>
      <c r="B14" t="inlineStr">
        <is>
          <t>18008901303282</t>
        </is>
      </c>
      <c r="C14" t="n">
        <v>1</v>
      </c>
      <c r="D14" t="n">
        <v>55</v>
      </c>
      <c r="E14" t="inlineStr">
        <is>
          <t>TIEDE</t>
        </is>
      </c>
      <c r="F14" t="inlineStr"/>
      <c r="G14" t="inlineStr">
        <is>
          <t>2026-07-22</t>
        </is>
      </c>
    </row>
    <row r="15">
      <c r="A15" t="inlineStr">
        <is>
          <t>Centre Hospitalier Poissy/Saint-Germain-En-Laye</t>
        </is>
      </c>
      <c r="B15" t="inlineStr">
        <is>
          <t>26780580200316</t>
        </is>
      </c>
      <c r="C15" t="n">
        <v>1</v>
      </c>
      <c r="D15" t="n">
        <v>55</v>
      </c>
      <c r="E15" t="inlineStr">
        <is>
          <t>TIEDE</t>
        </is>
      </c>
      <c r="F15" t="inlineStr"/>
      <c r="G15" t="inlineStr">
        <is>
          <t>2026-07-21</t>
        </is>
      </c>
    </row>
    <row r="16">
      <c r="A16" t="inlineStr">
        <is>
          <t>Département des Hauts-de-Seine</t>
        </is>
      </c>
      <c r="B16" t="inlineStr"/>
      <c r="C16" t="n">
        <v>1</v>
      </c>
      <c r="D16" t="n">
        <v>55</v>
      </c>
      <c r="E16" t="inlineStr">
        <is>
          <t>TIEDE</t>
        </is>
      </c>
      <c r="F16" t="inlineStr"/>
      <c r="G16" t="inlineStr">
        <is>
          <t>2026-07-25</t>
        </is>
      </c>
    </row>
    <row r="17">
      <c r="A17" t="inlineStr">
        <is>
          <t>EPIDE</t>
        </is>
      </c>
      <c r="B17" t="inlineStr">
        <is>
          <t>18009259500131</t>
        </is>
      </c>
      <c r="C17" t="n">
        <v>1</v>
      </c>
      <c r="D17" t="n">
        <v>55</v>
      </c>
      <c r="E17" t="inlineStr">
        <is>
          <t>TIEDE</t>
        </is>
      </c>
      <c r="F17" t="inlineStr"/>
      <c r="G17" t="inlineStr">
        <is>
          <t>2026-07-17</t>
        </is>
      </c>
    </row>
    <row r="18">
      <c r="A18" t="inlineStr">
        <is>
          <t>GHT GPNE</t>
        </is>
      </c>
      <c r="B18" t="inlineStr">
        <is>
          <t>20001803400013</t>
        </is>
      </c>
      <c r="C18" t="n">
        <v>1</v>
      </c>
      <c r="D18" t="n">
        <v>55</v>
      </c>
      <c r="E18" t="inlineStr">
        <is>
          <t>TIEDE</t>
        </is>
      </c>
      <c r="F18" t="inlineStr"/>
      <c r="G18" t="inlineStr">
        <is>
          <t>2026-07-17</t>
        </is>
      </c>
    </row>
    <row r="19">
      <c r="A19" t="inlineStr">
        <is>
          <t>Les Eaux de la Confluence</t>
        </is>
      </c>
      <c r="B19" t="inlineStr">
        <is>
          <t>10133050400016</t>
        </is>
      </c>
      <c r="C19" t="n">
        <v>1</v>
      </c>
      <c r="D19" t="n">
        <v>45</v>
      </c>
      <c r="E19" t="inlineStr">
        <is>
          <t>TIEDE</t>
        </is>
      </c>
      <c r="F19" t="inlineStr">
        <is>
          <t>Cergy-Pontoise</t>
        </is>
      </c>
      <c r="G19" t="inlineStr">
        <is>
          <t>2026-07-16</t>
        </is>
      </c>
    </row>
    <row r="20">
      <c r="A20" t="inlineStr">
        <is>
          <t>Mairie d&amp;#039;ANTONY</t>
        </is>
      </c>
      <c r="B20" t="inlineStr">
        <is>
          <t>21920002900011</t>
        </is>
      </c>
      <c r="C20" t="n">
        <v>1</v>
      </c>
      <c r="D20" t="n">
        <v>45</v>
      </c>
      <c r="E20" t="inlineStr">
        <is>
          <t>TIEDE</t>
        </is>
      </c>
      <c r="F20" t="inlineStr"/>
      <c r="G20" t="inlineStr">
        <is>
          <t>2026-07-22</t>
        </is>
      </c>
    </row>
    <row r="21">
      <c r="A21" t="inlineStr">
        <is>
          <t>Mairie de Sannois</t>
        </is>
      </c>
      <c r="B21" t="inlineStr"/>
      <c r="C21" t="n">
        <v>1</v>
      </c>
      <c r="D21" t="n">
        <v>40</v>
      </c>
      <c r="E21" t="inlineStr">
        <is>
          <t>TIEDE</t>
        </is>
      </c>
      <c r="F21" t="inlineStr"/>
      <c r="G21" t="inlineStr">
        <is>
          <t>2026-07-16</t>
        </is>
      </c>
    </row>
    <row r="22">
      <c r="A22" t="inlineStr">
        <is>
          <t>SG / SDF2</t>
        </is>
      </c>
      <c r="B22" t="inlineStr">
        <is>
          <t>12006401900074</t>
        </is>
      </c>
      <c r="C22" t="n">
        <v>1</v>
      </c>
      <c r="D22" t="n">
        <v>35</v>
      </c>
      <c r="E22" t="inlineStr">
        <is>
          <t>FROID</t>
        </is>
      </c>
      <c r="F22" t="inlineStr">
        <is>
          <t>Paris Cedex 15</t>
        </is>
      </c>
      <c r="G22" t="inlineStr">
        <is>
          <t>2026-07-24</t>
        </is>
      </c>
    </row>
    <row r="23">
      <c r="A23" t="inlineStr">
        <is>
          <t>Ville de Montrouge
Direction des bâtiments, énergie et propreté 
43 avenue de la République
92120 MONTROUGE</t>
        </is>
      </c>
      <c r="B23" t="inlineStr">
        <is>
          <t>21920049000015</t>
        </is>
      </c>
      <c r="C23" t="n">
        <v>1</v>
      </c>
      <c r="D23" t="n">
        <v>35</v>
      </c>
      <c r="E23" t="inlineStr">
        <is>
          <t>FROID</t>
        </is>
      </c>
      <c r="F23" t="inlineStr"/>
      <c r="G23" t="inlineStr">
        <is>
          <t>2026-07-24</t>
        </is>
      </c>
    </row>
    <row r="24">
      <c r="A24" t="inlineStr">
        <is>
          <t>CA GRAND PARIS SUD SEINE ESSONNE SENART</t>
        </is>
      </c>
      <c r="B24" t="inlineStr">
        <is>
          <t>20005922800011</t>
        </is>
      </c>
      <c r="C24" t="n">
        <v>1</v>
      </c>
      <c r="D24" t="n">
        <v>30</v>
      </c>
      <c r="E24" t="inlineStr">
        <is>
          <t>FROID</t>
        </is>
      </c>
      <c r="F24" t="inlineStr"/>
      <c r="G24" t="inlineStr">
        <is>
          <t>2026-07-24</t>
        </is>
      </c>
    </row>
    <row r="25">
      <c r="A25" t="inlineStr">
        <is>
          <t>Comité de concertation et de coordination de l'apprentissage du Btp</t>
        </is>
      </c>
      <c r="B25" t="inlineStr">
        <is>
          <t>77568322000104</t>
        </is>
      </c>
      <c r="C25" t="n">
        <v>1</v>
      </c>
      <c r="D25" t="n">
        <v>30</v>
      </c>
      <c r="E25" t="inlineStr">
        <is>
          <t>FROID</t>
        </is>
      </c>
      <c r="F25" t="inlineStr">
        <is>
          <t>Paris</t>
        </is>
      </c>
      <c r="G25" t="inlineStr">
        <is>
          <t>2026-07-24</t>
        </is>
      </c>
    </row>
    <row r="26">
      <c r="A26" t="inlineStr">
        <is>
          <t>Département du Val-de-Marne</t>
        </is>
      </c>
      <c r="B26" t="inlineStr">
        <is>
          <t>22940028800010</t>
        </is>
      </c>
      <c r="C26" t="n">
        <v>2</v>
      </c>
      <c r="D26" t="n">
        <v>25</v>
      </c>
      <c r="E26" t="inlineStr">
        <is>
          <t>FROID</t>
        </is>
      </c>
      <c r="F26" t="inlineStr"/>
      <c r="G26" t="inlineStr">
        <is>
          <t>2026-07-24</t>
        </is>
      </c>
    </row>
    <row r="27">
      <c r="A27" t="inlineStr">
        <is>
          <t>Agglomération Roissy Pays de France</t>
        </is>
      </c>
      <c r="B27" t="inlineStr"/>
      <c r="C27" t="n">
        <v>1</v>
      </c>
      <c r="D27" t="n">
        <v>25</v>
      </c>
      <c r="E27" t="inlineStr">
        <is>
          <t>FROID</t>
        </is>
      </c>
      <c r="F27" t="inlineStr"/>
      <c r="G27" t="inlineStr">
        <is>
          <t>2026-07-17</t>
        </is>
      </c>
    </row>
    <row r="28">
      <c r="A28" t="inlineStr">
        <is>
          <t>GCLH.</t>
        </is>
      </c>
      <c r="B28" t="inlineStr">
        <is>
          <t>18000001000017</t>
        </is>
      </c>
      <c r="C28" t="n">
        <v>1</v>
      </c>
      <c r="D28" t="n">
        <v>25</v>
      </c>
      <c r="E28" t="inlineStr">
        <is>
          <t>FROID</t>
        </is>
      </c>
      <c r="F28" t="inlineStr"/>
      <c r="G28" t="inlineStr">
        <is>
          <t>2026-07-26</t>
        </is>
      </c>
    </row>
    <row r="29">
      <c r="A29" t="inlineStr">
        <is>
          <t>CCI OCCITANIE PYRENEES-MEDITERRANEE</t>
        </is>
      </c>
      <c r="B29" t="inlineStr"/>
      <c r="C29" t="n">
        <v>1</v>
      </c>
      <c r="D29" t="n">
        <v>20</v>
      </c>
      <c r="E29" t="inlineStr">
        <is>
          <t>FROID</t>
        </is>
      </c>
      <c r="F29" t="inlineStr"/>
      <c r="G29" t="inlineStr">
        <is>
          <t>2026-07-17</t>
        </is>
      </c>
    </row>
    <row r="30">
      <c r="A30" t="inlineStr">
        <is>
          <t>HEC Paris</t>
        </is>
      </c>
      <c r="B30" t="inlineStr"/>
      <c r="C30" t="n">
        <v>1</v>
      </c>
      <c r="D30" t="n">
        <v>20</v>
      </c>
      <c r="E30" t="inlineStr">
        <is>
          <t>FROID</t>
        </is>
      </c>
      <c r="F30" t="inlineStr"/>
      <c r="G30" t="inlineStr">
        <is>
          <t>2026-07-15</t>
        </is>
      </c>
    </row>
    <row r="31">
      <c r="A31" t="inlineStr">
        <is>
          <t>Est Ensemble</t>
        </is>
      </c>
      <c r="B31" t="inlineStr">
        <is>
          <t>20005787500011</t>
        </is>
      </c>
      <c r="C31" t="n">
        <v>1</v>
      </c>
      <c r="D31" t="n">
        <v>15</v>
      </c>
      <c r="E31" t="inlineStr">
        <is>
          <t>FROID</t>
        </is>
      </c>
      <c r="F31" t="inlineStr"/>
      <c r="G31" t="inlineStr">
        <is>
          <t>2026-07-25</t>
        </is>
      </c>
    </row>
    <row r="32">
      <c r="A32" t="inlineStr">
        <is>
          <t>Ministères sociaux, DFAS/SDADD</t>
        </is>
      </c>
      <c r="B32" t="inlineStr">
        <is>
          <t>11000201100044</t>
        </is>
      </c>
      <c r="C32" t="n">
        <v>1</v>
      </c>
      <c r="D32" t="n">
        <v>15</v>
      </c>
      <c r="E32" t="inlineStr">
        <is>
          <t>FROID</t>
        </is>
      </c>
      <c r="F32" t="inlineStr"/>
      <c r="G32" t="inlineStr">
        <is>
          <t>2026-07-17</t>
        </is>
      </c>
    </row>
    <row r="33">
      <c r="A33" t="inlineStr">
        <is>
          <t>VILLE de PARIS - DFA - SDA</t>
        </is>
      </c>
      <c r="B33" t="inlineStr">
        <is>
          <t>21750001600019</t>
        </is>
      </c>
      <c r="C33" t="n">
        <v>1</v>
      </c>
      <c r="D33" t="n">
        <v>15</v>
      </c>
      <c r="E33" t="inlineStr">
        <is>
          <t>FROID</t>
        </is>
      </c>
      <c r="F33" t="inlineStr"/>
      <c r="G33" t="inlineStr">
        <is>
          <t>2026-07-26</t>
        </is>
      </c>
    </row>
    <row r="34">
      <c r="A34" t="inlineStr">
        <is>
          <t>Cour d'appel de Paris - SAR</t>
        </is>
      </c>
      <c r="B34" t="inlineStr"/>
      <c r="C34" t="n">
        <v>1</v>
      </c>
      <c r="D34" t="n">
        <v>10</v>
      </c>
      <c r="E34" t="inlineStr">
        <is>
          <t>FROID</t>
        </is>
      </c>
      <c r="F34" t="inlineStr"/>
      <c r="G34" t="inlineStr">
        <is>
          <t>2026-07-23</t>
        </is>
      </c>
    </row>
    <row r="35">
      <c r="A35" t="inlineStr">
        <is>
          <t>CENTRE POMPIDOU</t>
        </is>
      </c>
      <c r="B35" t="inlineStr">
        <is>
          <t>18004602100028</t>
        </is>
      </c>
      <c r="C35" t="n">
        <v>1</v>
      </c>
      <c r="D35" t="n">
        <v>0</v>
      </c>
      <c r="E35" t="inlineStr">
        <is>
          <t>FROID</t>
        </is>
      </c>
      <c r="F35" t="inlineStr"/>
      <c r="G35" t="inlineStr">
        <is>
          <t>2026-07-17</t>
        </is>
      </c>
    </row>
    <row r="36">
      <c r="A36" t="inlineStr">
        <is>
          <t>Direction des Achats de l'Etat (DAE)</t>
        </is>
      </c>
      <c r="B36" t="inlineStr">
        <is>
          <t>13002220500012</t>
        </is>
      </c>
      <c r="C36" t="n">
        <v>1</v>
      </c>
      <c r="D36" t="n">
        <v>0</v>
      </c>
      <c r="E36" t="inlineStr">
        <is>
          <t>FROID</t>
        </is>
      </c>
      <c r="F36" t="inlineStr"/>
      <c r="G36" t="inlineStr">
        <is>
          <t>2026-07-17</t>
        </is>
      </c>
    </row>
    <row r="37">
      <c r="A37" t="inlineStr">
        <is>
          <t>SDIS 77 de Seine-et-Marne</t>
        </is>
      </c>
      <c r="B37" t="inlineStr">
        <is>
          <t>28770831700014</t>
        </is>
      </c>
      <c r="C37" t="n">
        <v>1</v>
      </c>
      <c r="D37" t="n">
        <v>0</v>
      </c>
      <c r="E37" t="inlineStr">
        <is>
          <t>FROID</t>
        </is>
      </c>
      <c r="F37" t="inlineStr"/>
      <c r="G37" t="inlineStr">
        <is>
          <t>2026-07-17</t>
        </is>
      </c>
    </row>
  </sheetData>
  <pageMargins left="0.75" right="0.75" top="1" bottom="1" header="0.5" footer="0.5"/>
  <tableParts count="1">
    <tablePart xmlns:r="http://schemas.openxmlformats.org/officeDocument/2006/relationships" r:id="rId1"/>
  </tableParts>
</worksheet>
</file>

<file path=xl/worksheets/sheet14.xml><?xml version="1.0" encoding="utf-8"?>
<worksheet xmlns="http://schemas.openxmlformats.org/spreadsheetml/2006/main">
  <sheetPr>
    <outlinePr summaryBelow="1" summaryRight="1"/>
    <pageSetUpPr/>
  </sheetPr>
  <dimension ref="A1:G18"/>
  <sheetViews>
    <sheetView workbookViewId="0">
      <pane ySplit="1" topLeftCell="A2" activePane="bottomLeft" state="frozen"/>
      <selection pane="bottomLeft" activeCell="A1" sqref="A1"/>
    </sheetView>
  </sheetViews>
  <sheetFormatPr baseColWidth="8" defaultRowHeight="15"/>
  <cols>
    <col width="13" customWidth="1" min="1" max="1"/>
    <col width="17" customWidth="1" min="2" max="2"/>
    <col width="10" customWidth="1" min="3" max="3"/>
    <col width="13" customWidth="1" min="4" max="4"/>
    <col width="10" customWidth="1" min="5" max="5"/>
    <col width="15" customWidth="1" min="6" max="6"/>
    <col width="55" customWidth="1" min="7" max="7"/>
  </cols>
  <sheetData>
    <row r="1">
      <c r="A1" s="12" t="inlineStr">
        <is>
          <t>departement</t>
        </is>
      </c>
      <c r="B1" s="12" t="inlineStr">
        <is>
          <t>ville</t>
        </is>
      </c>
      <c r="C1" s="12" t="inlineStr">
        <is>
          <t>nb_ao</t>
        </is>
      </c>
      <c r="D1" s="12" t="inlineStr">
        <is>
          <t>score_moyen</t>
        </is>
      </c>
      <c r="E1" s="12" t="inlineStr">
        <is>
          <t>nb_chaud</t>
        </is>
      </c>
      <c r="F1" s="12" t="inlineStr">
        <is>
          <t>nb_a_verifier</t>
        </is>
      </c>
      <c r="G1" s="12" t="inlineStr">
        <is>
          <t>acheteurs</t>
        </is>
      </c>
    </row>
    <row r="2">
      <c r="A2" t="inlineStr">
        <is>
          <t>77</t>
        </is>
      </c>
      <c r="B2" t="inlineStr">
        <is>
          <t>ROISSY EN BRIE</t>
        </is>
      </c>
      <c r="C2" t="n">
        <v>1</v>
      </c>
      <c r="D2" t="n">
        <v>75</v>
      </c>
      <c r="E2" t="n">
        <v>1</v>
      </c>
      <c r="F2" t="n">
        <v>0</v>
      </c>
      <c r="G2" t="inlineStr">
        <is>
          <t>Mairie de Roissy-en-Brie</t>
        </is>
      </c>
    </row>
    <row r="3">
      <c r="A3" t="inlineStr">
        <is>
          <t>93</t>
        </is>
      </c>
      <c r="B3" t="inlineStr">
        <is>
          <t>Montreuil</t>
        </is>
      </c>
      <c r="C3" t="n">
        <v>1</v>
      </c>
      <c r="D3" t="n">
        <v>75</v>
      </c>
      <c r="E3" t="n">
        <v>1</v>
      </c>
      <c r="F3" t="n">
        <v>0</v>
      </c>
      <c r="G3" t="inlineStr">
        <is>
          <t>Mairie de Montreuil</t>
        </is>
      </c>
    </row>
    <row r="4">
      <c r="A4" t="inlineStr">
        <is>
          <t>77</t>
        </is>
      </c>
      <c r="B4" t="inlineStr">
        <is>
          <t>MAGNY LE HONGRE</t>
        </is>
      </c>
      <c r="C4" t="n">
        <v>1</v>
      </c>
      <c r="D4" t="n">
        <v>70</v>
      </c>
      <c r="E4" t="n">
        <v>1</v>
      </c>
      <c r="F4" t="n">
        <v>0</v>
      </c>
      <c r="G4" t="inlineStr">
        <is>
          <t>COMMUNE DE MAGNY LE HONGRE</t>
        </is>
      </c>
    </row>
    <row r="5">
      <c r="A5" t="inlineStr">
        <is>
          <t>78</t>
        </is>
      </c>
      <c r="B5" t="inlineStr">
        <is>
          <t>MANTES-LA-JOLIE</t>
        </is>
      </c>
      <c r="C5" t="n">
        <v>1</v>
      </c>
      <c r="D5" t="n">
        <v>70</v>
      </c>
      <c r="E5" t="n">
        <v>1</v>
      </c>
      <c r="F5" t="n">
        <v>0</v>
      </c>
      <c r="G5" t="inlineStr">
        <is>
          <t>EPAMSA</t>
        </is>
      </c>
    </row>
    <row r="6">
      <c r="A6" t="inlineStr">
        <is>
          <t>92</t>
        </is>
      </c>
      <c r="B6" t="inlineStr">
        <is>
          <t>Montrouge cedex</t>
        </is>
      </c>
      <c r="C6" t="n">
        <v>1</v>
      </c>
      <c r="D6" t="n">
        <v>65</v>
      </c>
      <c r="E6" t="n">
        <v>1</v>
      </c>
      <c r="F6" t="n">
        <v>0</v>
      </c>
      <c r="G6" t="inlineStr">
        <is>
          <t>Ville de Montrouge</t>
        </is>
      </c>
    </row>
    <row r="7">
      <c r="A7" t="inlineStr">
        <is>
          <t>92</t>
        </is>
      </c>
      <c r="B7" t="inlineStr">
        <is>
          <t>NANTERRE</t>
        </is>
      </c>
      <c r="C7" t="n">
        <v>1</v>
      </c>
      <c r="D7" t="n">
        <v>65</v>
      </c>
      <c r="E7" t="n">
        <v>1</v>
      </c>
      <c r="F7" t="n">
        <v>0</v>
      </c>
      <c r="G7" t="inlineStr">
        <is>
          <t>Département des Hauts-de-Seine</t>
        </is>
      </c>
    </row>
    <row r="8">
      <c r="A8" t="inlineStr">
        <is>
          <t>92</t>
        </is>
      </c>
      <c r="B8" t="inlineStr"/>
      <c r="C8" t="n">
        <v>7</v>
      </c>
      <c r="D8" t="n">
        <v>55.7</v>
      </c>
      <c r="E8" t="n">
        <v>1</v>
      </c>
      <c r="F8" t="n">
        <v>0</v>
      </c>
      <c r="G8" t="inlineStr">
        <is>
          <t>Ville de Gennevilliers, Ville de Fontenay-aux-Roses, Grand Paris Seine Ouest, Département des Hauts-de-Seine, EPIDE</t>
        </is>
      </c>
    </row>
    <row r="9">
      <c r="A9" t="inlineStr">
        <is>
          <t>75</t>
        </is>
      </c>
      <c r="B9" t="inlineStr">
        <is>
          <t>Paris</t>
        </is>
      </c>
      <c r="C9" t="n">
        <v>2</v>
      </c>
      <c r="D9" t="n">
        <v>52.5</v>
      </c>
      <c r="E9" t="n">
        <v>1</v>
      </c>
      <c r="F9" t="n">
        <v>0</v>
      </c>
      <c r="G9" t="inlineStr">
        <is>
          <t>ENSA Paris-La Villette, Comité de concertation et de coordination de l'apprentissage du Btp</t>
        </is>
      </c>
    </row>
    <row r="10">
      <c r="A10" t="inlineStr">
        <is>
          <t>75</t>
        </is>
      </c>
      <c r="B10" t="inlineStr"/>
      <c r="C10" t="n">
        <v>9</v>
      </c>
      <c r="D10" t="n">
        <v>22.8</v>
      </c>
      <c r="E10" t="n">
        <v>1</v>
      </c>
      <c r="F10" t="n">
        <v>0</v>
      </c>
      <c r="G10" t="inlineStr">
        <is>
          <t>Centre Monuments Nationaux, CNRS Délégation paris-Centre, GCLH., CCI OCCITANIE PYRENEES-MEDITERRANEE, VILLE de PARIS - DFA - SDA</t>
        </is>
      </c>
    </row>
    <row r="11">
      <c r="A11" t="inlineStr">
        <is>
          <t>78</t>
        </is>
      </c>
      <c r="B11" t="inlineStr"/>
      <c r="C11" t="n">
        <v>3</v>
      </c>
      <c r="D11" t="n">
        <v>45</v>
      </c>
      <c r="E11" t="n">
        <v>0</v>
      </c>
      <c r="F11" t="n">
        <v>0</v>
      </c>
      <c r="G11" t="inlineStr">
        <is>
          <t>Ville de Plaisir, Centre Hospitalier Poissy/Saint-Germain-En-Laye, HEC Paris</t>
        </is>
      </c>
    </row>
    <row r="12">
      <c r="A12" t="inlineStr">
        <is>
          <t>95</t>
        </is>
      </c>
      <c r="B12" t="inlineStr">
        <is>
          <t>Cergy-Pontoise</t>
        </is>
      </c>
      <c r="C12" t="n">
        <v>1</v>
      </c>
      <c r="D12" t="n">
        <v>45</v>
      </c>
      <c r="E12" t="n">
        <v>0</v>
      </c>
      <c r="F12" t="n">
        <v>0</v>
      </c>
      <c r="G12" t="inlineStr">
        <is>
          <t>Les Eaux de la Confluence</t>
        </is>
      </c>
    </row>
    <row r="13">
      <c r="A13" t="inlineStr">
        <is>
          <t>93</t>
        </is>
      </c>
      <c r="B13" t="inlineStr"/>
      <c r="C13" t="n">
        <v>2</v>
      </c>
      <c r="D13" t="n">
        <v>35</v>
      </c>
      <c r="E13" t="n">
        <v>0</v>
      </c>
      <c r="F13" t="n">
        <v>0</v>
      </c>
      <c r="G13" t="inlineStr">
        <is>
          <t>GHT GPNE, Est Ensemble</t>
        </is>
      </c>
    </row>
    <row r="14">
      <c r="A14" t="inlineStr">
        <is>
          <t>75</t>
        </is>
      </c>
      <c r="B14" t="inlineStr">
        <is>
          <t>Paris Cedex 15</t>
        </is>
      </c>
      <c r="C14" t="n">
        <v>1</v>
      </c>
      <c r="D14" t="n">
        <v>35</v>
      </c>
      <c r="E14" t="n">
        <v>0</v>
      </c>
      <c r="F14" t="n">
        <v>0</v>
      </c>
      <c r="G14" t="inlineStr">
        <is>
          <t>SG / SDF2</t>
        </is>
      </c>
    </row>
    <row r="15">
      <c r="A15" t="inlineStr">
        <is>
          <t>95</t>
        </is>
      </c>
      <c r="B15" t="inlineStr"/>
      <c r="C15" t="n">
        <v>2</v>
      </c>
      <c r="D15" t="n">
        <v>32.5</v>
      </c>
      <c r="E15" t="n">
        <v>0</v>
      </c>
      <c r="F15" t="n">
        <v>0</v>
      </c>
      <c r="G15" t="inlineStr">
        <is>
          <t>Mairie de Sannois, Agglomération Roissy Pays de France</t>
        </is>
      </c>
    </row>
    <row r="16">
      <c r="A16" t="inlineStr">
        <is>
          <t>91</t>
        </is>
      </c>
      <c r="B16" t="inlineStr"/>
      <c r="C16" t="n">
        <v>1</v>
      </c>
      <c r="D16" t="n">
        <v>30</v>
      </c>
      <c r="E16" t="n">
        <v>0</v>
      </c>
      <c r="F16" t="n">
        <v>0</v>
      </c>
      <c r="G16" t="inlineStr">
        <is>
          <t>CA GRAND PARIS SUD SEINE ESSONNE SENART</t>
        </is>
      </c>
    </row>
    <row r="17">
      <c r="A17" t="inlineStr">
        <is>
          <t>94</t>
        </is>
      </c>
      <c r="B17" t="inlineStr"/>
      <c r="C17" t="n">
        <v>2</v>
      </c>
      <c r="D17" t="n">
        <v>12.5</v>
      </c>
      <c r="E17" t="n">
        <v>0</v>
      </c>
      <c r="F17" t="n">
        <v>0</v>
      </c>
      <c r="G17" t="inlineStr">
        <is>
          <t>Département du Val-de-Marne</t>
        </is>
      </c>
    </row>
    <row r="18">
      <c r="A18" t="inlineStr">
        <is>
          <t>77</t>
        </is>
      </c>
      <c r="B18" t="inlineStr"/>
      <c r="C18" t="n">
        <v>1</v>
      </c>
      <c r="D18" t="n">
        <v>0</v>
      </c>
      <c r="E18" t="n">
        <v>0</v>
      </c>
      <c r="F18" t="n">
        <v>0</v>
      </c>
      <c r="G18" t="inlineStr">
        <is>
          <t>SDIS 77 de Seine-et-Marne</t>
        </is>
      </c>
    </row>
  </sheetData>
  <pageMargins left="0.75" right="0.75" top="1" bottom="1" header="0.5" footer="0.5"/>
  <tableParts count="1">
    <tablePart xmlns:r="http://schemas.openxmlformats.org/officeDocument/2006/relationships" r:id="rId1"/>
  </tableParts>
</worksheet>
</file>

<file path=xl/worksheets/sheet15.xml><?xml version="1.0" encoding="utf-8"?>
<worksheet xmlns="http://schemas.openxmlformats.org/spreadsheetml/2006/main">
  <sheetPr>
    <outlinePr summaryBelow="1" summaryRight="1"/>
    <pageSetUpPr/>
  </sheetPr>
  <dimension ref="A1:B221"/>
  <sheetViews>
    <sheetView workbookViewId="0">
      <pane ySplit="1" topLeftCell="A2" activePane="bottomLeft" state="frozen"/>
      <selection pane="bottomLeft" activeCell="A1" sqref="A1"/>
    </sheetView>
  </sheetViews>
  <sheetFormatPr baseColWidth="8" defaultRowHeight="15"/>
  <cols>
    <col width="26" customWidth="1" min="1" max="1"/>
    <col width="55" customWidth="1" min="2" max="2"/>
  </cols>
  <sheetData>
    <row r="1">
      <c r="A1" s="12" t="inlineStr">
        <is>
          <t>section</t>
        </is>
      </c>
      <c r="B1" s="12" t="inlineStr">
        <is>
          <t>contenu</t>
        </is>
      </c>
    </row>
    <row r="2">
      <c r="A2" t="inlineStr">
        <is>
          <t>1. Utilisation</t>
        </is>
      </c>
      <c r="B2" t="inlineStr">
        <is>
          <t>Enregistrer une copie du fichier en .xlsm, puis importer AO_CHRUTH_VBA.bas dans l'editeur VBA.</t>
        </is>
      </c>
    </row>
    <row r="3">
      <c r="A3" t="inlineStr">
        <is>
          <t>2. Bouton</t>
        </is>
      </c>
      <c r="B3" t="inlineStr">
        <is>
          <t>Creer une forme ou un bouton Excel et affecter la macro Update_AO_CHRUTH.</t>
        </is>
      </c>
    </row>
    <row r="4">
      <c r="A4" t="inlineStr">
        <is>
          <t>2b. Bouton notifications</t>
        </is>
      </c>
      <c r="B4" t="inlineStr">
        <is>
          <t>Creer un 2e bouton (ex. dans l'onglet Parametres) et affecter la macro Basculer_Notifications : il bascule Parametres!B2 entre ON/OFF (vert/rouge) et coupe/reactive les emails d'alerte. La cellule B2 affiche l'etat courant.</t>
        </is>
      </c>
    </row>
    <row r="5">
      <c r="A5" t="inlineStr">
        <is>
          <t>2c. Bouton collecte</t>
        </is>
      </c>
      <c r="B5" t="inlineStr">
        <is>
          <t>Creer un bouton dans Parametres et affecter la macro Basculer_Collecte_Donnees : il bascule Parametres!B3 entre ON/OFF et coupe/reactive la collecte reseau.</t>
        </is>
      </c>
    </row>
    <row r="6">
      <c r="A6" t="inlineStr">
        <is>
          <t>3. Securite</t>
        </is>
      </c>
      <c r="B6" t="inlineStr">
        <is>
          <t>Excel peut bloquer les macros. Activer seulement si le fichier reste local et controle.</t>
        </is>
      </c>
    </row>
    <row r="7">
      <c r="A7" t="inlineStr">
        <is>
          <t>4. Code VBA</t>
        </is>
      </c>
      <c r="B7" t="inlineStr">
        <is>
          <t>Le code complet est aussi exporte dans AO_CHRUTH_VBA.bas.</t>
        </is>
      </c>
    </row>
    <row r="8">
      <c r="A8" t="inlineStr">
        <is>
          <t>VBA</t>
        </is>
      </c>
      <c r="B8" t="inlineStr">
        <is>
          <t>Attribute VB_Name = "AO_CHRUTH"</t>
        </is>
      </c>
    </row>
    <row r="9">
      <c r="A9" t="inlineStr">
        <is>
          <t>VBA</t>
        </is>
      </c>
      <c r="B9" t="inlineStr">
        <is>
          <t>Option Explicit</t>
        </is>
      </c>
    </row>
    <row r="10">
      <c r="A10" t="inlineStr">
        <is>
          <t>VBA</t>
        </is>
      </c>
      <c r="B10" t="inlineStr"/>
    </row>
    <row r="11">
      <c r="A11" t="inlineStr">
        <is>
          <t>VBA</t>
        </is>
      </c>
      <c r="B11" t="inlineStr">
        <is>
          <t>Sub Update_AO_CHRUTH()</t>
        </is>
      </c>
    </row>
    <row r="12">
      <c r="A12" t="inlineStr">
        <is>
          <t>VBA</t>
        </is>
      </c>
      <c r="B12" t="inlineStr">
        <is>
          <t xml:space="preserve">    Dim projet As String</t>
        </is>
      </c>
    </row>
    <row r="13">
      <c r="A13" t="inlineStr">
        <is>
          <t>VBA</t>
        </is>
      </c>
      <c r="B13" t="inlineStr">
        <is>
          <t xml:space="preserve">    Dim region As String</t>
        </is>
      </c>
    </row>
    <row r="14">
      <c r="A14" t="inlineStr">
        <is>
          <t>VBA</t>
        </is>
      </c>
      <c r="B14" t="inlineStr">
        <is>
          <t xml:space="preserve">    Dim cmd As String</t>
        </is>
      </c>
    </row>
    <row r="15">
      <c r="A15" t="inlineStr">
        <is>
          <t>VBA</t>
        </is>
      </c>
      <c r="B15" t="inlineStr">
        <is>
          <t xml:space="preserve">    projet = ThisWorkbook.Path &amp; "\.."</t>
        </is>
      </c>
    </row>
    <row r="16">
      <c r="A16" t="inlineStr">
        <is>
          <t>VBA</t>
        </is>
      </c>
      <c r="B16" t="inlineStr">
        <is>
          <t xml:space="preserve">    region = ""</t>
        </is>
      </c>
    </row>
    <row r="17">
      <c r="A17" t="inlineStr">
        <is>
          <t>VBA</t>
        </is>
      </c>
      <c r="B17" t="inlineStr">
        <is>
          <t xml:space="preserve">    On Error Resume Next</t>
        </is>
      </c>
    </row>
    <row r="18">
      <c r="A18" t="inlineStr">
        <is>
          <t>VBA</t>
        </is>
      </c>
      <c r="B18" t="inlineStr">
        <is>
          <t xml:space="preserve">    region = Trim(CStr(ThisWorkbook.Sheets("Parametres").Range("B1").Value))</t>
        </is>
      </c>
    </row>
    <row r="19">
      <c r="A19" t="inlineStr">
        <is>
          <t>VBA</t>
        </is>
      </c>
      <c r="B19" t="inlineStr">
        <is>
          <t xml:space="preserve">    On Error GoTo 0</t>
        </is>
      </c>
    </row>
    <row r="20">
      <c r="A20" t="inlineStr">
        <is>
          <t>VBA</t>
        </is>
      </c>
      <c r="B20" t="inlineStr">
        <is>
          <t xml:space="preserve">    cmd = "cmd.exe /c cd /d """ &amp; projet &amp; """ &amp;&amp; python outils\refresh_runner.py ao"</t>
        </is>
      </c>
    </row>
    <row r="21">
      <c r="A21" t="inlineStr">
        <is>
          <t>VBA</t>
        </is>
      </c>
      <c r="B21" t="inlineStr">
        <is>
          <t xml:space="preserve">    If Len(region) &gt; 0 Then cmd = cmd &amp; " """ &amp; region &amp; """"</t>
        </is>
      </c>
    </row>
    <row r="22">
      <c r="A22" t="inlineStr">
        <is>
          <t>VBA</t>
        </is>
      </c>
      <c r="B22" t="inlineStr">
        <is>
          <t xml:space="preserve">    Shell cmd, vbNormalFocus</t>
        </is>
      </c>
    </row>
    <row r="23">
      <c r="A23" t="inlineStr">
        <is>
          <t>VBA</t>
        </is>
      </c>
      <c r="B23" t="inlineStr">
        <is>
          <t xml:space="preserve">    ThisWorkbook.Close SaveChanges:=False</t>
        </is>
      </c>
    </row>
    <row r="24">
      <c r="A24" t="inlineStr">
        <is>
          <t>VBA</t>
        </is>
      </c>
      <c r="B24" t="inlineStr">
        <is>
          <t>End Sub</t>
        </is>
      </c>
    </row>
    <row r="25">
      <c r="A25" t="inlineStr">
        <is>
          <t>VBA</t>
        </is>
      </c>
      <c r="B25" t="inlineStr"/>
    </row>
    <row r="26">
      <c r="A26" t="inlineStr">
        <is>
          <t>VBA</t>
        </is>
      </c>
      <c r="B26" t="inlineStr">
        <is>
          <t>Sub Aller_AO_Region()</t>
        </is>
      </c>
    </row>
    <row r="27">
      <c r="A27" t="inlineStr">
        <is>
          <t>VBA</t>
        </is>
      </c>
      <c r="B27" t="inlineStr">
        <is>
          <t xml:space="preserve">    On Error Resume Next</t>
        </is>
      </c>
    </row>
    <row r="28">
      <c r="A28" t="inlineStr">
        <is>
          <t>VBA</t>
        </is>
      </c>
      <c r="B28" t="inlineStr">
        <is>
          <t xml:space="preserve">    Sheets("AO_Region").Activate</t>
        </is>
      </c>
    </row>
    <row r="29">
      <c r="A29" t="inlineStr">
        <is>
          <t>VBA</t>
        </is>
      </c>
      <c r="B29" t="inlineStr">
        <is>
          <t xml:space="preserve">    On Error GoTo 0</t>
        </is>
      </c>
    </row>
    <row r="30">
      <c r="A30" t="inlineStr">
        <is>
          <t>VBA</t>
        </is>
      </c>
      <c r="B30" t="inlineStr">
        <is>
          <t>End Sub</t>
        </is>
      </c>
    </row>
    <row r="31">
      <c r="A31" t="inlineStr">
        <is>
          <t>VBA</t>
        </is>
      </c>
      <c r="B31" t="inlineStr"/>
    </row>
    <row r="32">
      <c r="A32" t="inlineStr">
        <is>
          <t>VBA</t>
        </is>
      </c>
      <c r="B32" t="inlineStr">
        <is>
          <t>Sub Aller_AO_Chauds()</t>
        </is>
      </c>
    </row>
    <row r="33">
      <c r="A33" t="inlineStr">
        <is>
          <t>VBA</t>
        </is>
      </c>
      <c r="B33" t="inlineStr">
        <is>
          <t xml:space="preserve">    Sheets("AO_CHAUDS").Activate</t>
        </is>
      </c>
    </row>
    <row r="34">
      <c r="A34" t="inlineStr">
        <is>
          <t>VBA</t>
        </is>
      </c>
      <c r="B34" t="inlineStr">
        <is>
          <t>End Sub</t>
        </is>
      </c>
    </row>
    <row r="35">
      <c r="A35" t="inlineStr">
        <is>
          <t>VBA</t>
        </is>
      </c>
      <c r="B35" t="inlineStr"/>
    </row>
    <row r="36">
      <c r="A36" t="inlineStr">
        <is>
          <t>VBA</t>
        </is>
      </c>
      <c r="B36" t="inlineStr">
        <is>
          <t>Sub Aller_CRM()</t>
        </is>
      </c>
    </row>
    <row r="37">
      <c r="A37" t="inlineStr">
        <is>
          <t>VBA</t>
        </is>
      </c>
      <c r="B37" t="inlineStr">
        <is>
          <t xml:space="preserve">    Sheets("CRM_Suivi").Activate</t>
        </is>
      </c>
    </row>
    <row r="38">
      <c r="A38" t="inlineStr">
        <is>
          <t>VBA</t>
        </is>
      </c>
      <c r="B38" t="inlineStr">
        <is>
          <t>End Sub</t>
        </is>
      </c>
    </row>
    <row r="39">
      <c r="A39" t="inlineStr">
        <is>
          <t>VBA</t>
        </is>
      </c>
      <c r="B39" t="inlineStr"/>
    </row>
    <row r="40">
      <c r="A40" t="inlineStr">
        <is>
          <t>VBA</t>
        </is>
      </c>
      <c r="B40" t="inlineStr">
        <is>
          <t>Sub Filtrer_AO_Chauds()</t>
        </is>
      </c>
    </row>
    <row r="41">
      <c r="A41" t="inlineStr">
        <is>
          <t>VBA</t>
        </is>
      </c>
      <c r="B41" t="inlineStr">
        <is>
          <t xml:space="preserve">    Sheets("AO_Tous").Activate</t>
        </is>
      </c>
    </row>
    <row r="42">
      <c r="A42" t="inlineStr">
        <is>
          <t>VBA</t>
        </is>
      </c>
      <c r="B42" t="inlineStr">
        <is>
          <t xml:space="preserve">    If ActiveSheet.AutoFilterMode Then ActiveSheet.AutoFilterMode = False</t>
        </is>
      </c>
    </row>
    <row r="43">
      <c r="A43" t="inlineStr">
        <is>
          <t>VBA</t>
        </is>
      </c>
      <c r="B43" t="inlineStr">
        <is>
          <t xml:space="preserve">    Range("A1").CurrentRegion.AutoFilter Field:=33, Criteria1:="CHAUD"</t>
        </is>
      </c>
    </row>
    <row r="44">
      <c r="A44" t="inlineStr">
        <is>
          <t>VBA</t>
        </is>
      </c>
      <c r="B44" t="inlineStr">
        <is>
          <t>End Sub</t>
        </is>
      </c>
    </row>
    <row r="45">
      <c r="A45" t="inlineStr">
        <is>
          <t>VBA</t>
        </is>
      </c>
      <c r="B45" t="inlineStr"/>
    </row>
    <row r="46">
      <c r="A46" t="inlineStr">
        <is>
          <t>VBA</t>
        </is>
      </c>
      <c r="B46" t="inlineStr">
        <is>
          <t>Sub Basculer_Collecte_Donnees()</t>
        </is>
      </c>
    </row>
    <row r="47">
      <c r="A47" t="inlineStr">
        <is>
          <t>VBA</t>
        </is>
      </c>
      <c r="B47" t="inlineStr">
        <is>
          <t xml:space="preserve">    ' Active / desactive la collecte reseau CHRUTH.</t>
        </is>
      </c>
    </row>
    <row r="48">
      <c r="A48" t="inlineStr">
        <is>
          <t>VBA</t>
        </is>
      </c>
      <c r="B48" t="inlineStr">
        <is>
          <t xml:space="preserve">    ' OFF = les boutons retraitent/exportent les donnees locales sans appeler BOAMP/DCE.</t>
        </is>
      </c>
    </row>
    <row r="49">
      <c r="A49" t="inlineStr">
        <is>
          <t>VBA</t>
        </is>
      </c>
      <c r="B49" t="inlineStr">
        <is>
          <t xml:space="preserve">    Dim ws As Worksheet</t>
        </is>
      </c>
    </row>
    <row r="50">
      <c r="A50" t="inlineStr">
        <is>
          <t>VBA</t>
        </is>
      </c>
      <c r="B50" t="inlineStr">
        <is>
          <t xml:space="preserve">    Dim etat As String</t>
        </is>
      </c>
    </row>
    <row r="51">
      <c r="A51" t="inlineStr">
        <is>
          <t>VBA</t>
        </is>
      </c>
      <c r="B51" t="inlineStr">
        <is>
          <t xml:space="preserve">    Dim nouveau As String</t>
        </is>
      </c>
    </row>
    <row r="52">
      <c r="A52" t="inlineStr">
        <is>
          <t>VBA</t>
        </is>
      </c>
      <c r="B52" t="inlineStr">
        <is>
          <t xml:space="preserve">    Dim projet As String</t>
        </is>
      </c>
    </row>
    <row r="53">
      <c r="A53" t="inlineStr">
        <is>
          <t>VBA</t>
        </is>
      </c>
      <c r="B53" t="inlineStr">
        <is>
          <t xml:space="preserve">    On Error Resume Next</t>
        </is>
      </c>
    </row>
    <row r="54">
      <c r="A54" t="inlineStr">
        <is>
          <t>VBA</t>
        </is>
      </c>
      <c r="B54" t="inlineStr">
        <is>
          <t xml:space="preserve">    Set ws = ThisWorkbook.Sheets("Parametres")</t>
        </is>
      </c>
    </row>
    <row r="55">
      <c r="A55" t="inlineStr">
        <is>
          <t>VBA</t>
        </is>
      </c>
      <c r="B55" t="inlineStr">
        <is>
          <t xml:space="preserve">    On Error GoTo 0</t>
        </is>
      </c>
    </row>
    <row r="56">
      <c r="A56" t="inlineStr">
        <is>
          <t>VBA</t>
        </is>
      </c>
      <c r="B56" t="inlineStr">
        <is>
          <t xml:space="preserve">    If ws Is Nothing Then</t>
        </is>
      </c>
    </row>
    <row r="57">
      <c r="A57" t="inlineStr">
        <is>
          <t>VBA</t>
        </is>
      </c>
      <c r="B57" t="inlineStr">
        <is>
          <t xml:space="preserve">        MsgBox "Onglet Parametres introuvable.", vbExclamation</t>
        </is>
      </c>
    </row>
    <row r="58">
      <c r="A58" t="inlineStr">
        <is>
          <t>VBA</t>
        </is>
      </c>
      <c r="B58" t="inlineStr">
        <is>
          <t xml:space="preserve">        Exit Sub</t>
        </is>
      </c>
    </row>
    <row r="59">
      <c r="A59" t="inlineStr">
        <is>
          <t>VBA</t>
        </is>
      </c>
      <c r="B59" t="inlineStr">
        <is>
          <t xml:space="preserve">    End If</t>
        </is>
      </c>
    </row>
    <row r="60">
      <c r="A60" t="inlineStr">
        <is>
          <t>VBA</t>
        </is>
      </c>
      <c r="B60" t="inlineStr">
        <is>
          <t xml:space="preserve">    etat = UCase(Trim(CStr(ws.Range("B3").Value)))</t>
        </is>
      </c>
    </row>
    <row r="61">
      <c r="A61" t="inlineStr">
        <is>
          <t>VBA</t>
        </is>
      </c>
      <c r="B61" t="inlineStr">
        <is>
          <t xml:space="preserve">    If etat = "OFF" Then</t>
        </is>
      </c>
    </row>
    <row r="62">
      <c r="A62" t="inlineStr">
        <is>
          <t>VBA</t>
        </is>
      </c>
      <c r="B62" t="inlineStr">
        <is>
          <t xml:space="preserve">        nouveau = "ON"</t>
        </is>
      </c>
    </row>
    <row r="63">
      <c r="A63" t="inlineStr">
        <is>
          <t>VBA</t>
        </is>
      </c>
      <c r="B63" t="inlineStr">
        <is>
          <t xml:space="preserve">    Else</t>
        </is>
      </c>
    </row>
    <row r="64">
      <c r="A64" t="inlineStr">
        <is>
          <t>VBA</t>
        </is>
      </c>
      <c r="B64" t="inlineStr">
        <is>
          <t xml:space="preserve">        nouveau = "OFF"</t>
        </is>
      </c>
    </row>
    <row r="65">
      <c r="A65" t="inlineStr">
        <is>
          <t>VBA</t>
        </is>
      </c>
      <c r="B65" t="inlineStr">
        <is>
          <t xml:space="preserve">    End If</t>
        </is>
      </c>
    </row>
    <row r="66">
      <c r="A66" t="inlineStr">
        <is>
          <t>VBA</t>
        </is>
      </c>
      <c r="B66" t="inlineStr">
        <is>
          <t xml:space="preserve">    ws.Range("B3").Value = nouveau</t>
        </is>
      </c>
    </row>
    <row r="67">
      <c r="A67" t="inlineStr">
        <is>
          <t>VBA</t>
        </is>
      </c>
      <c r="B67" t="inlineStr">
        <is>
          <t xml:space="preserve">    If nouveau = "ON" Then</t>
        </is>
      </c>
    </row>
    <row r="68">
      <c r="A68" t="inlineStr">
        <is>
          <t>VBA</t>
        </is>
      </c>
      <c r="B68" t="inlineStr">
        <is>
          <t xml:space="preserve">        ws.Range("B3").Interior.Color = RGB(198, 239, 206)</t>
        </is>
      </c>
    </row>
    <row r="69">
      <c r="A69" t="inlineStr">
        <is>
          <t>VBA</t>
        </is>
      </c>
      <c r="B69" t="inlineStr">
        <is>
          <t xml:space="preserve">    Else</t>
        </is>
      </c>
    </row>
    <row r="70">
      <c r="A70" t="inlineStr">
        <is>
          <t>VBA</t>
        </is>
      </c>
      <c r="B70" t="inlineStr">
        <is>
          <t xml:space="preserve">        ws.Range("B3").Interior.Color = RGB(255, 199, 206)</t>
        </is>
      </c>
    </row>
    <row r="71">
      <c r="A71" t="inlineStr">
        <is>
          <t>VBA</t>
        </is>
      </c>
      <c r="B71" t="inlineStr">
        <is>
          <t xml:space="preserve">    End If</t>
        </is>
      </c>
    </row>
    <row r="72">
      <c r="A72" t="inlineStr">
        <is>
          <t>VBA</t>
        </is>
      </c>
      <c r="B72" t="inlineStr">
        <is>
          <t xml:space="preserve">    projet = ThisWorkbook.Path &amp; "\.."</t>
        </is>
      </c>
    </row>
    <row r="73">
      <c r="A73" t="inlineStr">
        <is>
          <t>VBA</t>
        </is>
      </c>
      <c r="B73" t="inlineStr">
        <is>
          <t xml:space="preserve">    Shell "cmd.exe /c cd /d """ &amp; projet &amp; """ &amp;&amp; python outils\set_collecte.py " &amp; nouveau, vbHide</t>
        </is>
      </c>
    </row>
    <row r="74">
      <c r="A74" t="inlineStr">
        <is>
          <t>VBA</t>
        </is>
      </c>
      <c r="B74" t="inlineStr">
        <is>
          <t xml:space="preserve">    ThisWorkbook.Save</t>
        </is>
      </c>
    </row>
    <row r="75">
      <c r="A75" t="inlineStr">
        <is>
          <t>VBA</t>
        </is>
      </c>
      <c r="B75" t="inlineStr">
        <is>
          <t xml:space="preserve">    MsgBox "Collecte de donnees : " &amp; nouveau, vbInformation</t>
        </is>
      </c>
    </row>
    <row r="76">
      <c r="A76" t="inlineStr">
        <is>
          <t>VBA</t>
        </is>
      </c>
      <c r="B76" t="inlineStr">
        <is>
          <t>End Sub</t>
        </is>
      </c>
    </row>
    <row r="77">
      <c r="A77" t="inlineStr">
        <is>
          <t>VBA</t>
        </is>
      </c>
      <c r="B77" t="inlineStr"/>
    </row>
    <row r="78">
      <c r="A78" t="inlineStr">
        <is>
          <t>VBA</t>
        </is>
      </c>
      <c r="B78" t="inlineStr">
        <is>
          <t>Sub Basculer_Notifications()</t>
        </is>
      </c>
    </row>
    <row r="79">
      <c r="A79" t="inlineStr">
        <is>
          <t>VBA</t>
        </is>
      </c>
      <c r="B79" t="inlineStr">
        <is>
          <t xml:space="preserve">    ' Active / desactive les alertes email CHRUTH (coupe les emails seulement ;</t>
        </is>
      </c>
    </row>
    <row r="80">
      <c r="A80" t="inlineStr">
        <is>
          <t>VBA</t>
        </is>
      </c>
      <c r="B80" t="inlineStr">
        <is>
          <t xml:space="preserve">    ' la collecte et la mise a jour du tableur continuent). L'etat est persiste</t>
        </is>
      </c>
    </row>
    <row r="81">
      <c r="A81" t="inlineStr">
        <is>
          <t>VBA</t>
        </is>
      </c>
      <c r="B81" t="inlineStr">
        <is>
          <t xml:space="preserve">    ' cote Python via outils\set_notifications.py pour survivre aux refresh.</t>
        </is>
      </c>
    </row>
    <row r="82">
      <c r="A82" t="inlineStr">
        <is>
          <t>VBA</t>
        </is>
      </c>
      <c r="B82" t="inlineStr">
        <is>
          <t xml:space="preserve">    Dim ws As Worksheet</t>
        </is>
      </c>
    </row>
    <row r="83">
      <c r="A83" t="inlineStr">
        <is>
          <t>VBA</t>
        </is>
      </c>
      <c r="B83" t="inlineStr">
        <is>
          <t xml:space="preserve">    Dim etat As String</t>
        </is>
      </c>
    </row>
    <row r="84">
      <c r="A84" t="inlineStr">
        <is>
          <t>VBA</t>
        </is>
      </c>
      <c r="B84" t="inlineStr">
        <is>
          <t xml:space="preserve">    Dim nouveau As String</t>
        </is>
      </c>
    </row>
    <row r="85">
      <c r="A85" t="inlineStr">
        <is>
          <t>VBA</t>
        </is>
      </c>
      <c r="B85" t="inlineStr">
        <is>
          <t xml:space="preserve">    Dim projet As String</t>
        </is>
      </c>
    </row>
    <row r="86">
      <c r="A86" t="inlineStr">
        <is>
          <t>VBA</t>
        </is>
      </c>
      <c r="B86" t="inlineStr">
        <is>
          <t xml:space="preserve">    On Error Resume Next</t>
        </is>
      </c>
    </row>
    <row r="87">
      <c r="A87" t="inlineStr">
        <is>
          <t>VBA</t>
        </is>
      </c>
      <c r="B87" t="inlineStr">
        <is>
          <t xml:space="preserve">    Set ws = ThisWorkbook.Sheets("Parametres")</t>
        </is>
      </c>
    </row>
    <row r="88">
      <c r="A88" t="inlineStr">
        <is>
          <t>VBA</t>
        </is>
      </c>
      <c r="B88" t="inlineStr">
        <is>
          <t xml:space="preserve">    On Error GoTo 0</t>
        </is>
      </c>
    </row>
    <row r="89">
      <c r="A89" t="inlineStr">
        <is>
          <t>VBA</t>
        </is>
      </c>
      <c r="B89" t="inlineStr">
        <is>
          <t xml:space="preserve">    If ws Is Nothing Then</t>
        </is>
      </c>
    </row>
    <row r="90">
      <c r="A90" t="inlineStr">
        <is>
          <t>VBA</t>
        </is>
      </c>
      <c r="B90" t="inlineStr">
        <is>
          <t xml:space="preserve">        MsgBox "Onglet Parametres introuvable.", vbExclamation</t>
        </is>
      </c>
    </row>
    <row r="91">
      <c r="A91" t="inlineStr">
        <is>
          <t>VBA</t>
        </is>
      </c>
      <c r="B91" t="inlineStr">
        <is>
          <t xml:space="preserve">        Exit Sub</t>
        </is>
      </c>
    </row>
    <row r="92">
      <c r="A92" t="inlineStr">
        <is>
          <t>VBA</t>
        </is>
      </c>
      <c r="B92" t="inlineStr">
        <is>
          <t xml:space="preserve">    End If</t>
        </is>
      </c>
    </row>
    <row r="93">
      <c r="A93" t="inlineStr">
        <is>
          <t>VBA</t>
        </is>
      </c>
      <c r="B93" t="inlineStr">
        <is>
          <t xml:space="preserve">    etat = UCase(Trim(CStr(ws.Range("B2").Value)))</t>
        </is>
      </c>
    </row>
    <row r="94">
      <c r="A94" t="inlineStr">
        <is>
          <t>VBA</t>
        </is>
      </c>
      <c r="B94" t="inlineStr">
        <is>
          <t xml:space="preserve">    If etat = "OFF" Then</t>
        </is>
      </c>
    </row>
    <row r="95">
      <c r="A95" t="inlineStr">
        <is>
          <t>VBA</t>
        </is>
      </c>
      <c r="B95" t="inlineStr">
        <is>
          <t xml:space="preserve">        nouveau = "ON"</t>
        </is>
      </c>
    </row>
    <row r="96">
      <c r="A96" t="inlineStr">
        <is>
          <t>VBA</t>
        </is>
      </c>
      <c r="B96" t="inlineStr">
        <is>
          <t xml:space="preserve">    Else</t>
        </is>
      </c>
    </row>
    <row r="97">
      <c r="A97" t="inlineStr">
        <is>
          <t>VBA</t>
        </is>
      </c>
      <c r="B97" t="inlineStr">
        <is>
          <t xml:space="preserve">        nouveau = "OFF"</t>
        </is>
      </c>
    </row>
    <row r="98">
      <c r="A98" t="inlineStr">
        <is>
          <t>VBA</t>
        </is>
      </c>
      <c r="B98" t="inlineStr">
        <is>
          <t xml:space="preserve">    End If</t>
        </is>
      </c>
    </row>
    <row r="99">
      <c r="A99" t="inlineStr">
        <is>
          <t>VBA</t>
        </is>
      </c>
      <c r="B99" t="inlineStr">
        <is>
          <t xml:space="preserve">    ws.Range("B2").Value = nouveau</t>
        </is>
      </c>
    </row>
    <row r="100">
      <c r="A100" t="inlineStr">
        <is>
          <t>VBA</t>
        </is>
      </c>
      <c r="B100" t="inlineStr">
        <is>
          <t xml:space="preserve">    If nouveau = "ON" Then</t>
        </is>
      </c>
    </row>
    <row r="101">
      <c r="A101" t="inlineStr">
        <is>
          <t>VBA</t>
        </is>
      </c>
      <c r="B101" t="inlineStr">
        <is>
          <t xml:space="preserve">        ws.Range("B2").Interior.Color = RGB(198, 239, 206)</t>
        </is>
      </c>
    </row>
    <row r="102">
      <c r="A102" t="inlineStr">
        <is>
          <t>VBA</t>
        </is>
      </c>
      <c r="B102" t="inlineStr">
        <is>
          <t xml:space="preserve">    Else</t>
        </is>
      </c>
    </row>
    <row r="103">
      <c r="A103" t="inlineStr">
        <is>
          <t>VBA</t>
        </is>
      </c>
      <c r="B103" t="inlineStr">
        <is>
          <t xml:space="preserve">        ws.Range("B2").Interior.Color = RGB(255, 199, 206)</t>
        </is>
      </c>
    </row>
    <row r="104">
      <c r="A104" t="inlineStr">
        <is>
          <t>VBA</t>
        </is>
      </c>
      <c r="B104" t="inlineStr">
        <is>
          <t xml:space="preserve">    End If</t>
        </is>
      </c>
    </row>
    <row r="105">
      <c r="A105" t="inlineStr">
        <is>
          <t>VBA</t>
        </is>
      </c>
      <c r="B105" t="inlineStr">
        <is>
          <t xml:space="preserve">    projet = ThisWorkbook.Path &amp; "\.."</t>
        </is>
      </c>
    </row>
    <row r="106">
      <c r="A106" t="inlineStr">
        <is>
          <t>VBA</t>
        </is>
      </c>
      <c r="B106" t="inlineStr">
        <is>
          <t xml:space="preserve">    Shell "cmd.exe /c cd /d """ &amp; projet &amp; """ &amp;&amp; python outils\set_notifications.py " &amp; nouveau, vbHide</t>
        </is>
      </c>
    </row>
    <row r="107">
      <c r="A107" t="inlineStr">
        <is>
          <t>VBA</t>
        </is>
      </c>
      <c r="B107" t="inlineStr">
        <is>
          <t xml:space="preserve">    ThisWorkbook.Save</t>
        </is>
      </c>
    </row>
    <row r="108">
      <c r="A108" t="inlineStr">
        <is>
          <t>VBA</t>
        </is>
      </c>
      <c r="B108" t="inlineStr">
        <is>
          <t xml:space="preserve">    MsgBox "Notifications email : " &amp; nouveau, vbInformation</t>
        </is>
      </c>
    </row>
    <row r="109">
      <c r="A109" t="inlineStr">
        <is>
          <t>VBA</t>
        </is>
      </c>
      <c r="B109" t="inlineStr">
        <is>
          <t>End Sub</t>
        </is>
      </c>
    </row>
    <row r="110">
      <c r="A110" t="inlineStr">
        <is>
          <t>VBA</t>
        </is>
      </c>
      <c r="B110" t="inlineStr"/>
    </row>
    <row r="111">
      <c r="A111" t="inlineStr">
        <is>
          <t>VBA</t>
        </is>
      </c>
      <c r="B111" t="inlineStr">
        <is>
          <t>Sub Enregistrer_Destinataires()</t>
        </is>
      </c>
    </row>
    <row r="112">
      <c r="A112" t="inlineStr">
        <is>
          <t>VBA</t>
        </is>
      </c>
      <c r="B112" t="inlineStr">
        <is>
          <t xml:space="preserve">    ' Enregistre la liste des destinataires saisie dans l'onglet Parametres</t>
        </is>
      </c>
    </row>
    <row r="113">
      <c r="A113" t="inlineStr">
        <is>
          <t>VBA</t>
        </is>
      </c>
      <c r="B113" t="inlineStr">
        <is>
          <t xml:space="preserve">    ' (colonne B a partir de la ligne 5) pour les prochaines alertes email.</t>
        </is>
      </c>
    </row>
    <row r="114">
      <c r="A114" t="inlineStr">
        <is>
          <t>VBA</t>
        </is>
      </c>
      <c r="B114" t="inlineStr">
        <is>
          <t xml:space="preserve">    Dim projet As String</t>
        </is>
      </c>
    </row>
    <row r="115">
      <c r="A115" t="inlineStr">
        <is>
          <t>VBA</t>
        </is>
      </c>
      <c r="B115" t="inlineStr">
        <is>
          <t xml:space="preserve">    Dim sh As Object</t>
        </is>
      </c>
    </row>
    <row r="116">
      <c r="A116" t="inlineStr">
        <is>
          <t>VBA</t>
        </is>
      </c>
      <c r="B116" t="inlineStr">
        <is>
          <t xml:space="preserve">    Dim rc As Long</t>
        </is>
      </c>
    </row>
    <row r="117">
      <c r="A117" t="inlineStr">
        <is>
          <t>VBA</t>
        </is>
      </c>
      <c r="B117" t="inlineStr">
        <is>
          <t xml:space="preserve">    ThisWorkbook.Save</t>
        </is>
      </c>
    </row>
    <row r="118">
      <c r="A118" t="inlineStr">
        <is>
          <t>VBA</t>
        </is>
      </c>
      <c r="B118" t="inlineStr">
        <is>
          <t xml:space="preserve">    projet = ThisWorkbook.Path &amp; "\.."</t>
        </is>
      </c>
    </row>
    <row r="119">
      <c r="A119" t="inlineStr">
        <is>
          <t>VBA</t>
        </is>
      </c>
      <c r="B119" t="inlineStr">
        <is>
          <t xml:space="preserve">    Set sh = CreateObject("WScript.Shell")</t>
        </is>
      </c>
    </row>
    <row r="120">
      <c r="A120" t="inlineStr">
        <is>
          <t>VBA</t>
        </is>
      </c>
      <c r="B120" t="inlineStr">
        <is>
          <t xml:space="preserve">    rc = sh.Run("cmd /c cd /d """ &amp; projet &amp; """ &amp;&amp; python outils\sync_destinataires.py", 0, True)</t>
        </is>
      </c>
    </row>
    <row r="121">
      <c r="A121" t="inlineStr">
        <is>
          <t>VBA</t>
        </is>
      </c>
      <c r="B121" t="inlineStr">
        <is>
          <t xml:space="preserve">    If rc = 0 Then</t>
        </is>
      </c>
    </row>
    <row r="122">
      <c r="A122" t="inlineStr">
        <is>
          <t>VBA</t>
        </is>
      </c>
      <c r="B122" t="inlineStr">
        <is>
          <t xml:space="preserve">        MsgBox "Destinataires enregistres. Ils recevront les prochaines alertes.", vbInformation</t>
        </is>
      </c>
    </row>
    <row r="123">
      <c r="A123" t="inlineStr">
        <is>
          <t>VBA</t>
        </is>
      </c>
      <c r="B123" t="inlineStr">
        <is>
          <t xml:space="preserve">    Else</t>
        </is>
      </c>
    </row>
    <row r="124">
      <c r="A124" t="inlineStr">
        <is>
          <t>VBA</t>
        </is>
      </c>
      <c r="B124" t="inlineStr">
        <is>
          <t xml:space="preserve">        MsgBox "Aucune adresse valide trouvee (colonne B a partir de la ligne 5).", vbExclamation</t>
        </is>
      </c>
    </row>
    <row r="125">
      <c r="A125" t="inlineStr">
        <is>
          <t>VBA</t>
        </is>
      </c>
      <c r="B125" t="inlineStr">
        <is>
          <t xml:space="preserve">    End If</t>
        </is>
      </c>
    </row>
    <row r="126">
      <c r="A126" t="inlineStr">
        <is>
          <t>VBA</t>
        </is>
      </c>
      <c r="B126" t="inlineStr">
        <is>
          <t>End Sub</t>
        </is>
      </c>
    </row>
    <row r="127">
      <c r="A127" t="inlineStr">
        <is>
          <t>VBA</t>
        </is>
      </c>
      <c r="B127" t="inlineStr"/>
    </row>
    <row r="128">
      <c r="A128" t="inlineStr">
        <is>
          <t>VBA</t>
        </is>
      </c>
      <c r="B128" t="inlineStr">
        <is>
          <t>Sub Generer_Message_AO()</t>
        </is>
      </c>
    </row>
    <row r="129">
      <c r="A129" t="inlineStr">
        <is>
          <t>VBA</t>
        </is>
      </c>
      <c r="B129" t="inlineStr">
        <is>
          <t xml:space="preserve">    ' Genere le message IA (email + script) pour l'AO de la ligne selectionnee.</t>
        </is>
      </c>
    </row>
    <row r="130">
      <c r="A130" t="inlineStr">
        <is>
          <t>VBA</t>
        </is>
      </c>
      <c r="B130" t="inlineStr">
        <is>
          <t xml:space="preserve">    ' Lit id_ao sur la feuille active, appelle Python (Ollama), affiche le resultat</t>
        </is>
      </c>
    </row>
    <row r="131">
      <c r="A131" t="inlineStr">
        <is>
          <t>VBA</t>
        </is>
      </c>
      <c r="B131" t="inlineStr">
        <is>
          <t xml:space="preserve">    ' dans l'onglet Message_IA (a copier/coller).</t>
        </is>
      </c>
    </row>
    <row r="132">
      <c r="A132" t="inlineStr">
        <is>
          <t>VBA</t>
        </is>
      </c>
      <c r="B132" t="inlineStr">
        <is>
          <t xml:space="preserve">    Dim idCol As Long, lastCol As Long, c As Long, idAO As String</t>
        </is>
      </c>
    </row>
    <row r="133">
      <c r="A133" t="inlineStr">
        <is>
          <t>VBA</t>
        </is>
      </c>
      <c r="B133" t="inlineStr">
        <is>
          <t xml:space="preserve">    Dim projet As String, sh As Object, rc As Long, fichier As String</t>
        </is>
      </c>
    </row>
    <row r="134">
      <c r="A134" t="inlineStr">
        <is>
          <t>VBA</t>
        </is>
      </c>
      <c r="B134" t="inlineStr">
        <is>
          <t xml:space="preserve">    Dim ws As Worksheet, stream As Object, contenu As String, lignes() As String, i As Long</t>
        </is>
      </c>
    </row>
    <row r="135">
      <c r="A135" t="inlineStr">
        <is>
          <t>VBA</t>
        </is>
      </c>
      <c r="B135" t="inlineStr">
        <is>
          <t xml:space="preserve">    On Error GoTo Erreur</t>
        </is>
      </c>
    </row>
    <row r="136">
      <c r="A136" t="inlineStr">
        <is>
          <t>VBA</t>
        </is>
      </c>
      <c r="B136" t="inlineStr"/>
    </row>
    <row r="137">
      <c r="A137" t="inlineStr">
        <is>
          <t>VBA</t>
        </is>
      </c>
      <c r="B137" t="inlineStr">
        <is>
          <t xml:space="preserve">    lastCol = Cells(1, Columns.Count).End(xlToLeft).Column</t>
        </is>
      </c>
    </row>
    <row r="138">
      <c r="A138" t="inlineStr">
        <is>
          <t>VBA</t>
        </is>
      </c>
      <c r="B138" t="inlineStr">
        <is>
          <t xml:space="preserve">    For c = 1 To lastCol</t>
        </is>
      </c>
    </row>
    <row r="139">
      <c r="A139" t="inlineStr">
        <is>
          <t>VBA</t>
        </is>
      </c>
      <c r="B139" t="inlineStr">
        <is>
          <t xml:space="preserve">        If LCase(Trim(CStr(Cells(1, c).Value))) = "id_ao" Then idCol = c: Exit For</t>
        </is>
      </c>
    </row>
    <row r="140">
      <c r="A140" t="inlineStr">
        <is>
          <t>VBA</t>
        </is>
      </c>
      <c r="B140" t="inlineStr">
        <is>
          <t xml:space="preserve">    Next c</t>
        </is>
      </c>
    </row>
    <row r="141">
      <c r="A141" t="inlineStr">
        <is>
          <t>VBA</t>
        </is>
      </c>
      <c r="B141" t="inlineStr">
        <is>
          <t xml:space="preserve">    If idCol = 0 Then</t>
        </is>
      </c>
    </row>
    <row r="142">
      <c r="A142" t="inlineStr">
        <is>
          <t>VBA</t>
        </is>
      </c>
      <c r="B142" t="inlineStr">
        <is>
          <t xml:space="preserve">        MsgBox "Place-toi sur l'onglet AO_Nettoyage_IDF (colonne id_ao requise).", vbExclamation</t>
        </is>
      </c>
    </row>
    <row r="143">
      <c r="A143" t="inlineStr">
        <is>
          <t>VBA</t>
        </is>
      </c>
      <c r="B143" t="inlineStr">
        <is>
          <t xml:space="preserve">        Exit Sub</t>
        </is>
      </c>
    </row>
    <row r="144">
      <c r="A144" t="inlineStr">
        <is>
          <t>VBA</t>
        </is>
      </c>
      <c r="B144" t="inlineStr">
        <is>
          <t xml:space="preserve">    End If</t>
        </is>
      </c>
    </row>
    <row r="145">
      <c r="A145" t="inlineStr">
        <is>
          <t>VBA</t>
        </is>
      </c>
      <c r="B145" t="inlineStr">
        <is>
          <t xml:space="preserve">    If ActiveCell.Row &lt; 2 Then</t>
        </is>
      </c>
    </row>
    <row r="146">
      <c r="A146" t="inlineStr">
        <is>
          <t>VBA</t>
        </is>
      </c>
      <c r="B146" t="inlineStr">
        <is>
          <t xml:space="preserve">        MsgBox "Selectionne d'abord une ligne d'appel d'offres.", vbInformation</t>
        </is>
      </c>
    </row>
    <row r="147">
      <c r="A147" t="inlineStr">
        <is>
          <t>VBA</t>
        </is>
      </c>
      <c r="B147" t="inlineStr">
        <is>
          <t xml:space="preserve">        Exit Sub</t>
        </is>
      </c>
    </row>
    <row r="148">
      <c r="A148" t="inlineStr">
        <is>
          <t>VBA</t>
        </is>
      </c>
      <c r="B148" t="inlineStr">
        <is>
          <t xml:space="preserve">    End If</t>
        </is>
      </c>
    </row>
    <row r="149">
      <c r="A149" t="inlineStr">
        <is>
          <t>VBA</t>
        </is>
      </c>
      <c r="B149" t="inlineStr">
        <is>
          <t xml:space="preserve">    idAO = Trim(CStr(Cells(ActiveCell.Row, idCol).Value))</t>
        </is>
      </c>
    </row>
    <row r="150">
      <c r="A150" t="inlineStr">
        <is>
          <t>VBA</t>
        </is>
      </c>
      <c r="B150" t="inlineStr">
        <is>
          <t xml:space="preserve">    If idAO = "" Then</t>
        </is>
      </c>
    </row>
    <row r="151">
      <c r="A151" t="inlineStr">
        <is>
          <t>VBA</t>
        </is>
      </c>
      <c r="B151" t="inlineStr">
        <is>
          <t xml:space="preserve">        MsgBox "Pas d'identifiant sur cette ligne.", vbInformation</t>
        </is>
      </c>
    </row>
    <row r="152">
      <c r="A152" t="inlineStr">
        <is>
          <t>VBA</t>
        </is>
      </c>
      <c r="B152" t="inlineStr">
        <is>
          <t xml:space="preserve">        Exit Sub</t>
        </is>
      </c>
    </row>
    <row r="153">
      <c r="A153" t="inlineStr">
        <is>
          <t>VBA</t>
        </is>
      </c>
      <c r="B153" t="inlineStr">
        <is>
          <t xml:space="preserve">    End If</t>
        </is>
      </c>
    </row>
    <row r="154">
      <c r="A154" t="inlineStr">
        <is>
          <t>VBA</t>
        </is>
      </c>
      <c r="B154" t="inlineStr"/>
    </row>
    <row r="155">
      <c r="A155" t="inlineStr">
        <is>
          <t>VBA</t>
        </is>
      </c>
      <c r="B155" t="inlineStr">
        <is>
          <t xml:space="preserve">    projet = ThisWorkbook.Path &amp; "\.."</t>
        </is>
      </c>
    </row>
    <row r="156">
      <c r="A156" t="inlineStr">
        <is>
          <t>VBA</t>
        </is>
      </c>
      <c r="B156" t="inlineStr">
        <is>
          <t xml:space="preserve">    Application.StatusBar = "Generation du message IA en cours (Ollama)..."</t>
        </is>
      </c>
    </row>
    <row r="157">
      <c r="A157" t="inlineStr">
        <is>
          <t>VBA</t>
        </is>
      </c>
      <c r="B157" t="inlineStr">
        <is>
          <t xml:space="preserve">    Set sh = CreateObject("WScript.Shell")</t>
        </is>
      </c>
    </row>
    <row r="158">
      <c r="A158" t="inlineStr">
        <is>
          <t>VBA</t>
        </is>
      </c>
      <c r="B158" t="inlineStr">
        <is>
          <t xml:space="preserve">    rc = sh.Run("cmd /c cd /d """ &amp; projet &amp; """ &amp;&amp; python outils\generer_message_ao.py """ &amp; idAO &amp; """", 0, True)</t>
        </is>
      </c>
    </row>
    <row r="159">
      <c r="A159" t="inlineStr">
        <is>
          <t>VBA</t>
        </is>
      </c>
      <c r="B159" t="inlineStr">
        <is>
          <t xml:space="preserve">    Application.StatusBar = False</t>
        </is>
      </c>
    </row>
    <row r="160">
      <c r="A160" t="inlineStr">
        <is>
          <t>VBA</t>
        </is>
      </c>
      <c r="B160" t="inlineStr"/>
    </row>
    <row r="161">
      <c r="A161" t="inlineStr">
        <is>
          <t>VBA</t>
        </is>
      </c>
      <c r="B161" t="inlineStr">
        <is>
          <t xml:space="preserve">    fichier = projet &amp; "\output\_message_ao.txt"</t>
        </is>
      </c>
    </row>
    <row r="162">
      <c r="A162" t="inlineStr">
        <is>
          <t>VBA</t>
        </is>
      </c>
      <c r="B162" t="inlineStr">
        <is>
          <t xml:space="preserve">    If Dir(fichier) = "" Then</t>
        </is>
      </c>
    </row>
    <row r="163">
      <c r="A163" t="inlineStr">
        <is>
          <t>VBA</t>
        </is>
      </c>
      <c r="B163" t="inlineStr">
        <is>
          <t xml:space="preserve">        MsgBox "Generation echouee (fichier non produit). Verifie Python/Ollama.", vbExclamation</t>
        </is>
      </c>
    </row>
    <row r="164">
      <c r="A164" t="inlineStr">
        <is>
          <t>VBA</t>
        </is>
      </c>
      <c r="B164" t="inlineStr">
        <is>
          <t xml:space="preserve">        Exit Sub</t>
        </is>
      </c>
    </row>
    <row r="165">
      <c r="A165" t="inlineStr">
        <is>
          <t>VBA</t>
        </is>
      </c>
      <c r="B165" t="inlineStr">
        <is>
          <t xml:space="preserve">    End If</t>
        </is>
      </c>
    </row>
    <row r="166">
      <c r="A166" t="inlineStr">
        <is>
          <t>VBA</t>
        </is>
      </c>
      <c r="B166" t="inlineStr"/>
    </row>
    <row r="167">
      <c r="A167" t="inlineStr">
        <is>
          <t>VBA</t>
        </is>
      </c>
      <c r="B167" t="inlineStr">
        <is>
          <t xml:space="preserve">    Set stream = CreateObject("ADODB.Stream")</t>
        </is>
      </c>
    </row>
    <row r="168">
      <c r="A168" t="inlineStr">
        <is>
          <t>VBA</t>
        </is>
      </c>
      <c r="B168" t="inlineStr">
        <is>
          <t xml:space="preserve">    stream.Charset = "utf-8"</t>
        </is>
      </c>
    </row>
    <row r="169">
      <c r="A169" t="inlineStr">
        <is>
          <t>VBA</t>
        </is>
      </c>
      <c r="B169" t="inlineStr">
        <is>
          <t xml:space="preserve">    stream.Open</t>
        </is>
      </c>
    </row>
    <row r="170">
      <c r="A170" t="inlineStr">
        <is>
          <t>VBA</t>
        </is>
      </c>
      <c r="B170" t="inlineStr">
        <is>
          <t xml:space="preserve">    stream.LoadFromFile fichier</t>
        </is>
      </c>
    </row>
    <row r="171">
      <c r="A171" t="inlineStr">
        <is>
          <t>VBA</t>
        </is>
      </c>
      <c r="B171" t="inlineStr">
        <is>
          <t xml:space="preserve">    contenu = stream.ReadText</t>
        </is>
      </c>
    </row>
    <row r="172">
      <c r="A172" t="inlineStr">
        <is>
          <t>VBA</t>
        </is>
      </c>
      <c r="B172" t="inlineStr">
        <is>
          <t xml:space="preserve">    stream.Close</t>
        </is>
      </c>
    </row>
    <row r="173">
      <c r="A173" t="inlineStr">
        <is>
          <t>VBA</t>
        </is>
      </c>
      <c r="B173" t="inlineStr"/>
    </row>
    <row r="174">
      <c r="A174" t="inlineStr">
        <is>
          <t>VBA</t>
        </is>
      </c>
      <c r="B174" t="inlineStr">
        <is>
          <t xml:space="preserve">    On Error Resume Next</t>
        </is>
      </c>
    </row>
    <row r="175">
      <c r="A175" t="inlineStr">
        <is>
          <t>VBA</t>
        </is>
      </c>
      <c r="B175" t="inlineStr">
        <is>
          <t xml:space="preserve">    Set ws = ThisWorkbook.Sheets("Message_IA")</t>
        </is>
      </c>
    </row>
    <row r="176">
      <c r="A176" t="inlineStr">
        <is>
          <t>VBA</t>
        </is>
      </c>
      <c r="B176" t="inlineStr">
        <is>
          <t xml:space="preserve">    On Error GoTo Erreur</t>
        </is>
      </c>
    </row>
    <row r="177">
      <c r="A177" t="inlineStr">
        <is>
          <t>VBA</t>
        </is>
      </c>
      <c r="B177" t="inlineStr">
        <is>
          <t xml:space="preserve">    If ws Is Nothing Then</t>
        </is>
      </c>
    </row>
    <row r="178">
      <c r="A178" t="inlineStr">
        <is>
          <t>VBA</t>
        </is>
      </c>
      <c r="B178" t="inlineStr">
        <is>
          <t xml:space="preserve">        Set ws = ThisWorkbook.Sheets.Add(After:=ThisWorkbook.Sheets(ThisWorkbook.Sheets.Count))</t>
        </is>
      </c>
    </row>
    <row r="179">
      <c r="A179" t="inlineStr">
        <is>
          <t>VBA</t>
        </is>
      </c>
      <c r="B179" t="inlineStr">
        <is>
          <t xml:space="preserve">        ws.Name = "Message_IA"</t>
        </is>
      </c>
    </row>
    <row r="180">
      <c r="A180" t="inlineStr">
        <is>
          <t>VBA</t>
        </is>
      </c>
      <c r="B180" t="inlineStr">
        <is>
          <t xml:space="preserve">    End If</t>
        </is>
      </c>
    </row>
    <row r="181">
      <c r="A181" t="inlineStr">
        <is>
          <t>VBA</t>
        </is>
      </c>
      <c r="B181" t="inlineStr">
        <is>
          <t xml:space="preserve">    ws.Cells.Clear</t>
        </is>
      </c>
    </row>
    <row r="182">
      <c r="A182" t="inlineStr">
        <is>
          <t>VBA</t>
        </is>
      </c>
      <c r="B182" t="inlineStr">
        <is>
          <t xml:space="preserve">    ws.Columns(1).NumberFormat = "@"   ' texte : sinon "===..." est pris pour une formule (erreur 1004)</t>
        </is>
      </c>
    </row>
    <row r="183">
      <c r="A183" t="inlineStr">
        <is>
          <t>VBA</t>
        </is>
      </c>
      <c r="B183" t="inlineStr">
        <is>
          <t xml:space="preserve">    lignes = Split(Replace(contenu, vbCrLf, vbLf), vbLf)</t>
        </is>
      </c>
    </row>
    <row r="184">
      <c r="A184" t="inlineStr">
        <is>
          <t>VBA</t>
        </is>
      </c>
      <c r="B184" t="inlineStr">
        <is>
          <t xml:space="preserve">    For i = 0 To UBound(lignes)</t>
        </is>
      </c>
    </row>
    <row r="185">
      <c r="A185" t="inlineStr">
        <is>
          <t>VBA</t>
        </is>
      </c>
      <c r="B185" t="inlineStr">
        <is>
          <t xml:space="preserve">        ws.Cells(i + 1, 1).Value = lignes(i)</t>
        </is>
      </c>
    </row>
    <row r="186">
      <c r="A186" t="inlineStr">
        <is>
          <t>VBA</t>
        </is>
      </c>
      <c r="B186" t="inlineStr">
        <is>
          <t xml:space="preserve">    Next i</t>
        </is>
      </c>
    </row>
    <row r="187">
      <c r="A187" t="inlineStr">
        <is>
          <t>VBA</t>
        </is>
      </c>
      <c r="B187" t="inlineStr">
        <is>
          <t xml:space="preserve">    ws.Columns(1).ColumnWidth = 110</t>
        </is>
      </c>
    </row>
    <row r="188">
      <c r="A188" t="inlineStr">
        <is>
          <t>VBA</t>
        </is>
      </c>
      <c r="B188" t="inlineStr">
        <is>
          <t xml:space="preserve">    ws.Activate</t>
        </is>
      </c>
    </row>
    <row r="189">
      <c r="A189" t="inlineStr">
        <is>
          <t>VBA</t>
        </is>
      </c>
      <c r="B189" t="inlineStr">
        <is>
          <t xml:space="preserve">    ws.Range("A1").Select</t>
        </is>
      </c>
    </row>
    <row r="190">
      <c r="A190" t="inlineStr">
        <is>
          <t>VBA</t>
        </is>
      </c>
      <c r="B190" t="inlineStr">
        <is>
          <t xml:space="preserve">    MsgBox "Message genere dans l'onglet Message_IA (copier/coller depuis la colonne A).", vbInformation</t>
        </is>
      </c>
    </row>
    <row r="191">
      <c r="A191" t="inlineStr">
        <is>
          <t>VBA</t>
        </is>
      </c>
      <c r="B191" t="inlineStr">
        <is>
          <t xml:space="preserve">    Exit Sub</t>
        </is>
      </c>
    </row>
    <row r="192">
      <c r="A192" t="inlineStr">
        <is>
          <t>VBA</t>
        </is>
      </c>
      <c r="B192" t="inlineStr">
        <is>
          <t>Erreur:</t>
        </is>
      </c>
    </row>
    <row r="193">
      <c r="A193" t="inlineStr">
        <is>
          <t>VBA</t>
        </is>
      </c>
      <c r="B193" t="inlineStr">
        <is>
          <t xml:space="preserve">    Application.StatusBar = False</t>
        </is>
      </c>
    </row>
    <row r="194">
      <c r="A194" t="inlineStr">
        <is>
          <t>VBA</t>
        </is>
      </c>
      <c r="B194" t="inlineStr">
        <is>
          <t xml:space="preserve">    MsgBox "Erreur generation message : " &amp; Err.Number &amp; " - " &amp; Err.Description, vbExclamation</t>
        </is>
      </c>
    </row>
    <row r="195">
      <c r="A195" t="inlineStr">
        <is>
          <t>VBA</t>
        </is>
      </c>
      <c r="B195" t="inlineStr">
        <is>
          <t>End Sub</t>
        </is>
      </c>
    </row>
    <row r="196">
      <c r="A196" t="inlineStr">
        <is>
          <t>VBA</t>
        </is>
      </c>
      <c r="B196" t="inlineStr"/>
    </row>
    <row r="197">
      <c r="A197" t="inlineStr">
        <is>
          <t>VBA</t>
        </is>
      </c>
      <c r="B197" t="inlineStr">
        <is>
          <t>Sub Ouvrir_Lien_AO()</t>
        </is>
      </c>
    </row>
    <row r="198">
      <c r="A198" t="inlineStr">
        <is>
          <t>VBA</t>
        </is>
      </c>
      <c r="B198" t="inlineStr">
        <is>
          <t xml:space="preserve">    Dim urlCol As Long</t>
        </is>
      </c>
    </row>
    <row r="199">
      <c r="A199" t="inlineStr">
        <is>
          <t>VBA</t>
        </is>
      </c>
      <c r="B199" t="inlineStr">
        <is>
          <t xml:space="preserve">    Dim lastCol As Long</t>
        </is>
      </c>
    </row>
    <row r="200">
      <c r="A200" t="inlineStr">
        <is>
          <t>VBA</t>
        </is>
      </c>
      <c r="B200" t="inlineStr">
        <is>
          <t xml:space="preserve">    Dim c As Long</t>
        </is>
      </c>
    </row>
    <row r="201">
      <c r="A201" t="inlineStr">
        <is>
          <t>VBA</t>
        </is>
      </c>
      <c r="B201" t="inlineStr">
        <is>
          <t xml:space="preserve">    lastCol = Cells(1, Columns.Count).End(xlToLeft).Column</t>
        </is>
      </c>
    </row>
    <row r="202">
      <c r="A202" t="inlineStr">
        <is>
          <t>VBA</t>
        </is>
      </c>
      <c r="B202" t="inlineStr">
        <is>
          <t xml:space="preserve">    For c = 1 To lastCol</t>
        </is>
      </c>
    </row>
    <row r="203">
      <c r="A203" t="inlineStr">
        <is>
          <t>VBA</t>
        </is>
      </c>
      <c r="B203" t="inlineStr">
        <is>
          <t xml:space="preserve">        If Cells(1, c).Value = "url_avis" Then</t>
        </is>
      </c>
    </row>
    <row r="204">
      <c r="A204" t="inlineStr">
        <is>
          <t>VBA</t>
        </is>
      </c>
      <c r="B204" t="inlineStr">
        <is>
          <t xml:space="preserve">            urlCol = c</t>
        </is>
      </c>
    </row>
    <row r="205">
      <c r="A205" t="inlineStr">
        <is>
          <t>VBA</t>
        </is>
      </c>
      <c r="B205" t="inlineStr">
        <is>
          <t xml:space="preserve">            Exit For</t>
        </is>
      </c>
    </row>
    <row r="206">
      <c r="A206" t="inlineStr">
        <is>
          <t>VBA</t>
        </is>
      </c>
      <c r="B206" t="inlineStr">
        <is>
          <t xml:space="preserve">        End If</t>
        </is>
      </c>
    </row>
    <row r="207">
      <c r="A207" t="inlineStr">
        <is>
          <t>VBA</t>
        </is>
      </c>
      <c r="B207" t="inlineStr">
        <is>
          <t xml:space="preserve">    Next c</t>
        </is>
      </c>
    </row>
    <row r="208">
      <c r="A208" t="inlineStr">
        <is>
          <t>VBA</t>
        </is>
      </c>
      <c r="B208" t="inlineStr">
        <is>
          <t xml:space="preserve">    If urlCol = 0 Then</t>
        </is>
      </c>
    </row>
    <row r="209">
      <c r="A209" t="inlineStr">
        <is>
          <t>VBA</t>
        </is>
      </c>
      <c r="B209" t="inlineStr">
        <is>
          <t xml:space="preserve">        MsgBox "Colonne url_avis introuvable.", vbExclamation</t>
        </is>
      </c>
    </row>
    <row r="210">
      <c r="A210" t="inlineStr">
        <is>
          <t>VBA</t>
        </is>
      </c>
      <c r="B210" t="inlineStr">
        <is>
          <t xml:space="preserve">        Exit Sub</t>
        </is>
      </c>
    </row>
    <row r="211">
      <c r="A211" t="inlineStr">
        <is>
          <t>VBA</t>
        </is>
      </c>
      <c r="B211" t="inlineStr">
        <is>
          <t xml:space="preserve">    End If</t>
        </is>
      </c>
    </row>
    <row r="212">
      <c r="A212" t="inlineStr">
        <is>
          <t>VBA</t>
        </is>
      </c>
      <c r="B212" t="inlineStr">
        <is>
          <t xml:space="preserve">    If ActiveCell.Row &lt; 2 Then</t>
        </is>
      </c>
    </row>
    <row r="213">
      <c r="A213" t="inlineStr">
        <is>
          <t>VBA</t>
        </is>
      </c>
      <c r="B213" t="inlineStr">
        <is>
          <t xml:space="preserve">        MsgBox "Selectionne une ligne AO.", vbInformation</t>
        </is>
      </c>
    </row>
    <row r="214">
      <c r="A214" t="inlineStr">
        <is>
          <t>VBA</t>
        </is>
      </c>
      <c r="B214" t="inlineStr">
        <is>
          <t xml:space="preserve">        Exit Sub</t>
        </is>
      </c>
    </row>
    <row r="215">
      <c r="A215" t="inlineStr">
        <is>
          <t>VBA</t>
        </is>
      </c>
      <c r="B215" t="inlineStr">
        <is>
          <t xml:space="preserve">    End If</t>
        </is>
      </c>
    </row>
    <row r="216">
      <c r="A216" t="inlineStr">
        <is>
          <t>VBA</t>
        </is>
      </c>
      <c r="B216" t="inlineStr">
        <is>
          <t xml:space="preserve">    If Cells(ActiveCell.Row, urlCol).Value &lt;&gt; "" Then</t>
        </is>
      </c>
    </row>
    <row r="217">
      <c r="A217" t="inlineStr">
        <is>
          <t>VBA</t>
        </is>
      </c>
      <c r="B217" t="inlineStr">
        <is>
          <t xml:space="preserve">        ThisWorkbook.FollowHyperlink Cells(ActiveCell.Row, urlCol).Value</t>
        </is>
      </c>
    </row>
    <row r="218">
      <c r="A218" t="inlineStr">
        <is>
          <t>VBA</t>
        </is>
      </c>
      <c r="B218" t="inlineStr">
        <is>
          <t xml:space="preserve">    Else</t>
        </is>
      </c>
    </row>
    <row r="219">
      <c r="A219" t="inlineStr">
        <is>
          <t>VBA</t>
        </is>
      </c>
      <c r="B219" t="inlineStr">
        <is>
          <t xml:space="preserve">        MsgBox "Aucun lien source sur cette ligne.", vbInformation</t>
        </is>
      </c>
    </row>
    <row r="220">
      <c r="A220" t="inlineStr">
        <is>
          <t>VBA</t>
        </is>
      </c>
      <c r="B220" t="inlineStr">
        <is>
          <t xml:space="preserve">    End If</t>
        </is>
      </c>
    </row>
    <row r="221">
      <c r="A221" t="inlineStr">
        <is>
          <t>VBA</t>
        </is>
      </c>
      <c r="B221" t="inlineStr">
        <is>
          <t>End Sub</t>
        </is>
      </c>
    </row>
  </sheetData>
  <pageMargins left="0.75" right="0.75" top="1" bottom="1" header="0.5" footer="0.5"/>
  <tableParts count="1">
    <tablePart xmlns:r="http://schemas.openxmlformats.org/officeDocument/2006/relationships" r:id="rId1"/>
  </tableParts>
</worksheet>
</file>

<file path=xl/worksheets/sheet16.xml><?xml version="1.0" encoding="utf-8"?>
<worksheet xmlns="http://schemas.openxmlformats.org/spreadsheetml/2006/main">
  <sheetPr>
    <outlinePr summaryBelow="1" summaryRight="1"/>
    <pageSetUpPr/>
  </sheetPr>
  <dimension ref="A1:G2"/>
  <sheetViews>
    <sheetView workbookViewId="0">
      <pane ySplit="1" topLeftCell="A2" activePane="bottomLeft" state="frozen"/>
      <selection pane="bottomLeft" activeCell="A1" sqref="A1"/>
    </sheetView>
  </sheetViews>
  <sheetFormatPr baseColWidth="8" defaultRowHeight="15"/>
  <cols>
    <col width="10" customWidth="1" min="1" max="1"/>
    <col width="34" customWidth="1" min="2" max="2"/>
    <col width="10" customWidth="1" min="3" max="3"/>
    <col width="10" customWidth="1" min="4" max="4"/>
    <col width="10" customWidth="1" min="5" max="5"/>
    <col width="21" customWidth="1" min="6" max="6"/>
    <col width="55" customWidth="1" min="7" max="7"/>
  </cols>
  <sheetData>
    <row r="1">
      <c r="A1" s="12" t="inlineStr">
        <is>
          <t>id</t>
        </is>
      </c>
      <c r="B1" s="12" t="inlineStr">
        <is>
          <t>run_at</t>
        </is>
      </c>
      <c r="C1" s="12" t="inlineStr">
        <is>
          <t>source</t>
        </is>
      </c>
      <c r="D1" s="12" t="inlineStr">
        <is>
          <t>fetched</t>
        </is>
      </c>
      <c r="E1" s="12" t="inlineStr">
        <is>
          <t>kept</t>
        </is>
      </c>
      <c r="F1" s="12" t="inlineStr">
        <is>
          <t>inserted_or_updated</t>
        </is>
      </c>
      <c r="G1" s="12" t="inlineStr">
        <is>
          <t>details</t>
        </is>
      </c>
    </row>
    <row r="2">
      <c r="A2" t="n">
        <v>1</v>
      </c>
      <c r="B2" t="inlineStr">
        <is>
          <t>2026-07-28T07:02:44.786550+00:00</t>
        </is>
      </c>
      <c r="C2" t="inlineStr">
        <is>
          <t>BOAMP</t>
        </is>
      </c>
      <c r="D2" t="n">
        <v>1476</v>
      </c>
      <c r="E2" t="n">
        <v>37</v>
      </c>
      <c r="F2" t="n">
        <v>37</v>
      </c>
      <c r="G2" t="inlineStr">
        <is>
          <t>{"raw_path": "C:\\Users\\marce\\CHRUTH\\data\\ao_raw\\boamp_collect_20260728_090244.json", "skipped_reasons": {"hors IDF": 124, "aucun mot-cle CHRUTH": 866, "avis non actif ou attribution": 407, "exclusion dure": 42}, "kept_reasons": {"ok": 25, "ok personnel": 12}, "where": "(\"nettoyage\" OR \"proprete\" OR \"entretien des locaux\" OR \"entretien locaux\" OR \"nettoyage de vitres\" OR \"bionettoyage\" OR \"menage\" OR \"hygiene des locaux\" OR \"entretien menager\" OR \"proprete des locaux\" OR \"desinfection\" OR \"mise a disposition de personnel\" OR \"mise a disposition d'agents\" OR \"personnel de service\" OR \"agents de service\" OR \"personnel d'entretien\" OR \"agent polyvalent\" OR \"agents polyvalents\" OR \"renfort d'agents\" OR \"personnel d'accueil\" OR \"agents d'accueil\" OR \"agent de gardiennage\" OR \"gardiennage\" OR \"agents de manutention\" OR \"personnel de restauration\" OR \"agents de restauration\" OR \"interim\" OR \"travail temporaire\") AND dateparution &gt;= date'2026-07-14'", "strict_budget": false, "idf_only": true}</t>
        </is>
      </c>
    </row>
  </sheetData>
  <pageMargins left="0.75" right="0.75" top="1" bottom="1" header="0.5" footer="0.5"/>
  <tableParts count="1">
    <tablePart xmlns:r="http://schemas.openxmlformats.org/officeDocument/2006/relationships" r:id="rId1"/>
  </tableParts>
</worksheet>
</file>

<file path=xl/worksheets/sheet17.xml><?xml version="1.0" encoding="utf-8"?>
<worksheet xmlns="http://schemas.openxmlformats.org/spreadsheetml/2006/main">
  <sheetPr codeName="Feuil2">
    <outlinePr summaryBelow="1" summaryRight="1"/>
    <pageSetUpPr/>
  </sheetPr>
  <dimension ref="A1:B54"/>
  <sheetViews>
    <sheetView workbookViewId="0">
      <selection activeCell="A1" sqref="A1"/>
    </sheetView>
  </sheetViews>
  <sheetFormatPr baseColWidth="10" defaultRowHeight="14.5"/>
  <cols>
    <col width="42.6328125" customWidth="1" min="1" max="1"/>
    <col width="32.6328125" customWidth="1" min="2" max="2"/>
  </cols>
  <sheetData>
    <row r="1">
      <c r="A1" t="inlineStr">
        <is>
          <t>Region a mettre a jour (AO)</t>
        </is>
      </c>
    </row>
    <row r="2">
      <c r="A2" t="inlineStr">
        <is>
          <t>Notifications email</t>
        </is>
      </c>
      <c r="B2" s="17" t="inlineStr">
        <is>
          <t>ON</t>
        </is>
      </c>
    </row>
    <row r="3">
      <c r="A3" t="inlineStr">
        <is>
          <t>Collecte donnees</t>
        </is>
      </c>
      <c r="B3" s="17" t="inlineStr">
        <is>
          <t>ON</t>
        </is>
      </c>
    </row>
    <row r="4">
      <c r="A4" t="inlineStr">
        <is>
          <t>Destinataires des alertes (une adresse par ligne)</t>
        </is>
      </c>
    </row>
    <row r="5"/>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sheetData>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Marcel Digbeu</dc:creator>
  <dcterms:created xmlns:dcterms="http://purl.org/dc/terms/" xmlns:xsi="http://www.w3.org/2001/XMLSchema-instance" xsi:type="dcterms:W3CDTF">2026-06-22T19:23:09Z</dcterms:created>
  <dcterms:modified xmlns:dcterms="http://purl.org/dc/terms/" xmlns:xsi="http://www.w3.org/2001/XMLSchema-instance" xsi:type="dcterms:W3CDTF">2026-07-28T07:02:47Z</dcterms:modified>
  <cp:lastModifiedBy>Marcel Digbeu</cp:lastModifiedBy>
</cp:coreProperties>
</file>