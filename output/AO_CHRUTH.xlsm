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tables/table12.xml" ContentType="application/vnd.openxmlformats-officedocument.spreadsheetml.table+xml"/>
  <Override PartName="/xl/worksheets/sheet14.xml" ContentType="application/vnd.openxmlformats-officedocument.spreadsheetml.worksheet+xml"/>
  <Override PartName="/xl/tables/table13.xml" ContentType="application/vnd.openxmlformats-officedocument.spreadsheetml.table+xml"/>
  <Override PartName="/xl/worksheets/sheet15.xml" ContentType="application/vnd.openxmlformats-officedocument.spreadsheetml.worksheet+xml"/>
  <Override PartName="/xl/tables/table14.xml" ContentType="application/vnd.openxmlformats-officedocument.spreadsheetml.table+xml"/>
  <Override PartName="/xl/worksheets/sheet16.xml" ContentType="application/vnd.openxmlformats-officedocument.spreadsheetml.worksheet+xml"/>
  <Override PartName="/xl/tables/table15.xml" ContentType="application/vnd.openxmlformats-officedocument.spreadsheetml.table+xml"/>
  <Override PartName="/xl/worksheets/sheet1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8520" yWindow="0" windowWidth="6390" windowHeight="9000" tabRatio="600" firstSheet="2" activeTab="2" autoFilterDateGrouping="1"/>
  </bookViews>
  <sheets>
    <sheet xmlns:r="http://schemas.openxmlformats.org/officeDocument/2006/relationships" name="Pilotage" sheetId="1" state="visible" r:id="rId1"/>
    <sheet xmlns:r="http://schemas.openxmlformats.org/officeDocument/2006/relationships" name="Top20_Ouverts" sheetId="2" state="visible" r:id="rId2"/>
    <sheet xmlns:r="http://schemas.openxmlformats.org/officeDocument/2006/relationships" name="AO_Nettoyage_IDF" sheetId="3" state="visible" r:id="rId3"/>
    <sheet xmlns:r="http://schemas.openxmlformats.org/officeDocument/2006/relationships" name="AO_Tous" sheetId="4" state="visible" r:id="rId4"/>
    <sheet xmlns:r="http://schemas.openxmlformats.org/officeDocument/2006/relationships" name="AO_Ile_de_France" sheetId="5" state="visible" r:id="rId5"/>
    <sheet xmlns:r="http://schemas.openxmlformats.org/officeDocument/2006/relationships" name="AO_Region" sheetId="6" state="visible" r:id="rId6"/>
    <sheet xmlns:r="http://schemas.openxmlformats.org/officeDocument/2006/relationships" name="AO_CHAUDS" sheetId="7" state="visible" r:id="rId7"/>
    <sheet xmlns:r="http://schemas.openxmlformats.org/officeDocument/2006/relationships" name="AO_A_VERIFIER" sheetId="8" state="visible" r:id="rId8"/>
    <sheet xmlns:r="http://schemas.openxmlformats.org/officeDocument/2006/relationships" name="DCE_A_RECUPERER" sheetId="9" state="visible" r:id="rId9"/>
    <sheet xmlns:r="http://schemas.openxmlformats.org/officeDocument/2006/relationships" name="CRM_Suivi" sheetId="10" state="visible" r:id="rId10"/>
    <sheet xmlns:r="http://schemas.openxmlformats.org/officeDocument/2006/relationships" name="Agent_IA" sheetId="11" state="visible" r:id="rId11"/>
    <sheet xmlns:r="http://schemas.openxmlformats.org/officeDocument/2006/relationships" name="Scoring" sheetId="12" state="visible" r:id="rId12"/>
    <sheet xmlns:r="http://schemas.openxmlformats.org/officeDocument/2006/relationships" name="Acheteurs" sheetId="13" state="visible" r:id="rId13"/>
    <sheet xmlns:r="http://schemas.openxmlformats.org/officeDocument/2006/relationships" name="Villes_Departements" sheetId="14" state="visible" r:id="rId14"/>
    <sheet xmlns:r="http://schemas.openxmlformats.org/officeDocument/2006/relationships" name="VBA_Bouton" sheetId="15" state="visible" r:id="rId15"/>
    <sheet xmlns:r="http://schemas.openxmlformats.org/officeDocument/2006/relationships" name="Logs_Update" sheetId="16" state="visible" r:id="rId16"/>
    <sheet xmlns:r="http://schemas.openxmlformats.org/officeDocument/2006/relationships" name="Parametres" sheetId="17" state="visible" r:id="rId17"/>
  </sheets>
  <definedNames/>
  <calcPr calcId="191029" fullCalcOnLoad="1"/>
</workbook>
</file>

<file path=xl/styles.xml><?xml version="1.0" encoding="utf-8"?>
<styleSheet xmlns="http://schemas.openxmlformats.org/spreadsheetml/2006/main">
  <numFmts count="3">
    <numFmt numFmtId="164" formatCode="#,##0&quot; €&quot;"/>
    <numFmt numFmtId="165" formatCode="yyyy-mm-dd"/>
    <numFmt numFmtId="166" formatCode="dd/mm/yyyy"/>
  </numFmts>
  <fonts count="8">
    <font>
      <name val="Aptos Narrow"/>
      <family val="2"/>
      <color theme="1"/>
      <sz val="11"/>
      <scheme val="minor"/>
    </font>
    <font>
      <b val="1"/>
      <color rgb="00FFFFFF"/>
      <sz val="16"/>
    </font>
    <font>
      <b val="1"/>
      <color rgb="00FFFFFF"/>
      <sz val="9"/>
    </font>
    <font>
      <b val="1"/>
      <color rgb="001F3864"/>
      <sz val="14"/>
    </font>
    <font>
      <b val="1"/>
      <color rgb="001F3864"/>
      <sz val="12"/>
    </font>
    <font>
      <b val="1"/>
      <color rgb="00FFFFFF"/>
      <sz val="10"/>
    </font>
    <font>
      <name val="Calibri"/>
      <family val="2"/>
      <color theme="10"/>
      <sz val="12"/>
      <scheme val="minor"/>
    </font>
    <font>
      <b val="1"/>
      <color rgb="00FFFFFF"/>
    </font>
  </fonts>
  <fills count="12">
    <fill>
      <patternFill/>
    </fill>
    <fill>
      <patternFill patternType="gray125"/>
    </fill>
    <fill>
      <patternFill patternType="solid">
        <fgColor rgb="FFC6EFCE"/>
        <bgColor indexed="64"/>
      </patternFill>
    </fill>
    <fill>
      <patternFill patternType="solid">
        <fgColor rgb="FFFFCCCC"/>
        <bgColor indexed="64"/>
      </patternFill>
    </fill>
    <fill>
      <patternFill patternType="solid">
        <fgColor rgb="001F3864"/>
        <bgColor rgb="001F3864"/>
      </patternFill>
    </fill>
    <fill>
      <patternFill patternType="solid">
        <fgColor rgb="002E5496"/>
        <bgColor rgb="002E5496"/>
      </patternFill>
    </fill>
    <fill>
      <patternFill patternType="solid">
        <fgColor rgb="00D9E1F2"/>
        <bgColor rgb="00D9E1F2"/>
      </patternFill>
    </fill>
    <fill>
      <patternFill patternType="solid">
        <fgColor rgb="00C6EFCE"/>
      </patternFill>
    </fill>
    <fill>
      <patternFill patternType="solid">
        <fgColor rgb="00FFC7CE"/>
      </patternFill>
    </fill>
    <fill>
      <patternFill patternType="solid">
        <fgColor rgb="00C6EFCE"/>
        <bgColor rgb="00C6EFCE"/>
      </patternFill>
    </fill>
    <fill>
      <patternFill patternType="solid">
        <fgColor rgb="00FFEB9C"/>
        <bgColor rgb="00FFEB9C"/>
      </patternFill>
    </fill>
    <fill>
      <patternFill patternType="solid">
        <fgColor rgb="00D9EAD3"/>
        <bgColor rgb="00D9EAD3"/>
      </patternFill>
    </fill>
  </fills>
  <borders count="2">
    <border>
      <left/>
      <right/>
      <top/>
      <bottom/>
      <diagonal/>
    </border>
    <border>
      <left style="thin">
        <color rgb="00BFBFBF"/>
      </left>
      <right style="thin">
        <color rgb="00BFBFBF"/>
      </right>
      <top style="thin">
        <color rgb="00BFBFBF"/>
      </top>
      <bottom style="thin">
        <color rgb="00BFBFBF"/>
      </bottom>
    </border>
  </borders>
  <cellStyleXfs count="2">
    <xf numFmtId="0" fontId="0" fillId="0" borderId="0"/>
    <xf numFmtId="0" fontId="6" fillId="0" borderId="0"/>
  </cellStyleXfs>
  <cellXfs count="20">
    <xf numFmtId="0" fontId="0" fillId="0" borderId="0" pivotButton="0" quotePrefix="0" xfId="0"/>
    <xf numFmtId="0" fontId="0" fillId="2" borderId="0" pivotButton="0" quotePrefix="0" xfId="0"/>
    <xf numFmtId="0" fontId="0" fillId="3" borderId="0" pivotButton="0" quotePrefix="0" xfId="0"/>
    <xf numFmtId="0" fontId="1" fillId="4" borderId="0" applyAlignment="1" pivotButton="0" quotePrefix="0" xfId="0">
      <alignment horizontal="left" vertical="center" indent="1"/>
    </xf>
    <xf numFmtId="0" fontId="2" fillId="5" borderId="0" applyAlignment="1" pivotButton="0" quotePrefix="0" xfId="0">
      <alignment horizontal="center" vertical="center"/>
    </xf>
    <xf numFmtId="0" fontId="3" fillId="6" borderId="1" applyAlignment="1" pivotButton="0" quotePrefix="0" xfId="0">
      <alignment horizontal="center" vertical="center"/>
    </xf>
    <xf numFmtId="0" fontId="4" fillId="0" borderId="0" pivotButton="0" quotePrefix="0" xfId="0"/>
    <xf numFmtId="0" fontId="5" fillId="4" borderId="0" applyAlignment="1" pivotButton="0" quotePrefix="0" xfId="0">
      <alignment horizontal="center" vertical="center" wrapText="1"/>
    </xf>
    <xf numFmtId="0" fontId="0" fillId="0" borderId="1" pivotButton="0" quotePrefix="0" xfId="0"/>
    <xf numFmtId="164" fontId="0" fillId="0" borderId="1" pivotButton="0" quotePrefix="0" xfId="0"/>
    <xf numFmtId="166" fontId="0" fillId="0" borderId="1" pivotButton="0" quotePrefix="0" xfId="0"/>
    <xf numFmtId="0" fontId="6" fillId="0" borderId="0" pivotButton="0" quotePrefix="0" xfId="1"/>
    <xf numFmtId="0" fontId="7" fillId="4" borderId="0" applyAlignment="1" pivotButton="0" quotePrefix="0" xfId="0">
      <alignment horizontal="center" vertical="center" wrapText="1"/>
    </xf>
    <xf numFmtId="0" fontId="0" fillId="9" borderId="0" pivotButton="0" quotePrefix="0" xfId="0"/>
    <xf numFmtId="164" fontId="0" fillId="0" borderId="0" pivotButton="0" quotePrefix="0" xfId="0"/>
    <xf numFmtId="166" fontId="0" fillId="0" borderId="0" pivotButton="0" quotePrefix="0" xfId="0"/>
    <xf numFmtId="0" fontId="0" fillId="10" borderId="0" pivotButton="0" quotePrefix="0" xfId="0"/>
    <xf numFmtId="0" fontId="0" fillId="11" borderId="0" pivotButton="0" quotePrefix="0" xfId="0"/>
    <xf numFmtId="0" fontId="0" fillId="7" borderId="0" pivotButton="0" quotePrefix="0" xfId="0"/>
    <xf numFmtId="0" fontId="0" fillId="8" borderId="0" pivotButton="0" quotePrefix="0" xfId="0"/>
  </cellXfs>
  <cellStyles count="2">
    <cellStyle name="Normal" xfId="0" builtinId="0"/>
    <cellStyle name="Hyperlink" xfId="1" builtinId="8" hidden="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styles" Target="styles.xml" Id="rId18"/><Relationship Type="http://schemas.openxmlformats.org/officeDocument/2006/relationships/theme" Target="theme/theme1.xml" Id="rId19"/><Relationship Type="http://schemas.microsoft.com/office/2006/relationships/vbaProject" Target="vbaProject.bin" Id="rId2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tables/table1.xml><?xml version="1.0" encoding="utf-8"?>
<table xmlns="http://schemas.openxmlformats.org/spreadsheetml/2006/main" id="1" name="tbl_Top20_Ouverts" displayName="tbl_Top20_Ouverts" ref="A1:K21" headerRowCount="1">
  <autoFilter ref="A1:K21"/>
  <tableColumns count="11">
    <tableColumn id="1" name="rang"/>
    <tableColumn id="2" name="id_ao"/>
    <tableColumn id="3" name="score_chruth"/>
    <tableColumn id="4" name="priorite"/>
    <tableColumn id="5" name="objet"/>
    <tableColumn id="6" name="acheteur"/>
    <tableColumn id="7" name="ville"/>
    <tableColumn id="8" name="departement"/>
    <tableColumn id="9" name="budget_estime_eur"/>
    <tableColumn id="10" name="date_limite"/>
    <tableColumn id="11" name="url_avis"/>
  </tableColumns>
  <tableStyleInfo name="TableStyleMedium2" showRowStripes="1" showColumnStripes="0"/>
</table>
</file>

<file path=xl/tables/table2.xml><?xml version="1.0" encoding="utf-8"?>
<table xmlns="http://schemas.openxmlformats.org/spreadsheetml/2006/main" id="2" name="tbl_AO_Nettoyage_IDF" displayName="tbl_AO_Nettoyage_IDF" ref="A1:N58" headerRowCount="1">
  <autoFilter ref="A1:N58"/>
  <tableColumns count="14">
    <tableColumn id="1" name="Objet de l'AO"/>
    <tableColumn id="2" name="Acheteur"/>
    <tableColumn id="3" name="Secteur"/>
    <tableColumn id="4" name="Catégorie"/>
    <tableColumn id="5" name="Ville"/>
    <tableColumn id="6" name="Département"/>
    <tableColumn id="7" name="Date de publication"/>
    <tableColumn id="8" name="Date limite de réponse"/>
    <tableColumn id="9" name="Budget estimé (€)"/>
    <tableColumn id="10" name="Lien DCE"/>
    <tableColumn id="11" name="Lien avis BOAMP"/>
    <tableColumn id="12" name="Priorité"/>
    <tableColumn id="13" name="Score"/>
    <tableColumn id="14" name="id_ao"/>
  </tableColumns>
  <tableStyleInfo name="TableStyleMedium2" showRowStripes="1" showColumnStripes="0"/>
</table>
</file>

<file path=xl/tables/table3.xml><?xml version="1.0" encoding="utf-8"?>
<table xmlns="http://schemas.openxmlformats.org/spreadsheetml/2006/main" id="3" name="tbl_AO_Tous" displayName="tbl_AO_Tous" ref="A1:BM62" headerRowCount="1">
  <autoFilter ref="A1:BM62"/>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4.xml><?xml version="1.0" encoding="utf-8"?>
<table xmlns="http://schemas.openxmlformats.org/spreadsheetml/2006/main" id="4" name="tbl_AO_Ile_de_France" displayName="tbl_AO_Ile_de_France" ref="A1:BM58" headerRowCount="1">
  <autoFilter ref="A1:BM58"/>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5.xml><?xml version="1.0" encoding="utf-8"?>
<table xmlns="http://schemas.openxmlformats.org/spreadsheetml/2006/main" id="5" name="tbl_AO_Region" displayName="tbl_AO_Region" ref="A1:BM62" headerRowCount="1">
  <autoFilter ref="A1:BM62"/>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6.xml><?xml version="1.0" encoding="utf-8"?>
<table xmlns="http://schemas.openxmlformats.org/spreadsheetml/2006/main" id="6" name="tbl_AO_CHAUDS" displayName="tbl_AO_CHAUDS" ref="A1:BM20" headerRowCount="1">
  <autoFilter ref="A1:BM20"/>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7.xml><?xml version="1.0" encoding="utf-8"?>
<table xmlns="http://schemas.openxmlformats.org/spreadsheetml/2006/main" id="7" name="tbl_AO_A_VERIFIER" displayName="tbl_AO_A_VERIFIER" ref="A1:BM33" headerRowCount="1">
  <autoFilter ref="A1:BM33"/>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8.xml><?xml version="1.0" encoding="utf-8"?>
<table xmlns="http://schemas.openxmlformats.org/spreadsheetml/2006/main" id="8" name="tbl_DCE_A_RECUPERER" displayName="tbl_DCE_A_RECUPERER" ref="A1:G35" headerRowCount="1">
  <autoFilter ref="A1:G35"/>
  <tableColumns count="7">
    <tableColumn id="1" name="id_ao"/>
    <tableColumn id="2" name="objet"/>
    <tableColumn id="3" name="acheteur"/>
    <tableColumn id="4" name="url_dce"/>
    <tableColumn id="5" name="url_profil_acheteur"/>
    <tableColumn id="6" name="dce_statut"/>
    <tableColumn id="7" name="fichier_attendu"/>
  </tableColumns>
  <tableStyleInfo name="TableStyleMedium2" showRowStripes="1" showColumnStripes="0"/>
</table>
</file>

<file path=xl/tables/table9.xml><?xml version="1.0" encoding="utf-8"?>
<table xmlns="http://schemas.openxmlformats.org/spreadsheetml/2006/main" id="9" name="tbl_CRM_Suivi" displayName="tbl_CRM_Suivi" ref="A1:BM50" headerRowCount="1">
  <autoFilter ref="A1:BM50"/>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10.xml><?xml version="1.0" encoding="utf-8"?>
<table xmlns="http://schemas.openxmlformats.org/spreadsheetml/2006/main" id="10" name="tbl_Agent_IA" displayName="tbl_Agent_IA" ref="A1:D5" headerRowCount="1">
  <autoFilter ref="A1:D5"/>
  <tableColumns count="4">
    <tableColumn id="1" name="cas"/>
    <tableColumn id="2" name="quand_utiliser"/>
    <tableColumn id="3" name="action_agent"/>
    <tableColumn id="4" name="sortie_attendue"/>
  </tableColumns>
  <tableStyleInfo name="TableStyleMedium2" showRowStripes="1" showColumnStripes="0"/>
</table>
</file>

<file path=xl/tables/table11.xml><?xml version="1.0" encoding="utf-8"?>
<table xmlns="http://schemas.openxmlformats.org/spreadsheetml/2006/main" id="11" name="tbl_Scoring" displayName="tbl_Scoring" ref="A1:C17" headerRowCount="1">
  <autoFilter ref="A1:C17"/>
  <tableColumns count="3">
    <tableColumn id="1" name="critere"/>
    <tableColumn id="2" name="regle"/>
    <tableColumn id="3" name="points"/>
  </tableColumns>
  <tableStyleInfo name="TableStyleMedium2" showRowStripes="1" showColumnStripes="0"/>
</table>
</file>

<file path=xl/tables/table12.xml><?xml version="1.0" encoding="utf-8"?>
<table xmlns="http://schemas.openxmlformats.org/spreadsheetml/2006/main" id="12" name="tbl_Acheteurs" displayName="tbl_Acheteurs" ref="A1:G58" headerRowCount="1">
  <autoFilter ref="A1:G58"/>
  <tableColumns count="7">
    <tableColumn id="1" name="acheteur"/>
    <tableColumn id="2" name="siret_acheteur"/>
    <tableColumn id="3" name="nb_ao"/>
    <tableColumn id="4" name="score_max"/>
    <tableColumn id="5" name="priorites"/>
    <tableColumn id="6" name="villes"/>
    <tableColumn id="7" name="dernier_ao"/>
  </tableColumns>
  <tableStyleInfo name="TableStyleMedium2" showRowStripes="1" showColumnStripes="0"/>
</table>
</file>

<file path=xl/tables/table13.xml><?xml version="1.0" encoding="utf-8"?>
<table xmlns="http://schemas.openxmlformats.org/spreadsheetml/2006/main" id="13" name="tbl_Villes_Departements" displayName="tbl_Villes_Departements" ref="A1:G18" headerRowCount="1">
  <autoFilter ref="A1:G18"/>
  <tableColumns count="7">
    <tableColumn id="1" name="departement"/>
    <tableColumn id="2" name="ville"/>
    <tableColumn id="3" name="nb_ao"/>
    <tableColumn id="4" name="score_moyen"/>
    <tableColumn id="5" name="nb_chaud"/>
    <tableColumn id="6" name="nb_a_verifier"/>
    <tableColumn id="7" name="acheteurs"/>
  </tableColumns>
  <tableStyleInfo name="TableStyleMedium2" showRowStripes="1" showColumnStripes="0"/>
</table>
</file>

<file path=xl/tables/table14.xml><?xml version="1.0" encoding="utf-8"?>
<table xmlns="http://schemas.openxmlformats.org/spreadsheetml/2006/main" id="14" name="tbl_VBA_Bouton" displayName="tbl_VBA_Bouton" ref="A1:B221" headerRowCount="1">
  <autoFilter ref="A1:B221"/>
  <tableColumns count="2">
    <tableColumn id="1" name="section"/>
    <tableColumn id="2" name="contenu"/>
  </tableColumns>
  <tableStyleInfo name="TableStyleMedium2" showRowStripes="1" showColumnStripes="0"/>
</table>
</file>

<file path=xl/tables/table15.xml><?xml version="1.0" encoding="utf-8"?>
<table xmlns="http://schemas.openxmlformats.org/spreadsheetml/2006/main" id="15" name="tbl_Logs_Update" displayName="tbl_Logs_Update" ref="A1:G93" headerRowCount="1">
  <autoFilter ref="A1:G93"/>
  <tableColumns count="7">
    <tableColumn id="1" name="id"/>
    <tableColumn id="2" name="run_at"/>
    <tableColumn id="3" name="source"/>
    <tableColumn id="4" name="fetched"/>
    <tableColumn id="5" name="kept"/>
    <tableColumn id="6" name="inserted_or_updated"/>
    <tableColumn id="7" name="details"/>
  </tableColumns>
  <tableStyleInfo name="TableStyleMedium2"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58680" TargetMode="External" Id="rId2"/><Relationship Type="http://schemas.openxmlformats.org/officeDocument/2006/relationships/hyperlink" Target="https://www.boamp.fr/pages/avis/?q=idweb:26-66091" TargetMode="External" Id="rId3"/><Relationship Type="http://schemas.openxmlformats.org/officeDocument/2006/relationships/hyperlink" Target="https://www.boamp.fr/pages/avis/?q=idweb:26-60739" TargetMode="External" Id="rId4"/><Relationship Type="http://schemas.openxmlformats.org/officeDocument/2006/relationships/hyperlink" Target="https://www.boamp.fr/pages/avis/?q=idweb:26-57399" TargetMode="External" Id="rId5"/><Relationship Type="http://schemas.openxmlformats.org/officeDocument/2006/relationships/hyperlink" Target="https://www.boamp.fr/pages/avis/?q=idweb:26-56654" TargetMode="External" Id="rId6"/><Relationship Type="http://schemas.openxmlformats.org/officeDocument/2006/relationships/hyperlink" Target="https://www.boamp.fr/pages/avis/?q=idweb:26-54018" TargetMode="External" Id="rId7"/><Relationship Type="http://schemas.openxmlformats.org/officeDocument/2006/relationships/hyperlink" Target="https://www.boamp.fr/pages/avis/?q=idweb:26-64286" TargetMode="External" Id="rId8"/><Relationship Type="http://schemas.openxmlformats.org/officeDocument/2006/relationships/hyperlink" Target="https://www.boamp.fr/pages/avis/?q=idweb:26-63518" TargetMode="External" Id="rId9"/><Relationship Type="http://schemas.openxmlformats.org/officeDocument/2006/relationships/hyperlink" Target="https://www.boamp.fr/pages/avis/?q=idweb:26-63201" TargetMode="External" Id="rId10"/><Relationship Type="http://schemas.openxmlformats.org/officeDocument/2006/relationships/hyperlink" Target="https://www.boamp.fr/pages/avis/?q=idweb:26-62837" TargetMode="External" Id="rId11"/><Relationship Type="http://schemas.openxmlformats.org/officeDocument/2006/relationships/hyperlink" Target="https://www.boamp.fr/pages/avis/?q=idweb:26-62488" TargetMode="External" Id="rId12"/><Relationship Type="http://schemas.openxmlformats.org/officeDocument/2006/relationships/hyperlink" Target="https://www.boamp.fr/pages/avis/?q=idweb:26-61263" TargetMode="External" Id="rId13"/><Relationship Type="http://schemas.openxmlformats.org/officeDocument/2006/relationships/hyperlink" Target="https://www.boamp.fr/pages/avis/?q=idweb:26-60231" TargetMode="External" Id="rId14"/><Relationship Type="http://schemas.openxmlformats.org/officeDocument/2006/relationships/hyperlink" Target="https://www.boamp.fr/pages/avis/?q=idweb:26-59493" TargetMode="External" Id="rId15"/><Relationship Type="http://schemas.openxmlformats.org/officeDocument/2006/relationships/hyperlink" Target="https://www.boamp.fr/pages/avis/?q=idweb:26-56367" TargetMode="External" Id="rId16"/><Relationship Type="http://schemas.openxmlformats.org/officeDocument/2006/relationships/hyperlink" Target="https://www.boamp.fr/pages/avis/?q=idweb:26-55118" TargetMode="External" Id="rId17"/><Relationship Type="http://schemas.openxmlformats.org/officeDocument/2006/relationships/hyperlink" Target="https://www.boamp.fr/pages/avis/?q=idweb:26-54753" TargetMode="External" Id="rId18"/><Relationship Type="http://schemas.openxmlformats.org/officeDocument/2006/relationships/hyperlink" Target="https://www.boamp.fr/pages/avis/?q=idweb:26-64633" TargetMode="External" Id="rId19"/><Relationship Type="http://schemas.openxmlformats.org/officeDocument/2006/relationships/hyperlink" Target="https://www.boamp.fr/pages/avis/?q=idweb:26-63220" TargetMode="External" Id="rId20"/><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58680" TargetMode="External" Id="rId2"/><Relationship Type="http://schemas.openxmlformats.org/officeDocument/2006/relationships/hyperlink" Target="https://www.boamp.fr/pages/avis/?q=idweb:26-66091" TargetMode="External" Id="rId3"/><Relationship Type="http://schemas.openxmlformats.org/officeDocument/2006/relationships/hyperlink" Target="https://www.boamp.fr/pages/avis/?q=idweb:26-60739" TargetMode="External" Id="rId4"/><Relationship Type="http://schemas.openxmlformats.org/officeDocument/2006/relationships/hyperlink" Target="https://www.boamp.fr/pages/avis/?q=idweb:26-57399" TargetMode="External" Id="rId5"/><Relationship Type="http://schemas.openxmlformats.org/officeDocument/2006/relationships/hyperlink" Target="https://www.boamp.fr/pages/avis/?q=idweb:26-56654" TargetMode="External" Id="rId6"/><Relationship Type="http://schemas.openxmlformats.org/officeDocument/2006/relationships/hyperlink" Target="https://www.boamp.fr/pages/avis/?q=idweb:26-54018" TargetMode="External" Id="rId7"/><Relationship Type="http://schemas.openxmlformats.org/officeDocument/2006/relationships/hyperlink" Target="https://www.boamp.fr/pages/avis/?q=idweb:26-64286" TargetMode="External" Id="rId8"/><Relationship Type="http://schemas.openxmlformats.org/officeDocument/2006/relationships/hyperlink" Target="https://www.boamp.fr/pages/avis/?q=idweb:26-63518" TargetMode="External" Id="rId9"/><Relationship Type="http://schemas.openxmlformats.org/officeDocument/2006/relationships/hyperlink" Target="https://www.boamp.fr/pages/avis/?q=idweb:26-63201" TargetMode="External" Id="rId10"/><Relationship Type="http://schemas.openxmlformats.org/officeDocument/2006/relationships/hyperlink" Target="https://www.boamp.fr/pages/avis/?q=idweb:26-62837" TargetMode="External" Id="rId11"/><Relationship Type="http://schemas.openxmlformats.org/officeDocument/2006/relationships/hyperlink" Target="https://www.boamp.fr/pages/avis/?q=idweb:26-62488" TargetMode="External" Id="rId12"/><Relationship Type="http://schemas.openxmlformats.org/officeDocument/2006/relationships/hyperlink" Target="https://www.boamp.fr/pages/avis/?q=idweb:26-61263" TargetMode="External" Id="rId13"/><Relationship Type="http://schemas.openxmlformats.org/officeDocument/2006/relationships/hyperlink" Target="https://www.boamp.fr/pages/avis/?q=idweb:26-60231" TargetMode="External" Id="rId14"/><Relationship Type="http://schemas.openxmlformats.org/officeDocument/2006/relationships/hyperlink" Target="https://www.boamp.fr/pages/avis/?q=idweb:26-59493" TargetMode="External" Id="rId15"/><Relationship Type="http://schemas.openxmlformats.org/officeDocument/2006/relationships/hyperlink" Target="https://www.boamp.fr/pages/avis/?q=idweb:26-56367" TargetMode="External" Id="rId16"/><Relationship Type="http://schemas.openxmlformats.org/officeDocument/2006/relationships/hyperlink" Target="https://www.boamp.fr/pages/avis/?q=idweb:26-55118" TargetMode="External" Id="rId17"/><Relationship Type="http://schemas.openxmlformats.org/officeDocument/2006/relationships/hyperlink" Target="https://www.boamp.fr/pages/avis/?q=idweb:26-54753" TargetMode="External" Id="rId18"/><Relationship Type="http://schemas.openxmlformats.org/officeDocument/2006/relationships/hyperlink" Target="https://www.boamp.fr/pages/avis/?q=idweb:26-64633" TargetMode="External" Id="rId19"/><Relationship Type="http://schemas.openxmlformats.org/officeDocument/2006/relationships/hyperlink" Target="https://www.boamp.fr/pages/avis/?q=idweb:26-63220" TargetMode="External" Id="rId20"/><Relationship Type="http://schemas.openxmlformats.org/officeDocument/2006/relationships/table" Target="/xl/tables/table1.xml" Id="rId21"/></Relationships>
</file>

<file path=xl/worksheets/_rels/sheet3.xml.rels><Relationships xmlns="http://schemas.openxmlformats.org/package/2006/relationships"><Relationship Type="http://schemas.openxmlformats.org/officeDocument/2006/relationships/table" Target="/xl/tables/table2.xml" Id="rId1"/><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58680" TargetMode="External" Id="rId2"/><Relationship Type="http://schemas.openxmlformats.org/officeDocument/2006/relationships/hyperlink" Target="https://www.boamp.fr/pages/avis/?q=idweb:26-66091" TargetMode="External" Id="rId3"/><Relationship Type="http://schemas.openxmlformats.org/officeDocument/2006/relationships/hyperlink" Target="https://www.boamp.fr/pages/avis/?q=idweb:26-60739" TargetMode="External" Id="rId4"/><Relationship Type="http://schemas.openxmlformats.org/officeDocument/2006/relationships/hyperlink" Target="https://www.boamp.fr/pages/avis/?q=idweb:26-57399" TargetMode="External" Id="rId5"/><Relationship Type="http://schemas.openxmlformats.org/officeDocument/2006/relationships/hyperlink" Target="https://www.boamp.fr/pages/avis/?q=idweb:26-56654" TargetMode="External" Id="rId6"/><Relationship Type="http://schemas.openxmlformats.org/officeDocument/2006/relationships/hyperlink" Target="https://www.boamp.fr/pages/avis/?q=idweb:26-54018" TargetMode="External" Id="rId7"/><Relationship Type="http://schemas.openxmlformats.org/officeDocument/2006/relationships/hyperlink" Target="https://www.boamp.fr/pages/avis/?q=idweb:26-64286" TargetMode="External" Id="rId8"/><Relationship Type="http://schemas.openxmlformats.org/officeDocument/2006/relationships/hyperlink" Target="https://www.boamp.fr/pages/avis/?q=idweb:26-63518" TargetMode="External" Id="rId9"/><Relationship Type="http://schemas.openxmlformats.org/officeDocument/2006/relationships/hyperlink" Target="https://www.boamp.fr/pages/avis/?q=idweb:26-63201" TargetMode="External" Id="rId10"/><Relationship Type="http://schemas.openxmlformats.org/officeDocument/2006/relationships/hyperlink" Target="https://www.boamp.fr/pages/avis/?q=idweb:26-62837" TargetMode="External" Id="rId11"/><Relationship Type="http://schemas.openxmlformats.org/officeDocument/2006/relationships/hyperlink" Target="https://www.boamp.fr/pages/avis/?q=idweb:26-62488" TargetMode="External" Id="rId12"/><Relationship Type="http://schemas.openxmlformats.org/officeDocument/2006/relationships/hyperlink" Target="https://www.boamp.fr/pages/avis/?q=idweb:26-61263" TargetMode="External" Id="rId13"/><Relationship Type="http://schemas.openxmlformats.org/officeDocument/2006/relationships/hyperlink" Target="https://www.boamp.fr/pages/avis/?q=idweb:26-60231" TargetMode="External" Id="rId14"/><Relationship Type="http://schemas.openxmlformats.org/officeDocument/2006/relationships/hyperlink" Target="https://www.boamp.fr/pages/avis/?q=idweb:26-59493" TargetMode="External" Id="rId15"/><Relationship Type="http://schemas.openxmlformats.org/officeDocument/2006/relationships/hyperlink" Target="https://www.boamp.fr/pages/avis/?q=idweb:26-56367" TargetMode="External" Id="rId16"/><Relationship Type="http://schemas.openxmlformats.org/officeDocument/2006/relationships/hyperlink" Target="https://www.boamp.fr/pages/avis/?q=idweb:26-55118" TargetMode="External" Id="rId17"/><Relationship Type="http://schemas.openxmlformats.org/officeDocument/2006/relationships/hyperlink" Target="https://www.boamp.fr/pages/avis/?q=idweb:26-54753" TargetMode="External" Id="rId18"/><Relationship Type="http://schemas.openxmlformats.org/officeDocument/2006/relationships/hyperlink" Target="https://www.boamp.fr/pages/avis/?q=idweb:26-53819" TargetMode="External" Id="rId19"/><Relationship Type="http://schemas.openxmlformats.org/officeDocument/2006/relationships/hyperlink" Target="https://www.boamp.fr/pages/avis/?q=idweb:26-64633" TargetMode="External" Id="rId20"/><Relationship Type="http://schemas.openxmlformats.org/officeDocument/2006/relationships/hyperlink" Target="https://www.boamp.fr/pages/avis/?q=idweb:26-63220" TargetMode="External" Id="rId21"/><Relationship Type="http://schemas.openxmlformats.org/officeDocument/2006/relationships/hyperlink" Target="https://www.boamp.fr/pages/avis/?q=idweb:26-62559" TargetMode="External" Id="rId22"/><Relationship Type="http://schemas.openxmlformats.org/officeDocument/2006/relationships/hyperlink" Target="https://www.boamp.fr/pages/avis/?q=idweb:26-58404" TargetMode="External" Id="rId23"/><Relationship Type="http://schemas.openxmlformats.org/officeDocument/2006/relationships/hyperlink" Target="https://www.boamp.fr/pages/avis/?q=idweb:26-55484" TargetMode="External" Id="rId24"/><Relationship Type="http://schemas.openxmlformats.org/officeDocument/2006/relationships/hyperlink" Target="https://www.boamp.fr/pages/avis/?q=idweb:26-54754" TargetMode="External" Id="rId25"/><Relationship Type="http://schemas.openxmlformats.org/officeDocument/2006/relationships/hyperlink" Target="https://www.boamp.fr/pages/avis/?q=idweb:26-66211" TargetMode="External" Id="rId26"/><Relationship Type="http://schemas.openxmlformats.org/officeDocument/2006/relationships/hyperlink" Target="https://www.boamp.fr/pages/avis/?q=idweb:26-66164" TargetMode="External" Id="rId27"/><Relationship Type="http://schemas.openxmlformats.org/officeDocument/2006/relationships/hyperlink" Target="https://www.boamp.fr/pages/avis/?q=idweb:26-66494" TargetMode="External" Id="rId28"/><Relationship Type="http://schemas.openxmlformats.org/officeDocument/2006/relationships/hyperlink" Target="https://marches.maximilien.fr/entreprise/consultation/939575?orgAcronyme=r8t" TargetMode="External" Id="rId29"/><Relationship Type="http://schemas.openxmlformats.org/officeDocument/2006/relationships/hyperlink" Target="https://www.boamp.fr/pages/avis/?q=idweb:26-64372" TargetMode="External" Id="rId30"/><Relationship Type="http://schemas.openxmlformats.org/officeDocument/2006/relationships/hyperlink" Target="https://www.boamp.fr/pages/avis/?q=idweb:26-63717" TargetMode="External" Id="rId31"/><Relationship Type="http://schemas.openxmlformats.org/officeDocument/2006/relationships/hyperlink" Target="https://www.boamp.fr/pages/avis/?q=idweb:26-59151" TargetMode="External" Id="rId32"/><Relationship Type="http://schemas.openxmlformats.org/officeDocument/2006/relationships/hyperlink" Target="https://www.boamp.fr/pages/avis/?q=idweb:26-57705" TargetMode="External" Id="rId33"/><Relationship Type="http://schemas.openxmlformats.org/officeDocument/2006/relationships/hyperlink" Target="https://www.boamp.fr/pages/avis/?q=idweb:26-57778" TargetMode="External" Id="rId34"/><Relationship Type="http://schemas.openxmlformats.org/officeDocument/2006/relationships/hyperlink" Target="https://www.boamp.fr/pages/avis/?q=idweb:26-57678" TargetMode="External" Id="rId35"/><Relationship Type="http://schemas.openxmlformats.org/officeDocument/2006/relationships/hyperlink" Target="https://www.boamp.fr/pages/avis/?q=idweb:26-57231" TargetMode="External" Id="rId36"/><Relationship Type="http://schemas.openxmlformats.org/officeDocument/2006/relationships/hyperlink" Target="https://www.boamp.fr/pages/avis/?q=idweb:26-62297" TargetMode="External" Id="rId37"/><Relationship Type="http://schemas.openxmlformats.org/officeDocument/2006/relationships/hyperlink" Target="https://www.boamp.fr/pages/avis/?q=idweb:26-61419" TargetMode="External" Id="rId38"/><Relationship Type="http://schemas.openxmlformats.org/officeDocument/2006/relationships/hyperlink" Target="https://www.boamp.fr/pages/avis/?q=idweb:26-61287" TargetMode="External" Id="rId39"/><Relationship Type="http://schemas.openxmlformats.org/officeDocument/2006/relationships/hyperlink" Target="https://www.boamp.fr/pages/avis/?q=idweb:26-57313" TargetMode="External" Id="rId40"/><Relationship Type="http://schemas.openxmlformats.org/officeDocument/2006/relationships/hyperlink" Target="https://www.boamp.fr/pages/avis/?q=idweb:26-56245" TargetMode="External" Id="rId41"/><Relationship Type="http://schemas.openxmlformats.org/officeDocument/2006/relationships/hyperlink" Target="https://www.boamp.fr/pages/avis/?q=idweb:26-55238" TargetMode="External" Id="rId42"/><Relationship Type="http://schemas.openxmlformats.org/officeDocument/2006/relationships/hyperlink" Target="https://marches.maximilien.fr/entreprise/consultation/942574?orgAcronyme=a1i" TargetMode="External" Id="rId43"/><Relationship Type="http://schemas.openxmlformats.org/officeDocument/2006/relationships/hyperlink" Target="https://www.boamp.fr/pages/avis/?q=idweb:26-60829" TargetMode="External" Id="rId44"/><Relationship Type="http://schemas.openxmlformats.org/officeDocument/2006/relationships/hyperlink" Target="https://www.boamp.fr/pages/avis/?q=idweb:26-61133" TargetMode="External" Id="rId45"/><Relationship Type="http://schemas.openxmlformats.org/officeDocument/2006/relationships/hyperlink" Target="https://marches.maximilien.fr/entreprise/consultation/941627?orgAcronyme=d7d" TargetMode="External" Id="rId46"/><Relationship Type="http://schemas.openxmlformats.org/officeDocument/2006/relationships/hyperlink" Target="https://marches.maximilien.fr/entreprise/consultation/939069?orgAcronyme=d8e" TargetMode="External" Id="rId47"/><Relationship Type="http://schemas.openxmlformats.org/officeDocument/2006/relationships/hyperlink" Target="https://www.boamp.fr/pages/avis/?q=idweb:26-56896" TargetMode="External" Id="rId48"/><Relationship Type="http://schemas.openxmlformats.org/officeDocument/2006/relationships/hyperlink" Target="https://www.boamp.fr/pages/avis/?q=idweb:26-60093" TargetMode="External" Id="rId49"/><Relationship Type="http://schemas.openxmlformats.org/officeDocument/2006/relationships/hyperlink" Target="https://www.boamp.fr/pages/avis/?q=idweb:26-61430" TargetMode="External" Id="rId50"/><Relationship Type="http://schemas.openxmlformats.org/officeDocument/2006/relationships/hyperlink" Target="https://www.boamp.fr/pages/avis/?q=idweb:26-60020" TargetMode="External" Id="rId51"/><Relationship Type="http://schemas.openxmlformats.org/officeDocument/2006/relationships/hyperlink" Target="https://www.boamp.fr/pages/avis/?q=idweb:26-53642" TargetMode="External" Id="rId52"/><Relationship Type="http://schemas.openxmlformats.org/officeDocument/2006/relationships/hyperlink" Target="https://www.boamp.fr/pages/avis/?q=idweb:26-64579" TargetMode="External" Id="rId53"/><Relationship Type="http://schemas.openxmlformats.org/officeDocument/2006/relationships/hyperlink" Target="https://www.boamp.fr/pages/avis/?q=idweb:26-63641" TargetMode="External" Id="rId54"/><Relationship Type="http://schemas.openxmlformats.org/officeDocument/2006/relationships/hyperlink" Target="https://www.boamp.fr/pages/avis/?q=idweb:26-61794" TargetMode="External" Id="rId55"/><Relationship Type="http://schemas.openxmlformats.org/officeDocument/2006/relationships/hyperlink" Target="https://www.boamp.fr/pages/avis/?q=idweb:26-55925" TargetMode="External" Id="rId56"/><Relationship Type="http://schemas.openxmlformats.org/officeDocument/2006/relationships/hyperlink" Target="https://www.boamp.fr/pages/avis/?q=idweb:26-61210" TargetMode="External" Id="rId57"/><Relationship Type="http://schemas.openxmlformats.org/officeDocument/2006/relationships/hyperlink" Target="https://www.boamp.fr/pages/avis/?q=idweb:26-53755" TargetMode="External" Id="rId58"/><Relationship Type="http://schemas.openxmlformats.org/officeDocument/2006/relationships/hyperlink" Target="https://www.boamp.fr/pages/avis/?q=idweb:26-59853" TargetMode="External" Id="rId59"/><Relationship Type="http://schemas.openxmlformats.org/officeDocument/2006/relationships/hyperlink" Target="https://www.boamp.fr/pages/avis/?q=idweb:26-55506" TargetMode="External" Id="rId60"/><Relationship Type="http://schemas.openxmlformats.org/officeDocument/2006/relationships/hyperlink" Target="https://www.boamp.fr/pages/avis/?q=idweb:26-55879" TargetMode="External" Id="rId61"/><Relationship Type="http://schemas.openxmlformats.org/officeDocument/2006/relationships/table" Target="/xl/tables/table3.xml" Id="rId62"/></Relationships>
</file>

<file path=xl/worksheets/_rels/sheet5.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58680" TargetMode="External" Id="rId2"/><Relationship Type="http://schemas.openxmlformats.org/officeDocument/2006/relationships/hyperlink" Target="https://www.boamp.fr/pages/avis/?q=idweb:26-66091" TargetMode="External" Id="rId3"/><Relationship Type="http://schemas.openxmlformats.org/officeDocument/2006/relationships/hyperlink" Target="https://www.boamp.fr/pages/avis/?q=idweb:26-60739" TargetMode="External" Id="rId4"/><Relationship Type="http://schemas.openxmlformats.org/officeDocument/2006/relationships/hyperlink" Target="https://www.boamp.fr/pages/avis/?q=idweb:26-57399" TargetMode="External" Id="rId5"/><Relationship Type="http://schemas.openxmlformats.org/officeDocument/2006/relationships/hyperlink" Target="https://www.boamp.fr/pages/avis/?q=idweb:26-56654" TargetMode="External" Id="rId6"/><Relationship Type="http://schemas.openxmlformats.org/officeDocument/2006/relationships/hyperlink" Target="https://www.boamp.fr/pages/avis/?q=idweb:26-54018" TargetMode="External" Id="rId7"/><Relationship Type="http://schemas.openxmlformats.org/officeDocument/2006/relationships/hyperlink" Target="https://www.boamp.fr/pages/avis/?q=idweb:26-64286" TargetMode="External" Id="rId8"/><Relationship Type="http://schemas.openxmlformats.org/officeDocument/2006/relationships/hyperlink" Target="https://www.boamp.fr/pages/avis/?q=idweb:26-63518" TargetMode="External" Id="rId9"/><Relationship Type="http://schemas.openxmlformats.org/officeDocument/2006/relationships/hyperlink" Target="https://www.boamp.fr/pages/avis/?q=idweb:26-63201" TargetMode="External" Id="rId10"/><Relationship Type="http://schemas.openxmlformats.org/officeDocument/2006/relationships/hyperlink" Target="https://www.boamp.fr/pages/avis/?q=idweb:26-62837" TargetMode="External" Id="rId11"/><Relationship Type="http://schemas.openxmlformats.org/officeDocument/2006/relationships/hyperlink" Target="https://www.boamp.fr/pages/avis/?q=idweb:26-62488" TargetMode="External" Id="rId12"/><Relationship Type="http://schemas.openxmlformats.org/officeDocument/2006/relationships/hyperlink" Target="https://www.boamp.fr/pages/avis/?q=idweb:26-61263" TargetMode="External" Id="rId13"/><Relationship Type="http://schemas.openxmlformats.org/officeDocument/2006/relationships/hyperlink" Target="https://www.boamp.fr/pages/avis/?q=idweb:26-60231" TargetMode="External" Id="rId14"/><Relationship Type="http://schemas.openxmlformats.org/officeDocument/2006/relationships/hyperlink" Target="https://www.boamp.fr/pages/avis/?q=idweb:26-59493" TargetMode="External" Id="rId15"/><Relationship Type="http://schemas.openxmlformats.org/officeDocument/2006/relationships/hyperlink" Target="https://www.boamp.fr/pages/avis/?q=idweb:26-56367" TargetMode="External" Id="rId16"/><Relationship Type="http://schemas.openxmlformats.org/officeDocument/2006/relationships/hyperlink" Target="https://www.boamp.fr/pages/avis/?q=idweb:26-55118" TargetMode="External" Id="rId17"/><Relationship Type="http://schemas.openxmlformats.org/officeDocument/2006/relationships/hyperlink" Target="https://www.boamp.fr/pages/avis/?q=idweb:26-54753" TargetMode="External" Id="rId18"/><Relationship Type="http://schemas.openxmlformats.org/officeDocument/2006/relationships/hyperlink" Target="https://www.boamp.fr/pages/avis/?q=idweb:26-53819" TargetMode="External" Id="rId19"/><Relationship Type="http://schemas.openxmlformats.org/officeDocument/2006/relationships/hyperlink" Target="https://www.boamp.fr/pages/avis/?q=idweb:26-64633" TargetMode="External" Id="rId20"/><Relationship Type="http://schemas.openxmlformats.org/officeDocument/2006/relationships/hyperlink" Target="https://www.boamp.fr/pages/avis/?q=idweb:26-63220" TargetMode="External" Id="rId21"/><Relationship Type="http://schemas.openxmlformats.org/officeDocument/2006/relationships/hyperlink" Target="https://www.boamp.fr/pages/avis/?q=idweb:26-62559" TargetMode="External" Id="rId22"/><Relationship Type="http://schemas.openxmlformats.org/officeDocument/2006/relationships/hyperlink" Target="https://www.boamp.fr/pages/avis/?q=idweb:26-58404" TargetMode="External" Id="rId23"/><Relationship Type="http://schemas.openxmlformats.org/officeDocument/2006/relationships/hyperlink" Target="https://www.boamp.fr/pages/avis/?q=idweb:26-55484" TargetMode="External" Id="rId24"/><Relationship Type="http://schemas.openxmlformats.org/officeDocument/2006/relationships/hyperlink" Target="https://www.boamp.fr/pages/avis/?q=idweb:26-54754" TargetMode="External" Id="rId25"/><Relationship Type="http://schemas.openxmlformats.org/officeDocument/2006/relationships/hyperlink" Target="https://www.boamp.fr/pages/avis/?q=idweb:26-66211" TargetMode="External" Id="rId26"/><Relationship Type="http://schemas.openxmlformats.org/officeDocument/2006/relationships/hyperlink" Target="https://www.boamp.fr/pages/avis/?q=idweb:26-66164" TargetMode="External" Id="rId27"/><Relationship Type="http://schemas.openxmlformats.org/officeDocument/2006/relationships/hyperlink" Target="https://www.boamp.fr/pages/avis/?q=idweb:26-66494" TargetMode="External" Id="rId28"/><Relationship Type="http://schemas.openxmlformats.org/officeDocument/2006/relationships/hyperlink" Target="https://www.boamp.fr/pages/avis/?q=idweb:26-64372" TargetMode="External" Id="rId29"/><Relationship Type="http://schemas.openxmlformats.org/officeDocument/2006/relationships/hyperlink" Target="https://www.boamp.fr/pages/avis/?q=idweb:26-63717" TargetMode="External" Id="rId30"/><Relationship Type="http://schemas.openxmlformats.org/officeDocument/2006/relationships/hyperlink" Target="https://www.boamp.fr/pages/avis/?q=idweb:26-59151" TargetMode="External" Id="rId31"/><Relationship Type="http://schemas.openxmlformats.org/officeDocument/2006/relationships/hyperlink" Target="https://www.boamp.fr/pages/avis/?q=idweb:26-57705" TargetMode="External" Id="rId32"/><Relationship Type="http://schemas.openxmlformats.org/officeDocument/2006/relationships/hyperlink" Target="https://www.boamp.fr/pages/avis/?q=idweb:26-57778" TargetMode="External" Id="rId33"/><Relationship Type="http://schemas.openxmlformats.org/officeDocument/2006/relationships/hyperlink" Target="https://www.boamp.fr/pages/avis/?q=idweb:26-57678" TargetMode="External" Id="rId34"/><Relationship Type="http://schemas.openxmlformats.org/officeDocument/2006/relationships/hyperlink" Target="https://www.boamp.fr/pages/avis/?q=idweb:26-57231" TargetMode="External" Id="rId35"/><Relationship Type="http://schemas.openxmlformats.org/officeDocument/2006/relationships/hyperlink" Target="https://www.boamp.fr/pages/avis/?q=idweb:26-62297" TargetMode="External" Id="rId36"/><Relationship Type="http://schemas.openxmlformats.org/officeDocument/2006/relationships/hyperlink" Target="https://www.boamp.fr/pages/avis/?q=idweb:26-61419" TargetMode="External" Id="rId37"/><Relationship Type="http://schemas.openxmlformats.org/officeDocument/2006/relationships/hyperlink" Target="https://www.boamp.fr/pages/avis/?q=idweb:26-61287" TargetMode="External" Id="rId38"/><Relationship Type="http://schemas.openxmlformats.org/officeDocument/2006/relationships/hyperlink" Target="https://www.boamp.fr/pages/avis/?q=idweb:26-57313" TargetMode="External" Id="rId39"/><Relationship Type="http://schemas.openxmlformats.org/officeDocument/2006/relationships/hyperlink" Target="https://www.boamp.fr/pages/avis/?q=idweb:26-56245" TargetMode="External" Id="rId40"/><Relationship Type="http://schemas.openxmlformats.org/officeDocument/2006/relationships/hyperlink" Target="https://www.boamp.fr/pages/avis/?q=idweb:26-55238" TargetMode="External" Id="rId41"/><Relationship Type="http://schemas.openxmlformats.org/officeDocument/2006/relationships/hyperlink" Target="https://www.boamp.fr/pages/avis/?q=idweb:26-60829" TargetMode="External" Id="rId42"/><Relationship Type="http://schemas.openxmlformats.org/officeDocument/2006/relationships/hyperlink" Target="https://www.boamp.fr/pages/avis/?q=idweb:26-61133" TargetMode="External" Id="rId43"/><Relationship Type="http://schemas.openxmlformats.org/officeDocument/2006/relationships/hyperlink" Target="https://www.boamp.fr/pages/avis/?q=idweb:26-56896" TargetMode="External" Id="rId44"/><Relationship Type="http://schemas.openxmlformats.org/officeDocument/2006/relationships/hyperlink" Target="https://www.boamp.fr/pages/avis/?q=idweb:26-60093" TargetMode="External" Id="rId45"/><Relationship Type="http://schemas.openxmlformats.org/officeDocument/2006/relationships/hyperlink" Target="https://www.boamp.fr/pages/avis/?q=idweb:26-61430" TargetMode="External" Id="rId46"/><Relationship Type="http://schemas.openxmlformats.org/officeDocument/2006/relationships/hyperlink" Target="https://www.boamp.fr/pages/avis/?q=idweb:26-60020" TargetMode="External" Id="rId47"/><Relationship Type="http://schemas.openxmlformats.org/officeDocument/2006/relationships/hyperlink" Target="https://www.boamp.fr/pages/avis/?q=idweb:26-53642" TargetMode="External" Id="rId48"/><Relationship Type="http://schemas.openxmlformats.org/officeDocument/2006/relationships/hyperlink" Target="https://www.boamp.fr/pages/avis/?q=idweb:26-64579" TargetMode="External" Id="rId49"/><Relationship Type="http://schemas.openxmlformats.org/officeDocument/2006/relationships/hyperlink" Target="https://www.boamp.fr/pages/avis/?q=idweb:26-63641" TargetMode="External" Id="rId50"/><Relationship Type="http://schemas.openxmlformats.org/officeDocument/2006/relationships/hyperlink" Target="https://www.boamp.fr/pages/avis/?q=idweb:26-61794" TargetMode="External" Id="rId51"/><Relationship Type="http://schemas.openxmlformats.org/officeDocument/2006/relationships/hyperlink" Target="https://www.boamp.fr/pages/avis/?q=idweb:26-55925" TargetMode="External" Id="rId52"/><Relationship Type="http://schemas.openxmlformats.org/officeDocument/2006/relationships/hyperlink" Target="https://www.boamp.fr/pages/avis/?q=idweb:26-61210" TargetMode="External" Id="rId53"/><Relationship Type="http://schemas.openxmlformats.org/officeDocument/2006/relationships/hyperlink" Target="https://www.boamp.fr/pages/avis/?q=idweb:26-53755" TargetMode="External" Id="rId54"/><Relationship Type="http://schemas.openxmlformats.org/officeDocument/2006/relationships/hyperlink" Target="https://www.boamp.fr/pages/avis/?q=idweb:26-59853" TargetMode="External" Id="rId55"/><Relationship Type="http://schemas.openxmlformats.org/officeDocument/2006/relationships/hyperlink" Target="https://www.boamp.fr/pages/avis/?q=idweb:26-55506" TargetMode="External" Id="rId56"/><Relationship Type="http://schemas.openxmlformats.org/officeDocument/2006/relationships/hyperlink" Target="https://www.boamp.fr/pages/avis/?q=idweb:26-55879" TargetMode="External" Id="rId57"/><Relationship Type="http://schemas.openxmlformats.org/officeDocument/2006/relationships/table" Target="/xl/tables/table4.xml" Id="rId58"/></Relationships>
</file>

<file path=xl/worksheets/_rels/sheet6.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58680" TargetMode="External" Id="rId2"/><Relationship Type="http://schemas.openxmlformats.org/officeDocument/2006/relationships/hyperlink" Target="https://www.boamp.fr/pages/avis/?q=idweb:26-66091" TargetMode="External" Id="rId3"/><Relationship Type="http://schemas.openxmlformats.org/officeDocument/2006/relationships/hyperlink" Target="https://www.boamp.fr/pages/avis/?q=idweb:26-60739" TargetMode="External" Id="rId4"/><Relationship Type="http://schemas.openxmlformats.org/officeDocument/2006/relationships/hyperlink" Target="https://www.boamp.fr/pages/avis/?q=idweb:26-57399" TargetMode="External" Id="rId5"/><Relationship Type="http://schemas.openxmlformats.org/officeDocument/2006/relationships/hyperlink" Target="https://www.boamp.fr/pages/avis/?q=idweb:26-56654" TargetMode="External" Id="rId6"/><Relationship Type="http://schemas.openxmlformats.org/officeDocument/2006/relationships/hyperlink" Target="https://www.boamp.fr/pages/avis/?q=idweb:26-54018" TargetMode="External" Id="rId7"/><Relationship Type="http://schemas.openxmlformats.org/officeDocument/2006/relationships/hyperlink" Target="https://www.boamp.fr/pages/avis/?q=idweb:26-64286" TargetMode="External" Id="rId8"/><Relationship Type="http://schemas.openxmlformats.org/officeDocument/2006/relationships/hyperlink" Target="https://www.boamp.fr/pages/avis/?q=idweb:26-63518" TargetMode="External" Id="rId9"/><Relationship Type="http://schemas.openxmlformats.org/officeDocument/2006/relationships/hyperlink" Target="https://www.boamp.fr/pages/avis/?q=idweb:26-63201" TargetMode="External" Id="rId10"/><Relationship Type="http://schemas.openxmlformats.org/officeDocument/2006/relationships/hyperlink" Target="https://www.boamp.fr/pages/avis/?q=idweb:26-62837" TargetMode="External" Id="rId11"/><Relationship Type="http://schemas.openxmlformats.org/officeDocument/2006/relationships/hyperlink" Target="https://www.boamp.fr/pages/avis/?q=idweb:26-62488" TargetMode="External" Id="rId12"/><Relationship Type="http://schemas.openxmlformats.org/officeDocument/2006/relationships/hyperlink" Target="https://www.boamp.fr/pages/avis/?q=idweb:26-61263" TargetMode="External" Id="rId13"/><Relationship Type="http://schemas.openxmlformats.org/officeDocument/2006/relationships/hyperlink" Target="https://www.boamp.fr/pages/avis/?q=idweb:26-60231" TargetMode="External" Id="rId14"/><Relationship Type="http://schemas.openxmlformats.org/officeDocument/2006/relationships/hyperlink" Target="https://www.boamp.fr/pages/avis/?q=idweb:26-59493" TargetMode="External" Id="rId15"/><Relationship Type="http://schemas.openxmlformats.org/officeDocument/2006/relationships/hyperlink" Target="https://www.boamp.fr/pages/avis/?q=idweb:26-56367" TargetMode="External" Id="rId16"/><Relationship Type="http://schemas.openxmlformats.org/officeDocument/2006/relationships/hyperlink" Target="https://www.boamp.fr/pages/avis/?q=idweb:26-55118" TargetMode="External" Id="rId17"/><Relationship Type="http://schemas.openxmlformats.org/officeDocument/2006/relationships/hyperlink" Target="https://www.boamp.fr/pages/avis/?q=idweb:26-54753" TargetMode="External" Id="rId18"/><Relationship Type="http://schemas.openxmlformats.org/officeDocument/2006/relationships/hyperlink" Target="https://www.boamp.fr/pages/avis/?q=idweb:26-53819" TargetMode="External" Id="rId19"/><Relationship Type="http://schemas.openxmlformats.org/officeDocument/2006/relationships/hyperlink" Target="https://www.boamp.fr/pages/avis/?q=idweb:26-64633" TargetMode="External" Id="rId20"/><Relationship Type="http://schemas.openxmlformats.org/officeDocument/2006/relationships/hyperlink" Target="https://www.boamp.fr/pages/avis/?q=idweb:26-63220" TargetMode="External" Id="rId21"/><Relationship Type="http://schemas.openxmlformats.org/officeDocument/2006/relationships/hyperlink" Target="https://www.boamp.fr/pages/avis/?q=idweb:26-62559" TargetMode="External" Id="rId22"/><Relationship Type="http://schemas.openxmlformats.org/officeDocument/2006/relationships/hyperlink" Target="https://www.boamp.fr/pages/avis/?q=idweb:26-58404" TargetMode="External" Id="rId23"/><Relationship Type="http://schemas.openxmlformats.org/officeDocument/2006/relationships/hyperlink" Target="https://www.boamp.fr/pages/avis/?q=idweb:26-55484" TargetMode="External" Id="rId24"/><Relationship Type="http://schemas.openxmlformats.org/officeDocument/2006/relationships/hyperlink" Target="https://www.boamp.fr/pages/avis/?q=idweb:26-54754" TargetMode="External" Id="rId25"/><Relationship Type="http://schemas.openxmlformats.org/officeDocument/2006/relationships/hyperlink" Target="https://www.boamp.fr/pages/avis/?q=idweb:26-66211" TargetMode="External" Id="rId26"/><Relationship Type="http://schemas.openxmlformats.org/officeDocument/2006/relationships/hyperlink" Target="https://www.boamp.fr/pages/avis/?q=idweb:26-66164" TargetMode="External" Id="rId27"/><Relationship Type="http://schemas.openxmlformats.org/officeDocument/2006/relationships/hyperlink" Target="https://www.boamp.fr/pages/avis/?q=idweb:26-66494" TargetMode="External" Id="rId28"/><Relationship Type="http://schemas.openxmlformats.org/officeDocument/2006/relationships/hyperlink" Target="https://marches.maximilien.fr/entreprise/consultation/939575?orgAcronyme=r8t" TargetMode="External" Id="rId29"/><Relationship Type="http://schemas.openxmlformats.org/officeDocument/2006/relationships/hyperlink" Target="https://www.boamp.fr/pages/avis/?q=idweb:26-64372" TargetMode="External" Id="rId30"/><Relationship Type="http://schemas.openxmlformats.org/officeDocument/2006/relationships/hyperlink" Target="https://www.boamp.fr/pages/avis/?q=idweb:26-63717" TargetMode="External" Id="rId31"/><Relationship Type="http://schemas.openxmlformats.org/officeDocument/2006/relationships/hyperlink" Target="https://www.boamp.fr/pages/avis/?q=idweb:26-59151" TargetMode="External" Id="rId32"/><Relationship Type="http://schemas.openxmlformats.org/officeDocument/2006/relationships/hyperlink" Target="https://www.boamp.fr/pages/avis/?q=idweb:26-57705" TargetMode="External" Id="rId33"/><Relationship Type="http://schemas.openxmlformats.org/officeDocument/2006/relationships/hyperlink" Target="https://www.boamp.fr/pages/avis/?q=idweb:26-57778" TargetMode="External" Id="rId34"/><Relationship Type="http://schemas.openxmlformats.org/officeDocument/2006/relationships/hyperlink" Target="https://www.boamp.fr/pages/avis/?q=idweb:26-57678" TargetMode="External" Id="rId35"/><Relationship Type="http://schemas.openxmlformats.org/officeDocument/2006/relationships/hyperlink" Target="https://www.boamp.fr/pages/avis/?q=idweb:26-57231" TargetMode="External" Id="rId36"/><Relationship Type="http://schemas.openxmlformats.org/officeDocument/2006/relationships/hyperlink" Target="https://www.boamp.fr/pages/avis/?q=idweb:26-62297" TargetMode="External" Id="rId37"/><Relationship Type="http://schemas.openxmlformats.org/officeDocument/2006/relationships/hyperlink" Target="https://www.boamp.fr/pages/avis/?q=idweb:26-61419" TargetMode="External" Id="rId38"/><Relationship Type="http://schemas.openxmlformats.org/officeDocument/2006/relationships/hyperlink" Target="https://www.boamp.fr/pages/avis/?q=idweb:26-61287" TargetMode="External" Id="rId39"/><Relationship Type="http://schemas.openxmlformats.org/officeDocument/2006/relationships/hyperlink" Target="https://www.boamp.fr/pages/avis/?q=idweb:26-57313" TargetMode="External" Id="rId40"/><Relationship Type="http://schemas.openxmlformats.org/officeDocument/2006/relationships/hyperlink" Target="https://www.boamp.fr/pages/avis/?q=idweb:26-56245" TargetMode="External" Id="rId41"/><Relationship Type="http://schemas.openxmlformats.org/officeDocument/2006/relationships/hyperlink" Target="https://www.boamp.fr/pages/avis/?q=idweb:26-55238" TargetMode="External" Id="rId42"/><Relationship Type="http://schemas.openxmlformats.org/officeDocument/2006/relationships/hyperlink" Target="https://marches.maximilien.fr/entreprise/consultation/942574?orgAcronyme=a1i" TargetMode="External" Id="rId43"/><Relationship Type="http://schemas.openxmlformats.org/officeDocument/2006/relationships/hyperlink" Target="https://www.boamp.fr/pages/avis/?q=idweb:26-60829" TargetMode="External" Id="rId44"/><Relationship Type="http://schemas.openxmlformats.org/officeDocument/2006/relationships/hyperlink" Target="https://www.boamp.fr/pages/avis/?q=idweb:26-61133" TargetMode="External" Id="rId45"/><Relationship Type="http://schemas.openxmlformats.org/officeDocument/2006/relationships/hyperlink" Target="https://marches.maximilien.fr/entreprise/consultation/941627?orgAcronyme=d7d" TargetMode="External" Id="rId46"/><Relationship Type="http://schemas.openxmlformats.org/officeDocument/2006/relationships/hyperlink" Target="https://marches.maximilien.fr/entreprise/consultation/939069?orgAcronyme=d8e" TargetMode="External" Id="rId47"/><Relationship Type="http://schemas.openxmlformats.org/officeDocument/2006/relationships/hyperlink" Target="https://www.boamp.fr/pages/avis/?q=idweb:26-56896" TargetMode="External" Id="rId48"/><Relationship Type="http://schemas.openxmlformats.org/officeDocument/2006/relationships/hyperlink" Target="https://www.boamp.fr/pages/avis/?q=idweb:26-60093" TargetMode="External" Id="rId49"/><Relationship Type="http://schemas.openxmlformats.org/officeDocument/2006/relationships/hyperlink" Target="https://www.boamp.fr/pages/avis/?q=idweb:26-61430" TargetMode="External" Id="rId50"/><Relationship Type="http://schemas.openxmlformats.org/officeDocument/2006/relationships/hyperlink" Target="https://www.boamp.fr/pages/avis/?q=idweb:26-60020" TargetMode="External" Id="rId51"/><Relationship Type="http://schemas.openxmlformats.org/officeDocument/2006/relationships/hyperlink" Target="https://www.boamp.fr/pages/avis/?q=idweb:26-53642" TargetMode="External" Id="rId52"/><Relationship Type="http://schemas.openxmlformats.org/officeDocument/2006/relationships/hyperlink" Target="https://www.boamp.fr/pages/avis/?q=idweb:26-64579" TargetMode="External" Id="rId53"/><Relationship Type="http://schemas.openxmlformats.org/officeDocument/2006/relationships/hyperlink" Target="https://www.boamp.fr/pages/avis/?q=idweb:26-63641" TargetMode="External" Id="rId54"/><Relationship Type="http://schemas.openxmlformats.org/officeDocument/2006/relationships/hyperlink" Target="https://www.boamp.fr/pages/avis/?q=idweb:26-61794" TargetMode="External" Id="rId55"/><Relationship Type="http://schemas.openxmlformats.org/officeDocument/2006/relationships/hyperlink" Target="https://www.boamp.fr/pages/avis/?q=idweb:26-55925" TargetMode="External" Id="rId56"/><Relationship Type="http://schemas.openxmlformats.org/officeDocument/2006/relationships/hyperlink" Target="https://www.boamp.fr/pages/avis/?q=idweb:26-61210" TargetMode="External" Id="rId57"/><Relationship Type="http://schemas.openxmlformats.org/officeDocument/2006/relationships/hyperlink" Target="https://www.boamp.fr/pages/avis/?q=idweb:26-53755" TargetMode="External" Id="rId58"/><Relationship Type="http://schemas.openxmlformats.org/officeDocument/2006/relationships/hyperlink" Target="https://www.boamp.fr/pages/avis/?q=idweb:26-59853" TargetMode="External" Id="rId59"/><Relationship Type="http://schemas.openxmlformats.org/officeDocument/2006/relationships/hyperlink" Target="https://www.boamp.fr/pages/avis/?q=idweb:26-55506" TargetMode="External" Id="rId60"/><Relationship Type="http://schemas.openxmlformats.org/officeDocument/2006/relationships/hyperlink" Target="https://www.boamp.fr/pages/avis/?q=idweb:26-55879" TargetMode="External" Id="rId61"/><Relationship Type="http://schemas.openxmlformats.org/officeDocument/2006/relationships/table" Target="/xl/tables/table5.xml" Id="rId62"/></Relationships>
</file>

<file path=xl/worksheets/_rels/sheet7.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58680" TargetMode="External" Id="rId2"/><Relationship Type="http://schemas.openxmlformats.org/officeDocument/2006/relationships/hyperlink" Target="https://www.boamp.fr/pages/avis/?q=idweb:26-66091" TargetMode="External" Id="rId3"/><Relationship Type="http://schemas.openxmlformats.org/officeDocument/2006/relationships/hyperlink" Target="https://www.boamp.fr/pages/avis/?q=idweb:26-60739" TargetMode="External" Id="rId4"/><Relationship Type="http://schemas.openxmlformats.org/officeDocument/2006/relationships/hyperlink" Target="https://www.boamp.fr/pages/avis/?q=idweb:26-57399" TargetMode="External" Id="rId5"/><Relationship Type="http://schemas.openxmlformats.org/officeDocument/2006/relationships/hyperlink" Target="https://www.boamp.fr/pages/avis/?q=idweb:26-56654" TargetMode="External" Id="rId6"/><Relationship Type="http://schemas.openxmlformats.org/officeDocument/2006/relationships/hyperlink" Target="https://www.boamp.fr/pages/avis/?q=idweb:26-54018" TargetMode="External" Id="rId7"/><Relationship Type="http://schemas.openxmlformats.org/officeDocument/2006/relationships/hyperlink" Target="https://www.boamp.fr/pages/avis/?q=idweb:26-64286" TargetMode="External" Id="rId8"/><Relationship Type="http://schemas.openxmlformats.org/officeDocument/2006/relationships/hyperlink" Target="https://www.boamp.fr/pages/avis/?q=idweb:26-63518" TargetMode="External" Id="rId9"/><Relationship Type="http://schemas.openxmlformats.org/officeDocument/2006/relationships/hyperlink" Target="https://www.boamp.fr/pages/avis/?q=idweb:26-63201" TargetMode="External" Id="rId10"/><Relationship Type="http://schemas.openxmlformats.org/officeDocument/2006/relationships/hyperlink" Target="https://www.boamp.fr/pages/avis/?q=idweb:26-62837" TargetMode="External" Id="rId11"/><Relationship Type="http://schemas.openxmlformats.org/officeDocument/2006/relationships/hyperlink" Target="https://www.boamp.fr/pages/avis/?q=idweb:26-62488" TargetMode="External" Id="rId12"/><Relationship Type="http://schemas.openxmlformats.org/officeDocument/2006/relationships/hyperlink" Target="https://www.boamp.fr/pages/avis/?q=idweb:26-61263" TargetMode="External" Id="rId13"/><Relationship Type="http://schemas.openxmlformats.org/officeDocument/2006/relationships/hyperlink" Target="https://www.boamp.fr/pages/avis/?q=idweb:26-60231" TargetMode="External" Id="rId14"/><Relationship Type="http://schemas.openxmlformats.org/officeDocument/2006/relationships/hyperlink" Target="https://www.boamp.fr/pages/avis/?q=idweb:26-59493" TargetMode="External" Id="rId15"/><Relationship Type="http://schemas.openxmlformats.org/officeDocument/2006/relationships/hyperlink" Target="https://www.boamp.fr/pages/avis/?q=idweb:26-56367" TargetMode="External" Id="rId16"/><Relationship Type="http://schemas.openxmlformats.org/officeDocument/2006/relationships/hyperlink" Target="https://www.boamp.fr/pages/avis/?q=idweb:26-55118" TargetMode="External" Id="rId17"/><Relationship Type="http://schemas.openxmlformats.org/officeDocument/2006/relationships/hyperlink" Target="https://www.boamp.fr/pages/avis/?q=idweb:26-54753" TargetMode="External" Id="rId18"/><Relationship Type="http://schemas.openxmlformats.org/officeDocument/2006/relationships/hyperlink" Target="https://www.boamp.fr/pages/avis/?q=idweb:26-53819" TargetMode="External" Id="rId19"/><Relationship Type="http://schemas.openxmlformats.org/officeDocument/2006/relationships/table" Target="/xl/tables/table6.xml" Id="rId20"/></Relationships>
</file>

<file path=xl/worksheets/_rels/sheet8.xml.rels><Relationships xmlns="http://schemas.openxmlformats.org/package/2006/relationships"><Relationship Type="http://schemas.openxmlformats.org/officeDocument/2006/relationships/hyperlink" Target="https://www.boamp.fr/pages/avis/?q=idweb:26-56654" TargetMode="External" Id="rId1"/><Relationship Type="http://schemas.openxmlformats.org/officeDocument/2006/relationships/hyperlink" Target="https://www.boamp.fr/pages/avis/?q=idweb:26-64286" TargetMode="External" Id="rId2"/><Relationship Type="http://schemas.openxmlformats.org/officeDocument/2006/relationships/hyperlink" Target="https://www.boamp.fr/pages/avis/?q=idweb:26-63518" TargetMode="External" Id="rId3"/><Relationship Type="http://schemas.openxmlformats.org/officeDocument/2006/relationships/hyperlink" Target="https://www.boamp.fr/pages/avis/?q=idweb:26-63201" TargetMode="External" Id="rId4"/><Relationship Type="http://schemas.openxmlformats.org/officeDocument/2006/relationships/hyperlink" Target="https://www.boamp.fr/pages/avis/?q=idweb:26-62488" TargetMode="External" Id="rId5"/><Relationship Type="http://schemas.openxmlformats.org/officeDocument/2006/relationships/hyperlink" Target="https://www.boamp.fr/pages/avis/?q=idweb:26-61263" TargetMode="External" Id="rId6"/><Relationship Type="http://schemas.openxmlformats.org/officeDocument/2006/relationships/hyperlink" Target="https://www.boamp.fr/pages/avis/?q=idweb:26-60231" TargetMode="External" Id="rId7"/><Relationship Type="http://schemas.openxmlformats.org/officeDocument/2006/relationships/hyperlink" Target="https://www.boamp.fr/pages/avis/?q=idweb:26-55118" TargetMode="External" Id="rId8"/><Relationship Type="http://schemas.openxmlformats.org/officeDocument/2006/relationships/hyperlink" Target="https://www.boamp.fr/pages/avis/?q=idweb:26-54753" TargetMode="External" Id="rId9"/><Relationship Type="http://schemas.openxmlformats.org/officeDocument/2006/relationships/hyperlink" Target="https://www.boamp.fr/pages/avis/?q=idweb:26-63220" TargetMode="External" Id="rId10"/><Relationship Type="http://schemas.openxmlformats.org/officeDocument/2006/relationships/hyperlink" Target="https://www.boamp.fr/pages/avis/?q=idweb:26-62559" TargetMode="External" Id="rId11"/><Relationship Type="http://schemas.openxmlformats.org/officeDocument/2006/relationships/hyperlink" Target="https://www.boamp.fr/pages/avis/?q=idweb:26-58404" TargetMode="External" Id="rId12"/><Relationship Type="http://schemas.openxmlformats.org/officeDocument/2006/relationships/hyperlink" Target="https://www.boamp.fr/pages/avis/?q=idweb:26-66211" TargetMode="External" Id="rId13"/><Relationship Type="http://schemas.openxmlformats.org/officeDocument/2006/relationships/hyperlink" Target="https://www.boamp.fr/pages/avis/?q=idweb:26-66164" TargetMode="External" Id="rId14"/><Relationship Type="http://schemas.openxmlformats.org/officeDocument/2006/relationships/hyperlink" Target="https://www.boamp.fr/pages/avis/?q=idweb:26-66494" TargetMode="External" Id="rId15"/><Relationship Type="http://schemas.openxmlformats.org/officeDocument/2006/relationships/hyperlink" Target="https://marches.maximilien.fr/entreprise/consultation/939575?orgAcronyme=r8t" TargetMode="External" Id="rId16"/><Relationship Type="http://schemas.openxmlformats.org/officeDocument/2006/relationships/hyperlink" Target="https://www.boamp.fr/pages/avis/?q=idweb:26-64372" TargetMode="External" Id="rId17"/><Relationship Type="http://schemas.openxmlformats.org/officeDocument/2006/relationships/hyperlink" Target="https://www.boamp.fr/pages/avis/?q=idweb:26-63717" TargetMode="External" Id="rId18"/><Relationship Type="http://schemas.openxmlformats.org/officeDocument/2006/relationships/hyperlink" Target="https://www.boamp.fr/pages/avis/?q=idweb:26-59151" TargetMode="External" Id="rId19"/><Relationship Type="http://schemas.openxmlformats.org/officeDocument/2006/relationships/hyperlink" Target="https://www.boamp.fr/pages/avis/?q=idweb:26-57705" TargetMode="External" Id="rId20"/><Relationship Type="http://schemas.openxmlformats.org/officeDocument/2006/relationships/hyperlink" Target="https://www.boamp.fr/pages/avis/?q=idweb:26-57778" TargetMode="External" Id="rId21"/><Relationship Type="http://schemas.openxmlformats.org/officeDocument/2006/relationships/hyperlink" Target="https://www.boamp.fr/pages/avis/?q=idweb:26-57678" TargetMode="External" Id="rId22"/><Relationship Type="http://schemas.openxmlformats.org/officeDocument/2006/relationships/hyperlink" Target="https://www.boamp.fr/pages/avis/?q=idweb:26-57231" TargetMode="External" Id="rId23"/><Relationship Type="http://schemas.openxmlformats.org/officeDocument/2006/relationships/hyperlink" Target="https://www.boamp.fr/pages/avis/?q=idweb:26-62297" TargetMode="External" Id="rId24"/><Relationship Type="http://schemas.openxmlformats.org/officeDocument/2006/relationships/hyperlink" Target="https://www.boamp.fr/pages/avis/?q=idweb:26-61419" TargetMode="External" Id="rId25"/><Relationship Type="http://schemas.openxmlformats.org/officeDocument/2006/relationships/hyperlink" Target="https://www.boamp.fr/pages/avis/?q=idweb:26-61287" TargetMode="External" Id="rId26"/><Relationship Type="http://schemas.openxmlformats.org/officeDocument/2006/relationships/hyperlink" Target="https://www.boamp.fr/pages/avis/?q=idweb:26-57313" TargetMode="External" Id="rId27"/><Relationship Type="http://schemas.openxmlformats.org/officeDocument/2006/relationships/hyperlink" Target="https://www.boamp.fr/pages/avis/?q=idweb:26-56245" TargetMode="External" Id="rId28"/><Relationship Type="http://schemas.openxmlformats.org/officeDocument/2006/relationships/hyperlink" Target="https://marches.maximilien.fr/entreprise/consultation/942574?orgAcronyme=a1i" TargetMode="External" Id="rId29"/><Relationship Type="http://schemas.openxmlformats.org/officeDocument/2006/relationships/hyperlink" Target="https://www.boamp.fr/pages/avis/?q=idweb:26-60829" TargetMode="External" Id="rId30"/><Relationship Type="http://schemas.openxmlformats.org/officeDocument/2006/relationships/hyperlink" Target="https://marches.maximilien.fr/entreprise/consultation/941627?orgAcronyme=d7d" TargetMode="External" Id="rId31"/><Relationship Type="http://schemas.openxmlformats.org/officeDocument/2006/relationships/hyperlink" Target="https://marches.maximilien.fr/entreprise/consultation/939069?orgAcronyme=d8e" TargetMode="External" Id="rId32"/><Relationship Type="http://schemas.openxmlformats.org/officeDocument/2006/relationships/table" Target="/xl/tables/table7.xml" Id="rId33"/></Relationships>
</file>

<file path=xl/worksheets/_rels/sheet9.xml.rels><Relationships xmlns="http://schemas.openxmlformats.org/package/2006/relationships"><Relationship Type="http://schemas.openxmlformats.org/officeDocument/2006/relationships/table" Target="/xl/tables/table8.xml" Id="rId1"/></Relationships>
</file>

<file path=xl/worksheets/_rels/sheet10.xml.rels><Relationships xmlns="http://schemas.openxmlformats.org/package/2006/relationships"><Relationship Type="http://schemas.openxmlformats.org/officeDocument/2006/relationships/hyperlink" Target="https://www.boamp.fr/pages/avis/?q=idweb:26-63741" TargetMode="External" Id="rId1"/><Relationship Type="http://schemas.openxmlformats.org/officeDocument/2006/relationships/hyperlink" Target="https://www.boamp.fr/pages/avis/?q=idweb:26-58680" TargetMode="External" Id="rId2"/><Relationship Type="http://schemas.openxmlformats.org/officeDocument/2006/relationships/hyperlink" Target="https://www.boamp.fr/pages/avis/?q=idweb:26-66091" TargetMode="External" Id="rId3"/><Relationship Type="http://schemas.openxmlformats.org/officeDocument/2006/relationships/hyperlink" Target="https://www.boamp.fr/pages/avis/?q=idweb:26-60739" TargetMode="External" Id="rId4"/><Relationship Type="http://schemas.openxmlformats.org/officeDocument/2006/relationships/hyperlink" Target="https://www.boamp.fr/pages/avis/?q=idweb:26-57399" TargetMode="External" Id="rId5"/><Relationship Type="http://schemas.openxmlformats.org/officeDocument/2006/relationships/hyperlink" Target="https://www.boamp.fr/pages/avis/?q=idweb:26-56654" TargetMode="External" Id="rId6"/><Relationship Type="http://schemas.openxmlformats.org/officeDocument/2006/relationships/hyperlink" Target="https://www.boamp.fr/pages/avis/?q=idweb:26-54018" TargetMode="External" Id="rId7"/><Relationship Type="http://schemas.openxmlformats.org/officeDocument/2006/relationships/hyperlink" Target="https://www.boamp.fr/pages/avis/?q=idweb:26-64286" TargetMode="External" Id="rId8"/><Relationship Type="http://schemas.openxmlformats.org/officeDocument/2006/relationships/hyperlink" Target="https://www.boamp.fr/pages/avis/?q=idweb:26-63518" TargetMode="External" Id="rId9"/><Relationship Type="http://schemas.openxmlformats.org/officeDocument/2006/relationships/hyperlink" Target="https://www.boamp.fr/pages/avis/?q=idweb:26-63201" TargetMode="External" Id="rId10"/><Relationship Type="http://schemas.openxmlformats.org/officeDocument/2006/relationships/hyperlink" Target="https://www.boamp.fr/pages/avis/?q=idweb:26-62837" TargetMode="External" Id="rId11"/><Relationship Type="http://schemas.openxmlformats.org/officeDocument/2006/relationships/hyperlink" Target="https://www.boamp.fr/pages/avis/?q=idweb:26-62488" TargetMode="External" Id="rId12"/><Relationship Type="http://schemas.openxmlformats.org/officeDocument/2006/relationships/hyperlink" Target="https://www.boamp.fr/pages/avis/?q=idweb:26-61263" TargetMode="External" Id="rId13"/><Relationship Type="http://schemas.openxmlformats.org/officeDocument/2006/relationships/hyperlink" Target="https://www.boamp.fr/pages/avis/?q=idweb:26-60231" TargetMode="External" Id="rId14"/><Relationship Type="http://schemas.openxmlformats.org/officeDocument/2006/relationships/hyperlink" Target="https://www.boamp.fr/pages/avis/?q=idweb:26-59493" TargetMode="External" Id="rId15"/><Relationship Type="http://schemas.openxmlformats.org/officeDocument/2006/relationships/hyperlink" Target="https://www.boamp.fr/pages/avis/?q=idweb:26-56367" TargetMode="External" Id="rId16"/><Relationship Type="http://schemas.openxmlformats.org/officeDocument/2006/relationships/hyperlink" Target="https://www.boamp.fr/pages/avis/?q=idweb:26-55118" TargetMode="External" Id="rId17"/><Relationship Type="http://schemas.openxmlformats.org/officeDocument/2006/relationships/hyperlink" Target="https://www.boamp.fr/pages/avis/?q=idweb:26-54753" TargetMode="External" Id="rId18"/><Relationship Type="http://schemas.openxmlformats.org/officeDocument/2006/relationships/hyperlink" Target="https://www.boamp.fr/pages/avis/?q=idweb:26-53819" TargetMode="External" Id="rId19"/><Relationship Type="http://schemas.openxmlformats.org/officeDocument/2006/relationships/hyperlink" Target="https://www.boamp.fr/pages/avis/?q=idweb:26-64633" TargetMode="External" Id="rId20"/><Relationship Type="http://schemas.openxmlformats.org/officeDocument/2006/relationships/hyperlink" Target="https://www.boamp.fr/pages/avis/?q=idweb:26-63220" TargetMode="External" Id="rId21"/><Relationship Type="http://schemas.openxmlformats.org/officeDocument/2006/relationships/hyperlink" Target="https://www.boamp.fr/pages/avis/?q=idweb:26-62559" TargetMode="External" Id="rId22"/><Relationship Type="http://schemas.openxmlformats.org/officeDocument/2006/relationships/hyperlink" Target="https://www.boamp.fr/pages/avis/?q=idweb:26-58404" TargetMode="External" Id="rId23"/><Relationship Type="http://schemas.openxmlformats.org/officeDocument/2006/relationships/hyperlink" Target="https://www.boamp.fr/pages/avis/?q=idweb:26-55484" TargetMode="External" Id="rId24"/><Relationship Type="http://schemas.openxmlformats.org/officeDocument/2006/relationships/hyperlink" Target="https://www.boamp.fr/pages/avis/?q=idweb:26-54754" TargetMode="External" Id="rId25"/><Relationship Type="http://schemas.openxmlformats.org/officeDocument/2006/relationships/hyperlink" Target="https://www.boamp.fr/pages/avis/?q=idweb:26-66211" TargetMode="External" Id="rId26"/><Relationship Type="http://schemas.openxmlformats.org/officeDocument/2006/relationships/hyperlink" Target="https://www.boamp.fr/pages/avis/?q=idweb:26-66164" TargetMode="External" Id="rId27"/><Relationship Type="http://schemas.openxmlformats.org/officeDocument/2006/relationships/hyperlink" Target="https://www.boamp.fr/pages/avis/?q=idweb:26-66494" TargetMode="External" Id="rId28"/><Relationship Type="http://schemas.openxmlformats.org/officeDocument/2006/relationships/hyperlink" Target="https://marches.maximilien.fr/entreprise/consultation/939575?orgAcronyme=r8t" TargetMode="External" Id="rId29"/><Relationship Type="http://schemas.openxmlformats.org/officeDocument/2006/relationships/hyperlink" Target="https://www.boamp.fr/pages/avis/?q=idweb:26-64372" TargetMode="External" Id="rId30"/><Relationship Type="http://schemas.openxmlformats.org/officeDocument/2006/relationships/hyperlink" Target="https://www.boamp.fr/pages/avis/?q=idweb:26-63717" TargetMode="External" Id="rId31"/><Relationship Type="http://schemas.openxmlformats.org/officeDocument/2006/relationships/hyperlink" Target="https://www.boamp.fr/pages/avis/?q=idweb:26-59151" TargetMode="External" Id="rId32"/><Relationship Type="http://schemas.openxmlformats.org/officeDocument/2006/relationships/hyperlink" Target="https://www.boamp.fr/pages/avis/?q=idweb:26-57705" TargetMode="External" Id="rId33"/><Relationship Type="http://schemas.openxmlformats.org/officeDocument/2006/relationships/hyperlink" Target="https://www.boamp.fr/pages/avis/?q=idweb:26-57778" TargetMode="External" Id="rId34"/><Relationship Type="http://schemas.openxmlformats.org/officeDocument/2006/relationships/hyperlink" Target="https://www.boamp.fr/pages/avis/?q=idweb:26-57678" TargetMode="External" Id="rId35"/><Relationship Type="http://schemas.openxmlformats.org/officeDocument/2006/relationships/hyperlink" Target="https://www.boamp.fr/pages/avis/?q=idweb:26-57231" TargetMode="External" Id="rId36"/><Relationship Type="http://schemas.openxmlformats.org/officeDocument/2006/relationships/hyperlink" Target="https://www.boamp.fr/pages/avis/?q=idweb:26-62297" TargetMode="External" Id="rId37"/><Relationship Type="http://schemas.openxmlformats.org/officeDocument/2006/relationships/hyperlink" Target="https://www.boamp.fr/pages/avis/?q=idweb:26-61419" TargetMode="External" Id="rId38"/><Relationship Type="http://schemas.openxmlformats.org/officeDocument/2006/relationships/hyperlink" Target="https://www.boamp.fr/pages/avis/?q=idweb:26-61287" TargetMode="External" Id="rId39"/><Relationship Type="http://schemas.openxmlformats.org/officeDocument/2006/relationships/hyperlink" Target="https://www.boamp.fr/pages/avis/?q=idweb:26-57313" TargetMode="External" Id="rId40"/><Relationship Type="http://schemas.openxmlformats.org/officeDocument/2006/relationships/hyperlink" Target="https://www.boamp.fr/pages/avis/?q=idweb:26-56245" TargetMode="External" Id="rId41"/><Relationship Type="http://schemas.openxmlformats.org/officeDocument/2006/relationships/hyperlink" Target="https://www.boamp.fr/pages/avis/?q=idweb:26-55238" TargetMode="External" Id="rId42"/><Relationship Type="http://schemas.openxmlformats.org/officeDocument/2006/relationships/hyperlink" Target="https://marches.maximilien.fr/entreprise/consultation/942574?orgAcronyme=a1i" TargetMode="External" Id="rId43"/><Relationship Type="http://schemas.openxmlformats.org/officeDocument/2006/relationships/hyperlink" Target="https://www.boamp.fr/pages/avis/?q=idweb:26-60829" TargetMode="External" Id="rId44"/><Relationship Type="http://schemas.openxmlformats.org/officeDocument/2006/relationships/hyperlink" Target="https://www.boamp.fr/pages/avis/?q=idweb:26-61133" TargetMode="External" Id="rId45"/><Relationship Type="http://schemas.openxmlformats.org/officeDocument/2006/relationships/hyperlink" Target="https://marches.maximilien.fr/entreprise/consultation/941627?orgAcronyme=d7d" TargetMode="External" Id="rId46"/><Relationship Type="http://schemas.openxmlformats.org/officeDocument/2006/relationships/hyperlink" Target="https://marches.maximilien.fr/entreprise/consultation/939069?orgAcronyme=d8e" TargetMode="External" Id="rId47"/><Relationship Type="http://schemas.openxmlformats.org/officeDocument/2006/relationships/hyperlink" Target="https://www.boamp.fr/pages/avis/?q=idweb:26-56896" TargetMode="External" Id="rId48"/><Relationship Type="http://schemas.openxmlformats.org/officeDocument/2006/relationships/hyperlink" Target="https://www.boamp.fr/pages/avis/?q=idweb:26-60093" TargetMode="External" Id="rId49"/><Relationship Type="http://schemas.openxmlformats.org/officeDocument/2006/relationships/table" Target="/xl/tables/table9.xml" Id="rId50"/></Relationships>
</file>

<file path=xl/worksheets/_rels/sheet11.xml.rels><Relationships xmlns="http://schemas.openxmlformats.org/package/2006/relationships"><Relationship Type="http://schemas.openxmlformats.org/officeDocument/2006/relationships/table" Target="/xl/tables/table10.xml" Id="rId1"/></Relationships>
</file>

<file path=xl/worksheets/_rels/sheet12.xml.rels><Relationships xmlns="http://schemas.openxmlformats.org/package/2006/relationships"><Relationship Type="http://schemas.openxmlformats.org/officeDocument/2006/relationships/table" Target="/xl/tables/table11.xml" Id="rId1"/></Relationships>
</file>

<file path=xl/worksheets/_rels/sheet13.xml.rels><Relationships xmlns="http://schemas.openxmlformats.org/package/2006/relationships"><Relationship Type="http://schemas.openxmlformats.org/officeDocument/2006/relationships/table" Target="/xl/tables/table12.xml" Id="rId1"/></Relationships>
</file>

<file path=xl/worksheets/_rels/sheet14.xml.rels><Relationships xmlns="http://schemas.openxmlformats.org/package/2006/relationships"><Relationship Type="http://schemas.openxmlformats.org/officeDocument/2006/relationships/table" Target="/xl/tables/table13.xml" Id="rId1"/></Relationships>
</file>

<file path=xl/worksheets/_rels/sheet15.xml.rels><Relationships xmlns="http://schemas.openxmlformats.org/package/2006/relationships"><Relationship Type="http://schemas.openxmlformats.org/officeDocument/2006/relationships/table" Target="/xl/tables/table14.xml" Id="rId1"/></Relationships>
</file>

<file path=xl/worksheets/_rels/sheet16.xml.rels><Relationships xmlns="http://schemas.openxmlformats.org/package/2006/relationships"><Relationship Type="http://schemas.openxmlformats.org/officeDocument/2006/relationships/table" Target="/xl/tables/table15.xml" Id="rId1"/></Relationships>
</file>

<file path=xl/worksheets/_rels/sheet17.xml.rels><Relationships xmlns="http://schemas.openxmlformats.org/package/2006/relationship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Feuil1">
    <outlinePr summaryBelow="1" summaryRight="1"/>
    <pageSetUpPr/>
  </sheetPr>
  <dimension ref="A1:L28"/>
  <sheetViews>
    <sheetView workbookViewId="0">
      <pane ySplit="8" topLeftCell="A9" activePane="bottomLeft" state="frozen"/>
      <selection pane="bottomLeft" activeCell="A1" sqref="A1"/>
    </sheetView>
  </sheetViews>
  <sheetFormatPr baseColWidth="10" defaultRowHeight="14.5"/>
  <cols>
    <col width="6" customWidth="1" min="1" max="1"/>
    <col width="14" customWidth="1" min="2" max="2"/>
    <col width="8" customWidth="1" min="3" max="3"/>
    <col width="12" customWidth="1" min="4" max="4"/>
    <col width="45" customWidth="1" min="5" max="5"/>
    <col width="28" customWidth="1" min="6" max="6"/>
    <col width="16" customWidth="1" min="7" max="7"/>
    <col width="8" customWidth="1" min="8" max="8"/>
    <col width="14" customWidth="1" min="9" max="9"/>
    <col width="14" customWidth="1" min="10" max="10"/>
    <col width="30" customWidth="1" min="11" max="11"/>
  </cols>
  <sheetData>
    <row r="1" ht="22" customHeight="1">
      <c r="A1" s="3" t="inlineStr">
        <is>
          <t>PILOTAGE — Prospection Appels d'Offres CHRUTH</t>
        </is>
      </c>
    </row>
    <row r="2" ht="22" customHeight="1"/>
    <row r="4">
      <c r="A4" s="4" t="inlineStr">
        <is>
          <t>Date MAJ</t>
        </is>
      </c>
      <c r="C4" s="4" t="inlineStr">
        <is>
          <t>Check qualite</t>
        </is>
      </c>
      <c r="E4" s="4" t="inlineStr">
        <is>
          <t>AO trouves</t>
        </is>
      </c>
      <c r="G4" s="4" t="inlineStr">
        <is>
          <t>AO chauds</t>
        </is>
      </c>
      <c r="I4" s="4" t="inlineStr">
        <is>
          <t>AO IDF</t>
        </is>
      </c>
      <c r="K4" s="4" t="inlineStr">
        <is>
          <t>Budget a verifier</t>
        </is>
      </c>
    </row>
    <row r="5">
      <c r="A5" s="5" t="inlineStr">
        <is>
          <t>07/07/2026</t>
        </is>
      </c>
      <c r="C5" s="5" t="inlineStr">
        <is>
          <t>36 alertes</t>
        </is>
      </c>
      <c r="E5" s="5" t="n">
        <v>61</v>
      </c>
      <c r="G5" s="5" t="n">
        <v>19</v>
      </c>
      <c r="I5" s="5" t="n">
        <v>57</v>
      </c>
      <c r="K5" s="5" t="n">
        <v>32</v>
      </c>
    </row>
    <row r="7">
      <c r="A7" s="6" t="inlineStr">
        <is>
          <t>Top 20 AO ouverts (date limite a venir, par score)</t>
        </is>
      </c>
    </row>
    <row r="8">
      <c r="A8" s="7" t="inlineStr">
        <is>
          <t>rang</t>
        </is>
      </c>
      <c r="B8" s="7" t="inlineStr">
        <is>
          <t>id_ao</t>
        </is>
      </c>
      <c r="C8" s="7" t="inlineStr">
        <is>
          <t>score_chruth</t>
        </is>
      </c>
      <c r="D8" s="7" t="inlineStr">
        <is>
          <t>priorite</t>
        </is>
      </c>
      <c r="E8" s="7" t="inlineStr">
        <is>
          <t>objet</t>
        </is>
      </c>
      <c r="F8" s="7" t="inlineStr">
        <is>
          <t>acheteur</t>
        </is>
      </c>
      <c r="G8" s="7" t="inlineStr">
        <is>
          <t>ville</t>
        </is>
      </c>
      <c r="H8" s="7" t="inlineStr">
        <is>
          <t>departement</t>
        </is>
      </c>
      <c r="I8" s="7" t="inlineStr">
        <is>
          <t>budget_estime_eur</t>
        </is>
      </c>
      <c r="J8" s="7" t="inlineStr">
        <is>
          <t>date_limite</t>
        </is>
      </c>
      <c r="K8" s="7" t="inlineStr">
        <is>
          <t>url_avis</t>
        </is>
      </c>
    </row>
    <row r="9">
      <c r="A9" s="8" t="n">
        <v>1</v>
      </c>
      <c r="B9" s="8" t="inlineStr">
        <is>
          <t>26-63741</t>
        </is>
      </c>
      <c r="C9" s="8" t="inlineStr">
        <is>
          <t>95</t>
        </is>
      </c>
      <c r="D9" s="8" t="inlineStr">
        <is>
          <t>CHAUD</t>
        </is>
      </c>
      <c r="E9" s="8" t="inlineStr">
        <is>
          <t>Accord cadre de missions de formation de lutte contre la discrimination et de lutte contre les violences sexistes et sexuelles à destination du tissu associatif en deux lots séparés.</t>
        </is>
      </c>
      <c r="F9" s="8" t="inlineStr">
        <is>
          <t>VILLE de PARIS - DFA - SDA</t>
        </is>
      </c>
      <c r="G9" s="8" t="inlineStr"/>
      <c r="H9" s="8" t="inlineStr">
        <is>
          <t>75</t>
        </is>
      </c>
      <c r="I9" s="9" t="n">
        <v>40000</v>
      </c>
      <c r="J9" s="10" t="n">
        <v>46280</v>
      </c>
      <c r="K9" s="11" t="inlineStr">
        <is>
          <t>https://www.boamp.fr/pages/avis/?q=idweb:26-63741</t>
        </is>
      </c>
    </row>
    <row r="10">
      <c r="A10" s="8" t="n">
        <v>2</v>
      </c>
      <c r="B10" s="8" t="inlineStr">
        <is>
          <t>26-58680</t>
        </is>
      </c>
      <c r="C10" s="8" t="inlineStr">
        <is>
          <t>80</t>
        </is>
      </c>
      <c r="D10" s="8" t="inlineStr">
        <is>
          <t>CHAUD</t>
        </is>
      </c>
      <c r="E10" s="8" t="inlineStr">
        <is>
          <t>Nettoyage des vitres et entretien des bâtiments communaux (Administratifs, Culturels, Scolaires, Sportifs et Autres)</t>
        </is>
      </c>
      <c r="F10" s="8" t="inlineStr">
        <is>
          <t>MAIRIE DES LILAS</t>
        </is>
      </c>
      <c r="G10" s="8" t="inlineStr"/>
      <c r="H10" s="8" t="inlineStr">
        <is>
          <t>93</t>
        </is>
      </c>
      <c r="I10" s="9" t="n">
        <v>22000</v>
      </c>
      <c r="J10" s="10" t="n">
        <v>46216</v>
      </c>
      <c r="K10" s="11" t="inlineStr">
        <is>
          <t>https://www.boamp.fr/pages/avis/?q=idweb:26-58680</t>
        </is>
      </c>
    </row>
    <row r="11">
      <c r="A11" s="8" t="n">
        <v>3</v>
      </c>
      <c r="B11" s="8" t="inlineStr">
        <is>
          <t>26-66091</t>
        </is>
      </c>
      <c r="C11" s="8" t="inlineStr">
        <is>
          <t>75</t>
        </is>
      </c>
      <c r="D11" s="8" t="inlineStr">
        <is>
          <t>CHAUD</t>
        </is>
      </c>
      <c r="E11" s="8" t="inlineStr">
        <is>
          <t>Restauration de monuments funéraires et de statues pour la ville d'Asnières-sur-Seine</t>
        </is>
      </c>
      <c r="F11" s="8" t="inlineStr">
        <is>
          <t>Mairie d'Asnières sur Seine</t>
        </is>
      </c>
      <c r="G11" s="8" t="inlineStr">
        <is>
          <t>Asnières sur seine</t>
        </is>
      </c>
      <c r="H11" s="8" t="inlineStr">
        <is>
          <t>92</t>
        </is>
      </c>
      <c r="I11" s="9" t="n">
        <v>92600</v>
      </c>
      <c r="J11" s="10" t="n">
        <v>46234</v>
      </c>
      <c r="K11" s="11" t="inlineStr">
        <is>
          <t>https://www.boamp.fr/pages/avis/?q=idweb:26-66091</t>
        </is>
      </c>
    </row>
    <row r="12">
      <c r="A12" s="8" t="n">
        <v>4</v>
      </c>
      <c r="B12" s="8" t="inlineStr">
        <is>
          <t>26-60739</t>
        </is>
      </c>
      <c r="C12" s="8" t="inlineStr">
        <is>
          <t>75</t>
        </is>
      </c>
      <c r="D12" s="8" t="inlineStr">
        <is>
          <t>CHAUD</t>
        </is>
      </c>
      <c r="E12" s="8" t="inlineStr">
        <is>
          <t>FOURNITURE D'EQUIPEMENTS, PRODUITS D'ENTRETIEN ET HACCP AU PROFIT DE LA VILLE ET DU CCAS DE LONGJUMEAU (2ème procédure)</t>
        </is>
      </c>
      <c r="F12" s="8" t="inlineStr">
        <is>
          <t>Ville de Longjumeau</t>
        </is>
      </c>
      <c r="G12" s="8" t="inlineStr"/>
      <c r="H12" s="8" t="inlineStr">
        <is>
          <t>91</t>
        </is>
      </c>
      <c r="I12" s="9" t="n">
        <v>280000</v>
      </c>
      <c r="J12" s="10" t="n">
        <v>46231</v>
      </c>
      <c r="K12" s="11" t="inlineStr">
        <is>
          <t>https://www.boamp.fr/pages/avis/?q=idweb:26-60739</t>
        </is>
      </c>
    </row>
    <row r="13">
      <c r="A13" s="8" t="n">
        <v>5</v>
      </c>
      <c r="B13" s="8" t="inlineStr">
        <is>
          <t>26-57399</t>
        </is>
      </c>
      <c r="C13" s="8" t="inlineStr">
        <is>
          <t>70</t>
        </is>
      </c>
      <c r="D13" s="8" t="inlineStr">
        <is>
          <t>CHAUD</t>
        </is>
      </c>
      <c r="E13" s="8" t="inlineStr">
        <is>
          <t>Prestations de nettoyage de certains équipements de protection individuelle (EPI) et vêtements de travail professionnels</t>
        </is>
      </c>
      <c r="F13" s="8" t="inlineStr">
        <is>
          <t>MAIRIE DE ROMAINVILLE</t>
        </is>
      </c>
      <c r="G13" s="8" t="inlineStr">
        <is>
          <t>Romainville</t>
        </is>
      </c>
      <c r="H13" s="8" t="inlineStr">
        <is>
          <t>93</t>
        </is>
      </c>
      <c r="I13" s="9" t="n">
        <v>93230</v>
      </c>
      <c r="J13" s="10" t="n">
        <v>46213</v>
      </c>
      <c r="K13" s="11" t="inlineStr">
        <is>
          <t>https://www.boamp.fr/pages/avis/?q=idweb:26-57399</t>
        </is>
      </c>
    </row>
    <row r="14">
      <c r="A14" s="8" t="n">
        <v>6</v>
      </c>
      <c r="B14" s="8" t="inlineStr">
        <is>
          <t>26-56654</t>
        </is>
      </c>
      <c r="C14" s="8" t="inlineStr">
        <is>
          <t>70</t>
        </is>
      </c>
      <c r="D14" s="8" t="inlineStr">
        <is>
          <t>CHAUD</t>
        </is>
      </c>
      <c r="E14" s="8" t="inlineStr">
        <is>
          <t>Prestations de bio-nettoyage, mise à blanc et mise à gris des zones à atmosphère contrôlée au profit du CTSA et de l'UMTI</t>
        </is>
      </c>
      <c r="F14" s="8" t="inlineStr">
        <is>
          <t>DAPSA/PFAF-S</t>
        </is>
      </c>
      <c r="G14" s="8" t="inlineStr">
        <is>
          <t>FLEURY-LES-AUBRAIS CEDEX</t>
        </is>
      </c>
      <c r="H14" s="8" t="inlineStr">
        <is>
          <t>92</t>
        </is>
      </c>
      <c r="I14" s="8" t="inlineStr"/>
      <c r="J14" s="10" t="n">
        <v>46231</v>
      </c>
      <c r="K14" s="11" t="inlineStr">
        <is>
          <t>https://www.boamp.fr/pages/avis/?q=idweb:26-56654</t>
        </is>
      </c>
    </row>
    <row r="15">
      <c r="A15" s="8" t="n">
        <v>7</v>
      </c>
      <c r="B15" s="8" t="inlineStr">
        <is>
          <t>26-54018</t>
        </is>
      </c>
      <c r="C15" s="8" t="inlineStr">
        <is>
          <t>70</t>
        </is>
      </c>
      <c r="D15" s="8" t="inlineStr">
        <is>
          <t>CHAUD</t>
        </is>
      </c>
      <c r="E15" s="8" t="inlineStr">
        <is>
          <t>Accord-cadre relatif à la maintenance préventive et corrective des aires de jeux de la Ville</t>
        </is>
      </c>
      <c r="F15" s="8" t="inlineStr">
        <is>
          <t>Mairie de Mantes La Jolie</t>
        </is>
      </c>
      <c r="G15" s="8" t="inlineStr"/>
      <c r="H15" s="8" t="inlineStr">
        <is>
          <t>78,27</t>
        </is>
      </c>
      <c r="I15" s="9" t="n">
        <v>100000</v>
      </c>
      <c r="J15" s="10" t="n">
        <v>46211</v>
      </c>
      <c r="K15" s="11" t="inlineStr">
        <is>
          <t>https://www.boamp.fr/pages/avis/?q=idweb:26-54018</t>
        </is>
      </c>
    </row>
    <row r="16">
      <c r="A16" s="8" t="n">
        <v>8</v>
      </c>
      <c r="B16" s="8" t="inlineStr">
        <is>
          <t>26-64286</t>
        </is>
      </c>
      <c r="C16" s="8" t="inlineStr">
        <is>
          <t>65</t>
        </is>
      </c>
      <c r="D16" s="8" t="inlineStr">
        <is>
          <t>CHAUD</t>
        </is>
      </c>
      <c r="E16" s="8" t="inlineStr">
        <is>
          <t>Prestations de nettoyage des locaux</t>
        </is>
      </c>
      <c r="F16" s="8" t="inlineStr">
        <is>
          <t>Commune de Montfermeil</t>
        </is>
      </c>
      <c r="G16" s="8" t="inlineStr"/>
      <c r="H16" s="8" t="inlineStr">
        <is>
          <t>93</t>
        </is>
      </c>
      <c r="I16" s="8" t="inlineStr"/>
      <c r="J16" s="10" t="n">
        <v>46237</v>
      </c>
      <c r="K16" s="11" t="inlineStr">
        <is>
          <t>https://www.boamp.fr/pages/avis/?q=idweb:26-64286</t>
        </is>
      </c>
    </row>
    <row r="17">
      <c r="A17" s="8" t="n">
        <v>9</v>
      </c>
      <c r="B17" s="8" t="inlineStr">
        <is>
          <t>26-63518</t>
        </is>
      </c>
      <c r="C17" s="8" t="inlineStr">
        <is>
          <t>65</t>
        </is>
      </c>
      <c r="D17" s="8" t="inlineStr">
        <is>
          <t>CHAUD</t>
        </is>
      </c>
      <c r="E17" s="8" t="inlineStr">
        <is>
          <t>NETTOYAGE DES BÂTIMENTS COMMUNAUX</t>
        </is>
      </c>
      <c r="F17" s="8" t="inlineStr">
        <is>
          <t>MAIRIE DE SAINT-CLAIR-SUR6epte</t>
        </is>
      </c>
      <c r="G17" s="8" t="inlineStr"/>
      <c r="H17" s="8" t="inlineStr">
        <is>
          <t>95</t>
        </is>
      </c>
      <c r="I17" s="8" t="inlineStr"/>
      <c r="J17" s="10" t="n">
        <v>46276</v>
      </c>
      <c r="K17" s="11" t="inlineStr">
        <is>
          <t>https://www.boamp.fr/pages/avis/?q=idweb:26-63518</t>
        </is>
      </c>
    </row>
    <row r="18">
      <c r="A18" s="8" t="n">
        <v>10</v>
      </c>
      <c r="B18" s="8" t="inlineStr">
        <is>
          <t>26-63201</t>
        </is>
      </c>
      <c r="C18" s="8" t="inlineStr">
        <is>
          <t>65</t>
        </is>
      </c>
      <c r="D18" s="8" t="inlineStr">
        <is>
          <t>CHAUD</t>
        </is>
      </c>
      <c r="E18" s="8" t="inlineStr">
        <is>
          <t>PRESTATION DE NETTOYAGE ET D'ENTRETIEN DES LOCAUX COMMUNAUX</t>
        </is>
      </c>
      <c r="F18" s="8" t="inlineStr">
        <is>
          <t>Commune de Saulx Les Chartreux</t>
        </is>
      </c>
      <c r="G18" s="8" t="inlineStr"/>
      <c r="H18" s="8" t="inlineStr">
        <is>
          <t>91,92,93,94</t>
        </is>
      </c>
      <c r="I18" s="8" t="inlineStr"/>
      <c r="J18" s="10" t="n">
        <v>46234</v>
      </c>
      <c r="K18" s="11" t="inlineStr">
        <is>
          <t>https://www.boamp.fr/pages/avis/?q=idweb:26-63201</t>
        </is>
      </c>
    </row>
    <row r="19">
      <c r="A19" s="8" t="n">
        <v>11</v>
      </c>
      <c r="B19" s="8" t="inlineStr">
        <is>
          <t>26-62837</t>
        </is>
      </c>
      <c r="C19" s="8" t="inlineStr">
        <is>
          <t>65</t>
        </is>
      </c>
      <c r="D19" s="8" t="inlineStr">
        <is>
          <t>CHAUD</t>
        </is>
      </c>
      <c r="E19" s="8" t="inlineStr">
        <is>
          <t>PRESTATION DE NETTOYAGE DES LOCAUX ET DE LA VITRERIE</t>
        </is>
      </c>
      <c r="F19" s="8" t="inlineStr">
        <is>
          <t>ENC-PSL</t>
        </is>
      </c>
      <c r="G19" s="8" t="inlineStr">
        <is>
          <t>Paris</t>
        </is>
      </c>
      <c r="H19" s="8" t="inlineStr">
        <is>
          <t>75</t>
        </is>
      </c>
      <c r="I19" s="9" t="n">
        <v>75002</v>
      </c>
      <c r="J19" s="10" t="n">
        <v>46227</v>
      </c>
      <c r="K19" s="11" t="inlineStr">
        <is>
          <t>https://www.boamp.fr/pages/avis/?q=idweb:26-62837</t>
        </is>
      </c>
    </row>
    <row r="20">
      <c r="A20" s="8" t="n">
        <v>12</v>
      </c>
      <c r="B20" s="8" t="inlineStr">
        <is>
          <t>26-62488</t>
        </is>
      </c>
      <c r="C20" s="8" t="inlineStr">
        <is>
          <t>65</t>
        </is>
      </c>
      <c r="D20" s="8" t="inlineStr">
        <is>
          <t>CHAUD</t>
        </is>
      </c>
      <c r="E20" s="8" t="inlineStr">
        <is>
          <t>Prestation de nettoyage des locaux et de la vitrerie</t>
        </is>
      </c>
      <c r="F20" s="8" t="inlineStr">
        <is>
          <t>ECOLE NATIONALE DES CHARTES</t>
        </is>
      </c>
      <c r="G20" s="8" t="inlineStr">
        <is>
          <t>Paris</t>
        </is>
      </c>
      <c r="H20" s="8" t="inlineStr">
        <is>
          <t>75,77,78,91,92,93,94,95</t>
        </is>
      </c>
      <c r="I20" s="8" t="inlineStr"/>
      <c r="J20" s="10" t="n">
        <v>46227</v>
      </c>
      <c r="K20" s="11" t="inlineStr">
        <is>
          <t>https://www.boamp.fr/pages/avis/?q=idweb:26-62488</t>
        </is>
      </c>
    </row>
    <row r="21">
      <c r="A21" s="8" t="n">
        <v>13</v>
      </c>
      <c r="B21" s="8" t="inlineStr">
        <is>
          <t>26-61263</t>
        </is>
      </c>
      <c r="C21" s="8" t="inlineStr">
        <is>
          <t>65</t>
        </is>
      </c>
      <c r="D21" s="8" t="inlineStr">
        <is>
          <t>CHAUD</t>
        </is>
      </c>
      <c r="E21" s="8" t="inlineStr">
        <is>
          <t>NETTOYAGE ET ENTRETIEN DES BATIMENTS COMMUNAUX</t>
        </is>
      </c>
      <c r="F21" s="8" t="inlineStr">
        <is>
          <t>MAIRIE DE MERIEL</t>
        </is>
      </c>
      <c r="G21" s="8" t="inlineStr"/>
      <c r="H21" s="8" t="inlineStr">
        <is>
          <t>95</t>
        </is>
      </c>
      <c r="I21" s="8" t="inlineStr"/>
      <c r="J21" s="10" t="n">
        <v>46227</v>
      </c>
      <c r="K21" s="11" t="inlineStr">
        <is>
          <t>https://www.boamp.fr/pages/avis/?q=idweb:26-61263</t>
        </is>
      </c>
    </row>
    <row r="22">
      <c r="A22" s="8" t="n">
        <v>14</v>
      </c>
      <c r="B22" s="8" t="inlineStr">
        <is>
          <t>26-60231</t>
        </is>
      </c>
      <c r="C22" s="8" t="inlineStr">
        <is>
          <t>65</t>
        </is>
      </c>
      <c r="D22" s="8" t="inlineStr">
        <is>
          <t>CHAUD</t>
        </is>
      </c>
      <c r="E22" s="8" t="inlineStr">
        <is>
          <t>Nettoyage des locaux communaux et des vitreries des bâtiments communaux</t>
        </is>
      </c>
      <c r="F22" s="8" t="inlineStr">
        <is>
          <t>Ville de Fontenay-aux-Roses</t>
        </is>
      </c>
      <c r="G22" s="8" t="inlineStr"/>
      <c r="H22" s="8" t="inlineStr">
        <is>
          <t>92</t>
        </is>
      </c>
      <c r="I22" s="8" t="inlineStr"/>
      <c r="J22" s="10" t="n">
        <v>46232</v>
      </c>
      <c r="K22" s="11" t="inlineStr">
        <is>
          <t>https://www.boamp.fr/pages/avis/?q=idweb:26-60231</t>
        </is>
      </c>
    </row>
    <row r="23">
      <c r="A23" s="8" t="n">
        <v>15</v>
      </c>
      <c r="B23" s="8" t="inlineStr">
        <is>
          <t>26-59493</t>
        </is>
      </c>
      <c r="C23" s="8" t="inlineStr">
        <is>
          <t>65</t>
        </is>
      </c>
      <c r="D23" s="8" t="inlineStr">
        <is>
          <t>CHAUD</t>
        </is>
      </c>
      <c r="E23" s="8" t="inlineStr">
        <is>
          <t>Prestations de nettoyage des locaux administratifs et des espaces ouverts au public des tours de la Cathédrale Notre-Dame de Paris</t>
        </is>
      </c>
      <c r="F23" s="8" t="inlineStr">
        <is>
          <t>Centre des Monuments Nationaux</t>
        </is>
      </c>
      <c r="G23" s="8" t="inlineStr"/>
      <c r="H23" s="8" t="inlineStr">
        <is>
          <t>75</t>
        </is>
      </c>
      <c r="I23" s="9" t="n">
        <v>85000</v>
      </c>
      <c r="J23" s="10" t="n">
        <v>46220</v>
      </c>
      <c r="K23" s="11" t="inlineStr">
        <is>
          <t>https://www.boamp.fr/pages/avis/?q=idweb:26-59493</t>
        </is>
      </c>
    </row>
    <row r="24">
      <c r="A24" s="8" t="n">
        <v>16</v>
      </c>
      <c r="B24" s="8" t="inlineStr">
        <is>
          <t>26-56367</t>
        </is>
      </c>
      <c r="C24" s="8" t="inlineStr">
        <is>
          <t>65</t>
        </is>
      </c>
      <c r="D24" s="8" t="inlineStr">
        <is>
          <t>CHAUD</t>
        </is>
      </c>
      <c r="E24" s="8" t="inlineStr">
        <is>
          <t>Prestations de nettoyage courant des locaux administratifs de Pantin Habitat</t>
        </is>
      </c>
      <c r="F24" s="8" t="inlineStr">
        <is>
          <t>Pantin Habitat</t>
        </is>
      </c>
      <c r="G24" s="8" t="inlineStr">
        <is>
          <t>Pantin cedex</t>
        </is>
      </c>
      <c r="H24" s="8" t="inlineStr">
        <is>
          <t>93,75,92,94</t>
        </is>
      </c>
      <c r="I24" s="9" t="n">
        <v>93697</v>
      </c>
      <c r="J24" s="10" t="n">
        <v>46211</v>
      </c>
      <c r="K24" s="11" t="inlineStr">
        <is>
          <t>https://www.boamp.fr/pages/avis/?q=idweb:26-56367</t>
        </is>
      </c>
    </row>
    <row r="25">
      <c r="A25" s="8" t="n">
        <v>17</v>
      </c>
      <c r="B25" s="8" t="inlineStr">
        <is>
          <t>26-55118</t>
        </is>
      </c>
      <c r="C25" s="8" t="inlineStr">
        <is>
          <t>65</t>
        </is>
      </c>
      <c r="D25" s="8" t="inlineStr">
        <is>
          <t>CHAUD</t>
        </is>
      </c>
      <c r="E25" s="8" t="inlineStr">
        <is>
          <t>Nettoyage des locaux des bâtiments de la commune de Châtillon (92320)</t>
        </is>
      </c>
      <c r="F25" s="8" t="inlineStr">
        <is>
          <t>Commune de CHATILLON</t>
        </is>
      </c>
      <c r="G25" s="8" t="inlineStr"/>
      <c r="H25" s="8" t="inlineStr">
        <is>
          <t>92</t>
        </is>
      </c>
      <c r="I25" s="8" t="inlineStr"/>
      <c r="J25" s="10" t="n">
        <v>46213</v>
      </c>
      <c r="K25" s="11" t="inlineStr">
        <is>
          <t>https://www.boamp.fr/pages/avis/?q=idweb:26-55118</t>
        </is>
      </c>
    </row>
    <row r="26">
      <c r="A26" s="8" t="n">
        <v>18</v>
      </c>
      <c r="B26" s="8" t="inlineStr">
        <is>
          <t>26-54753</t>
        </is>
      </c>
      <c r="C26" s="8" t="inlineStr">
        <is>
          <t>65</t>
        </is>
      </c>
      <c r="D26" s="8" t="inlineStr">
        <is>
          <t>CHAUD</t>
        </is>
      </c>
      <c r="E26" s="8" t="inlineStr">
        <is>
          <t>PRESTATIONS DE NETTOYAGE DE LA MAISON DES JEUNES ET DE LA MAISON DE L'ENFANCE ET DE LA FAMILLE DE LA COMMUNE BOISSY-SAINT-LEGER</t>
        </is>
      </c>
      <c r="F26" s="8" t="inlineStr">
        <is>
          <t>Mairie Boissy Saint Léger</t>
        </is>
      </c>
      <c r="G26" s="8" t="inlineStr"/>
      <c r="H26" s="8" t="inlineStr">
        <is>
          <t>94,95</t>
        </is>
      </c>
      <c r="I26" s="8" t="inlineStr"/>
      <c r="J26" s="10" t="n">
        <v>46213</v>
      </c>
      <c r="K26" s="11" t="inlineStr">
        <is>
          <t>https://www.boamp.fr/pages/avis/?q=idweb:26-54753</t>
        </is>
      </c>
    </row>
    <row r="27">
      <c r="A27" s="8" t="n">
        <v>19</v>
      </c>
      <c r="B27" s="8" t="inlineStr">
        <is>
          <t>26-64633</t>
        </is>
      </c>
      <c r="C27" s="8" t="inlineStr">
        <is>
          <t>60</t>
        </is>
      </c>
      <c r="D27" s="8" t="inlineStr">
        <is>
          <t>TIEDE</t>
        </is>
      </c>
      <c r="E27" s="8" t="inlineStr">
        <is>
          <t>Entretien des locaux municipaux de Villenoy</t>
        </is>
      </c>
      <c r="F27" s="8" t="inlineStr">
        <is>
          <t>Commune de Villenoy</t>
        </is>
      </c>
      <c r="G27" s="8" t="inlineStr"/>
      <c r="H27" s="8" t="inlineStr">
        <is>
          <t>77</t>
        </is>
      </c>
      <c r="I27" s="9" t="n">
        <v>200000</v>
      </c>
      <c r="J27" s="10" t="n">
        <v>46234</v>
      </c>
      <c r="K27" s="11" t="inlineStr">
        <is>
          <t>https://www.boamp.fr/pages/avis/?q=idweb:26-64633</t>
        </is>
      </c>
    </row>
    <row r="28">
      <c r="A28" s="8" t="n">
        <v>20</v>
      </c>
      <c r="B28" s="8" t="inlineStr">
        <is>
          <t>26-63220</t>
        </is>
      </c>
      <c r="C28" s="8" t="inlineStr">
        <is>
          <t>60</t>
        </is>
      </c>
      <c r="D28" s="8" t="inlineStr">
        <is>
          <t>TIEDE</t>
        </is>
      </c>
      <c r="E28" s="8" t="inlineStr">
        <is>
          <t>Prestations de propreté urbaine de la Ville de Choisy-le-Roi</t>
        </is>
      </c>
      <c r="F28" s="8" t="inlineStr">
        <is>
          <t>Mairie de Choisy-le-Roi</t>
        </is>
      </c>
      <c r="G28" s="8" t="inlineStr"/>
      <c r="H28" s="8" t="inlineStr">
        <is>
          <t>94,91</t>
        </is>
      </c>
      <c r="I28" s="8" t="inlineStr"/>
      <c r="J28" s="10" t="n">
        <v>46237</v>
      </c>
      <c r="K28" s="11" t="inlineStr">
        <is>
          <t>https://www.boamp.fr/pages/avis/?q=idweb:26-63220</t>
        </is>
      </c>
    </row>
  </sheetData>
  <mergeCells count="13">
    <mergeCell ref="A4:B4"/>
    <mergeCell ref="G4:H4"/>
    <mergeCell ref="E4:F4"/>
    <mergeCell ref="A1:J2"/>
    <mergeCell ref="I4:J4"/>
    <mergeCell ref="C5:D5"/>
    <mergeCell ref="A5:B5"/>
    <mergeCell ref="G5:H5"/>
    <mergeCell ref="E5:F5"/>
    <mergeCell ref="K5:L5"/>
    <mergeCell ref="I5:J5"/>
    <mergeCell ref="K4:L4"/>
    <mergeCell ref="C4:D4"/>
  </mergeCells>
  <hyperlinks>
    <hyperlink xmlns:r="http://schemas.openxmlformats.org/officeDocument/2006/relationships" ref="K9" r:id="rId1"/>
    <hyperlink xmlns:r="http://schemas.openxmlformats.org/officeDocument/2006/relationships" ref="K10" r:id="rId2"/>
    <hyperlink xmlns:r="http://schemas.openxmlformats.org/officeDocument/2006/relationships" ref="K11" r:id="rId3"/>
    <hyperlink xmlns:r="http://schemas.openxmlformats.org/officeDocument/2006/relationships" ref="K12" r:id="rId4"/>
    <hyperlink xmlns:r="http://schemas.openxmlformats.org/officeDocument/2006/relationships" ref="K13" r:id="rId5"/>
    <hyperlink xmlns:r="http://schemas.openxmlformats.org/officeDocument/2006/relationships" ref="K14" r:id="rId6"/>
    <hyperlink xmlns:r="http://schemas.openxmlformats.org/officeDocument/2006/relationships" ref="K15" r:id="rId7"/>
    <hyperlink xmlns:r="http://schemas.openxmlformats.org/officeDocument/2006/relationships" ref="K16" r:id="rId8"/>
    <hyperlink xmlns:r="http://schemas.openxmlformats.org/officeDocument/2006/relationships" ref="K17" r:id="rId9"/>
    <hyperlink xmlns:r="http://schemas.openxmlformats.org/officeDocument/2006/relationships" ref="K18" r:id="rId10"/>
    <hyperlink xmlns:r="http://schemas.openxmlformats.org/officeDocument/2006/relationships" ref="K19" r:id="rId11"/>
    <hyperlink xmlns:r="http://schemas.openxmlformats.org/officeDocument/2006/relationships" ref="K20" r:id="rId12"/>
    <hyperlink xmlns:r="http://schemas.openxmlformats.org/officeDocument/2006/relationships" ref="K21" r:id="rId13"/>
    <hyperlink xmlns:r="http://schemas.openxmlformats.org/officeDocument/2006/relationships" ref="K22" r:id="rId14"/>
    <hyperlink xmlns:r="http://schemas.openxmlformats.org/officeDocument/2006/relationships" ref="K23" r:id="rId15"/>
    <hyperlink xmlns:r="http://schemas.openxmlformats.org/officeDocument/2006/relationships" ref="K24" r:id="rId16"/>
    <hyperlink xmlns:r="http://schemas.openxmlformats.org/officeDocument/2006/relationships" ref="K25" r:id="rId17"/>
    <hyperlink xmlns:r="http://schemas.openxmlformats.org/officeDocument/2006/relationships" ref="K26" r:id="rId18"/>
    <hyperlink xmlns:r="http://schemas.openxmlformats.org/officeDocument/2006/relationships" ref="K27" r:id="rId19"/>
    <hyperlink xmlns:r="http://schemas.openxmlformats.org/officeDocument/2006/relationships" ref="K28" r:id="rId20"/>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K21"/>
  <sheetViews>
    <sheetView workbookViewId="0">
      <pane xSplit="5" ySplit="1" topLeftCell="F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14" customWidth="1" min="3" max="3"/>
    <col width="10" customWidth="1" min="4" max="4"/>
    <col width="55" customWidth="1" min="5" max="5"/>
    <col width="32" customWidth="1" min="6" max="6"/>
    <col width="26" customWidth="1" min="7" max="7"/>
    <col width="25" customWidth="1" min="8" max="8"/>
    <col width="19" customWidth="1" min="9" max="9"/>
    <col width="13" customWidth="1" min="10" max="10"/>
    <col width="51" customWidth="1" min="11" max="11"/>
  </cols>
  <sheetData>
    <row r="1">
      <c r="A1" s="12" t="inlineStr">
        <is>
          <t>rang</t>
        </is>
      </c>
      <c r="B1" s="12" t="inlineStr">
        <is>
          <t>id_ao</t>
        </is>
      </c>
      <c r="C1" s="12" t="inlineStr">
        <is>
          <t>score_chruth</t>
        </is>
      </c>
      <c r="D1" s="12" t="inlineStr">
        <is>
          <t>priorite</t>
        </is>
      </c>
      <c r="E1" s="12" t="inlineStr">
        <is>
          <t>objet</t>
        </is>
      </c>
      <c r="F1" s="12" t="inlineStr">
        <is>
          <t>acheteur</t>
        </is>
      </c>
      <c r="G1" s="12" t="inlineStr">
        <is>
          <t>ville</t>
        </is>
      </c>
      <c r="H1" s="12" t="inlineStr">
        <is>
          <t>departement</t>
        </is>
      </c>
      <c r="I1" s="12" t="inlineStr">
        <is>
          <t>budget_estime_eur</t>
        </is>
      </c>
      <c r="J1" s="12" t="inlineStr">
        <is>
          <t>date_limite</t>
        </is>
      </c>
      <c r="K1" s="12" t="inlineStr">
        <is>
          <t>url_avis</t>
        </is>
      </c>
    </row>
    <row r="2">
      <c r="A2" t="n">
        <v>1</v>
      </c>
      <c r="B2" t="inlineStr">
        <is>
          <t>26-63741</t>
        </is>
      </c>
      <c r="C2" t="inlineStr">
        <is>
          <t>95</t>
        </is>
      </c>
      <c r="D2" s="13" t="inlineStr">
        <is>
          <t>CHAUD</t>
        </is>
      </c>
      <c r="E2" t="inlineStr">
        <is>
          <t>Accord cadre de missions de formation de lutte contre la discrimination et de lutte contre les violences sexistes et sexuelles à destination du tissu associatif en deux lots séparés.</t>
        </is>
      </c>
      <c r="F2" t="inlineStr">
        <is>
          <t>VILLE de PARIS - DFA - SDA</t>
        </is>
      </c>
      <c r="G2" t="inlineStr"/>
      <c r="H2" t="inlineStr">
        <is>
          <t>75</t>
        </is>
      </c>
      <c r="I2" s="14" t="n">
        <v>40000</v>
      </c>
      <c r="J2" s="15" t="n">
        <v>46280</v>
      </c>
      <c r="K2" s="11" t="inlineStr">
        <is>
          <t>https://www.boamp.fr/pages/avis/?q=idweb:26-63741</t>
        </is>
      </c>
    </row>
    <row r="3">
      <c r="A3" t="n">
        <v>2</v>
      </c>
      <c r="B3" t="inlineStr">
        <is>
          <t>26-58680</t>
        </is>
      </c>
      <c r="C3" t="inlineStr">
        <is>
          <t>80</t>
        </is>
      </c>
      <c r="D3" s="13" t="inlineStr">
        <is>
          <t>CHAUD</t>
        </is>
      </c>
      <c r="E3" t="inlineStr">
        <is>
          <t>Nettoyage des vitres et entretien des bâtiments communaux (Administratifs, Culturels, Scolaires, Sportifs et Autres)</t>
        </is>
      </c>
      <c r="F3" t="inlineStr">
        <is>
          <t>MAIRIE DES LILAS</t>
        </is>
      </c>
      <c r="G3" t="inlineStr"/>
      <c r="H3" t="inlineStr">
        <is>
          <t>93</t>
        </is>
      </c>
      <c r="I3" s="14" t="n">
        <v>22000</v>
      </c>
      <c r="J3" s="15" t="n">
        <v>46216</v>
      </c>
      <c r="K3" s="11" t="inlineStr">
        <is>
          <t>https://www.boamp.fr/pages/avis/?q=idweb:26-58680</t>
        </is>
      </c>
    </row>
    <row r="4">
      <c r="A4" t="n">
        <v>3</v>
      </c>
      <c r="B4" t="inlineStr">
        <is>
          <t>26-66091</t>
        </is>
      </c>
      <c r="C4" t="inlineStr">
        <is>
          <t>75</t>
        </is>
      </c>
      <c r="D4" s="13" t="inlineStr">
        <is>
          <t>CHAUD</t>
        </is>
      </c>
      <c r="E4" t="inlineStr">
        <is>
          <t>Restauration de monuments funéraires et de statues pour la ville d'Asnières-sur-Seine</t>
        </is>
      </c>
      <c r="F4" t="inlineStr">
        <is>
          <t>Mairie d'Asnières sur Seine</t>
        </is>
      </c>
      <c r="G4" t="inlineStr">
        <is>
          <t>Asnières sur seine</t>
        </is>
      </c>
      <c r="H4" t="inlineStr">
        <is>
          <t>92</t>
        </is>
      </c>
      <c r="I4" s="14" t="n">
        <v>92600</v>
      </c>
      <c r="J4" s="15" t="n">
        <v>46234</v>
      </c>
      <c r="K4" s="11" t="inlineStr">
        <is>
          <t>https://www.boamp.fr/pages/avis/?q=idweb:26-66091</t>
        </is>
      </c>
    </row>
    <row r="5">
      <c r="A5" t="n">
        <v>4</v>
      </c>
      <c r="B5" t="inlineStr">
        <is>
          <t>26-60739</t>
        </is>
      </c>
      <c r="C5" t="inlineStr">
        <is>
          <t>75</t>
        </is>
      </c>
      <c r="D5" s="13" t="inlineStr">
        <is>
          <t>CHAUD</t>
        </is>
      </c>
      <c r="E5" t="inlineStr">
        <is>
          <t>FOURNITURE D'EQUIPEMENTS, PRODUITS D'ENTRETIEN ET HACCP AU PROFIT DE LA VILLE ET DU CCAS DE LONGJUMEAU (2ème procédure)</t>
        </is>
      </c>
      <c r="F5" t="inlineStr">
        <is>
          <t>Ville de Longjumeau</t>
        </is>
      </c>
      <c r="G5" t="inlineStr"/>
      <c r="H5" t="inlineStr">
        <is>
          <t>91</t>
        </is>
      </c>
      <c r="I5" s="14" t="n">
        <v>280000</v>
      </c>
      <c r="J5" s="15" t="n">
        <v>46231</v>
      </c>
      <c r="K5" s="11" t="inlineStr">
        <is>
          <t>https://www.boamp.fr/pages/avis/?q=idweb:26-60739</t>
        </is>
      </c>
    </row>
    <row r="6">
      <c r="A6" t="n">
        <v>5</v>
      </c>
      <c r="B6" t="inlineStr">
        <is>
          <t>26-57399</t>
        </is>
      </c>
      <c r="C6" t="inlineStr">
        <is>
          <t>70</t>
        </is>
      </c>
      <c r="D6" s="13" t="inlineStr">
        <is>
          <t>CHAUD</t>
        </is>
      </c>
      <c r="E6" t="inlineStr">
        <is>
          <t>Prestations de nettoyage de certains équipements de protection individuelle (EPI) et vêtements de travail professionnels</t>
        </is>
      </c>
      <c r="F6" t="inlineStr">
        <is>
          <t>MAIRIE DE ROMAINVILLE</t>
        </is>
      </c>
      <c r="G6" t="inlineStr">
        <is>
          <t>Romainville</t>
        </is>
      </c>
      <c r="H6" t="inlineStr">
        <is>
          <t>93</t>
        </is>
      </c>
      <c r="I6" s="14" t="n">
        <v>93230</v>
      </c>
      <c r="J6" s="15" t="n">
        <v>46213</v>
      </c>
      <c r="K6" s="11" t="inlineStr">
        <is>
          <t>https://www.boamp.fr/pages/avis/?q=idweb:26-57399</t>
        </is>
      </c>
    </row>
    <row r="7">
      <c r="A7" t="n">
        <v>6</v>
      </c>
      <c r="B7" t="inlineStr">
        <is>
          <t>26-56654</t>
        </is>
      </c>
      <c r="C7" t="inlineStr">
        <is>
          <t>70</t>
        </is>
      </c>
      <c r="D7" s="13" t="inlineStr">
        <is>
          <t>CHAUD</t>
        </is>
      </c>
      <c r="E7" t="inlineStr">
        <is>
          <t>Prestations de bio-nettoyage, mise à blanc et mise à gris des zones à atmosphère contrôlée au profit du CTSA et de l'UMTI</t>
        </is>
      </c>
      <c r="F7" t="inlineStr">
        <is>
          <t>DAPSA/PFAF-S</t>
        </is>
      </c>
      <c r="G7" t="inlineStr">
        <is>
          <t>FLEURY-LES-AUBRAIS CEDEX</t>
        </is>
      </c>
      <c r="H7" t="inlineStr">
        <is>
          <t>92</t>
        </is>
      </c>
      <c r="I7" t="inlineStr"/>
      <c r="J7" s="15" t="n">
        <v>46231</v>
      </c>
      <c r="K7" s="11" t="inlineStr">
        <is>
          <t>https://www.boamp.fr/pages/avis/?q=idweb:26-56654</t>
        </is>
      </c>
    </row>
    <row r="8">
      <c r="A8" t="n">
        <v>7</v>
      </c>
      <c r="B8" t="inlineStr">
        <is>
          <t>26-54018</t>
        </is>
      </c>
      <c r="C8" t="inlineStr">
        <is>
          <t>70</t>
        </is>
      </c>
      <c r="D8" s="13" t="inlineStr">
        <is>
          <t>CHAUD</t>
        </is>
      </c>
      <c r="E8" t="inlineStr">
        <is>
          <t>Accord-cadre relatif à la maintenance préventive et corrective des aires de jeux de la Ville</t>
        </is>
      </c>
      <c r="F8" t="inlineStr">
        <is>
          <t>Mairie de Mantes La Jolie</t>
        </is>
      </c>
      <c r="G8" t="inlineStr"/>
      <c r="H8" t="inlineStr">
        <is>
          <t>78,27</t>
        </is>
      </c>
      <c r="I8" s="14" t="n">
        <v>100000</v>
      </c>
      <c r="J8" s="15" t="n">
        <v>46211</v>
      </c>
      <c r="K8" s="11" t="inlineStr">
        <is>
          <t>https://www.boamp.fr/pages/avis/?q=idweb:26-54018</t>
        </is>
      </c>
    </row>
    <row r="9">
      <c r="A9" t="n">
        <v>8</v>
      </c>
      <c r="B9" t="inlineStr">
        <is>
          <t>26-64286</t>
        </is>
      </c>
      <c r="C9" t="inlineStr">
        <is>
          <t>65</t>
        </is>
      </c>
      <c r="D9" s="13" t="inlineStr">
        <is>
          <t>CHAUD</t>
        </is>
      </c>
      <c r="E9" t="inlineStr">
        <is>
          <t>Prestations de nettoyage des locaux</t>
        </is>
      </c>
      <c r="F9" t="inlineStr">
        <is>
          <t>Commune de Montfermeil</t>
        </is>
      </c>
      <c r="G9" t="inlineStr"/>
      <c r="H9" t="inlineStr">
        <is>
          <t>93</t>
        </is>
      </c>
      <c r="I9" t="inlineStr"/>
      <c r="J9" s="15" t="n">
        <v>46237</v>
      </c>
      <c r="K9" s="11" t="inlineStr">
        <is>
          <t>https://www.boamp.fr/pages/avis/?q=idweb:26-64286</t>
        </is>
      </c>
    </row>
    <row r="10">
      <c r="A10" t="n">
        <v>9</v>
      </c>
      <c r="B10" t="inlineStr">
        <is>
          <t>26-63518</t>
        </is>
      </c>
      <c r="C10" t="inlineStr">
        <is>
          <t>65</t>
        </is>
      </c>
      <c r="D10" s="13" t="inlineStr">
        <is>
          <t>CHAUD</t>
        </is>
      </c>
      <c r="E10" t="inlineStr">
        <is>
          <t>NETTOYAGE DES BÂTIMENTS COMMUNAUX</t>
        </is>
      </c>
      <c r="F10" t="inlineStr">
        <is>
          <t>MAIRIE DE SAINT-CLAIR-SUR6epte</t>
        </is>
      </c>
      <c r="G10" t="inlineStr"/>
      <c r="H10" t="inlineStr">
        <is>
          <t>95</t>
        </is>
      </c>
      <c r="I10" t="inlineStr"/>
      <c r="J10" s="15" t="n">
        <v>46276</v>
      </c>
      <c r="K10" s="11" t="inlineStr">
        <is>
          <t>https://www.boamp.fr/pages/avis/?q=idweb:26-63518</t>
        </is>
      </c>
    </row>
    <row r="11">
      <c r="A11" t="n">
        <v>10</v>
      </c>
      <c r="B11" t="inlineStr">
        <is>
          <t>26-63201</t>
        </is>
      </c>
      <c r="C11" t="inlineStr">
        <is>
          <t>65</t>
        </is>
      </c>
      <c r="D11" s="13" t="inlineStr">
        <is>
          <t>CHAUD</t>
        </is>
      </c>
      <c r="E11" t="inlineStr">
        <is>
          <t>PRESTATION DE NETTOYAGE ET D'ENTRETIEN DES LOCAUX COMMUNAUX</t>
        </is>
      </c>
      <c r="F11" t="inlineStr">
        <is>
          <t>Commune de Saulx Les Chartreux</t>
        </is>
      </c>
      <c r="G11" t="inlineStr"/>
      <c r="H11" t="inlineStr">
        <is>
          <t>91,92,93,94</t>
        </is>
      </c>
      <c r="I11" t="inlineStr"/>
      <c r="J11" s="15" t="n">
        <v>46234</v>
      </c>
      <c r="K11" s="11" t="inlineStr">
        <is>
          <t>https://www.boamp.fr/pages/avis/?q=idweb:26-63201</t>
        </is>
      </c>
    </row>
    <row r="12">
      <c r="A12" t="n">
        <v>11</v>
      </c>
      <c r="B12" t="inlineStr">
        <is>
          <t>26-62837</t>
        </is>
      </c>
      <c r="C12" t="inlineStr">
        <is>
          <t>65</t>
        </is>
      </c>
      <c r="D12" s="13" t="inlineStr">
        <is>
          <t>CHAUD</t>
        </is>
      </c>
      <c r="E12" t="inlineStr">
        <is>
          <t>PRESTATION DE NETTOYAGE DES LOCAUX ET DE LA VITRERIE</t>
        </is>
      </c>
      <c r="F12" t="inlineStr">
        <is>
          <t>ENC-PSL</t>
        </is>
      </c>
      <c r="G12" t="inlineStr">
        <is>
          <t>Paris</t>
        </is>
      </c>
      <c r="H12" t="inlineStr">
        <is>
          <t>75</t>
        </is>
      </c>
      <c r="I12" s="14" t="n">
        <v>75002</v>
      </c>
      <c r="J12" s="15" t="n">
        <v>46227</v>
      </c>
      <c r="K12" s="11" t="inlineStr">
        <is>
          <t>https://www.boamp.fr/pages/avis/?q=idweb:26-62837</t>
        </is>
      </c>
    </row>
    <row r="13">
      <c r="A13" t="n">
        <v>12</v>
      </c>
      <c r="B13" t="inlineStr">
        <is>
          <t>26-62488</t>
        </is>
      </c>
      <c r="C13" t="inlineStr">
        <is>
          <t>65</t>
        </is>
      </c>
      <c r="D13" s="13" t="inlineStr">
        <is>
          <t>CHAUD</t>
        </is>
      </c>
      <c r="E13" t="inlineStr">
        <is>
          <t>Prestation de nettoyage des locaux et de la vitrerie</t>
        </is>
      </c>
      <c r="F13" t="inlineStr">
        <is>
          <t>ECOLE NATIONALE DES CHARTES</t>
        </is>
      </c>
      <c r="G13" t="inlineStr">
        <is>
          <t>Paris</t>
        </is>
      </c>
      <c r="H13" t="inlineStr">
        <is>
          <t>75,77,78,91,92,93,94,95</t>
        </is>
      </c>
      <c r="I13" t="inlineStr"/>
      <c r="J13" s="15" t="n">
        <v>46227</v>
      </c>
      <c r="K13" s="11" t="inlineStr">
        <is>
          <t>https://www.boamp.fr/pages/avis/?q=idweb:26-62488</t>
        </is>
      </c>
    </row>
    <row r="14">
      <c r="A14" t="n">
        <v>13</v>
      </c>
      <c r="B14" t="inlineStr">
        <is>
          <t>26-61263</t>
        </is>
      </c>
      <c r="C14" t="inlineStr">
        <is>
          <t>65</t>
        </is>
      </c>
      <c r="D14" s="13" t="inlineStr">
        <is>
          <t>CHAUD</t>
        </is>
      </c>
      <c r="E14" t="inlineStr">
        <is>
          <t>NETTOYAGE ET ENTRETIEN DES BATIMENTS COMMUNAUX</t>
        </is>
      </c>
      <c r="F14" t="inlineStr">
        <is>
          <t>MAIRIE DE MERIEL</t>
        </is>
      </c>
      <c r="G14" t="inlineStr"/>
      <c r="H14" t="inlineStr">
        <is>
          <t>95</t>
        </is>
      </c>
      <c r="I14" t="inlineStr"/>
      <c r="J14" s="15" t="n">
        <v>46227</v>
      </c>
      <c r="K14" s="11" t="inlineStr">
        <is>
          <t>https://www.boamp.fr/pages/avis/?q=idweb:26-61263</t>
        </is>
      </c>
    </row>
    <row r="15">
      <c r="A15" t="n">
        <v>14</v>
      </c>
      <c r="B15" t="inlineStr">
        <is>
          <t>26-60231</t>
        </is>
      </c>
      <c r="C15" t="inlineStr">
        <is>
          <t>65</t>
        </is>
      </c>
      <c r="D15" s="13" t="inlineStr">
        <is>
          <t>CHAUD</t>
        </is>
      </c>
      <c r="E15" t="inlineStr">
        <is>
          <t>Nettoyage des locaux communaux et des vitreries des bâtiments communaux</t>
        </is>
      </c>
      <c r="F15" t="inlineStr">
        <is>
          <t>Ville de Fontenay-aux-Roses</t>
        </is>
      </c>
      <c r="G15" t="inlineStr"/>
      <c r="H15" t="inlineStr">
        <is>
          <t>92</t>
        </is>
      </c>
      <c r="I15" t="inlineStr"/>
      <c r="J15" s="15" t="n">
        <v>46232</v>
      </c>
      <c r="K15" s="11" t="inlineStr">
        <is>
          <t>https://www.boamp.fr/pages/avis/?q=idweb:26-60231</t>
        </is>
      </c>
    </row>
    <row r="16">
      <c r="A16" t="n">
        <v>15</v>
      </c>
      <c r="B16" t="inlineStr">
        <is>
          <t>26-59493</t>
        </is>
      </c>
      <c r="C16" t="inlineStr">
        <is>
          <t>65</t>
        </is>
      </c>
      <c r="D16" s="13" t="inlineStr">
        <is>
          <t>CHAUD</t>
        </is>
      </c>
      <c r="E16" t="inlineStr">
        <is>
          <t>Prestations de nettoyage des locaux administratifs et des espaces ouverts au public des tours de la Cathédrale Notre-Dame de Paris</t>
        </is>
      </c>
      <c r="F16" t="inlineStr">
        <is>
          <t>Centre des Monuments Nationaux</t>
        </is>
      </c>
      <c r="G16" t="inlineStr"/>
      <c r="H16" t="inlineStr">
        <is>
          <t>75</t>
        </is>
      </c>
      <c r="I16" s="14" t="n">
        <v>85000</v>
      </c>
      <c r="J16" s="15" t="n">
        <v>46220</v>
      </c>
      <c r="K16" s="11" t="inlineStr">
        <is>
          <t>https://www.boamp.fr/pages/avis/?q=idweb:26-59493</t>
        </is>
      </c>
    </row>
    <row r="17">
      <c r="A17" t="n">
        <v>16</v>
      </c>
      <c r="B17" t="inlineStr">
        <is>
          <t>26-56367</t>
        </is>
      </c>
      <c r="C17" t="inlineStr">
        <is>
          <t>65</t>
        </is>
      </c>
      <c r="D17" s="13" t="inlineStr">
        <is>
          <t>CHAUD</t>
        </is>
      </c>
      <c r="E17" t="inlineStr">
        <is>
          <t>Prestations de nettoyage courant des locaux administratifs de Pantin Habitat</t>
        </is>
      </c>
      <c r="F17" t="inlineStr">
        <is>
          <t>Pantin Habitat</t>
        </is>
      </c>
      <c r="G17" t="inlineStr">
        <is>
          <t>Pantin cedex</t>
        </is>
      </c>
      <c r="H17" t="inlineStr">
        <is>
          <t>93,75,92,94</t>
        </is>
      </c>
      <c r="I17" s="14" t="n">
        <v>93697</v>
      </c>
      <c r="J17" s="15" t="n">
        <v>46211</v>
      </c>
      <c r="K17" s="11" t="inlineStr">
        <is>
          <t>https://www.boamp.fr/pages/avis/?q=idweb:26-56367</t>
        </is>
      </c>
    </row>
    <row r="18">
      <c r="A18" t="n">
        <v>17</v>
      </c>
      <c r="B18" t="inlineStr">
        <is>
          <t>26-55118</t>
        </is>
      </c>
      <c r="C18" t="inlineStr">
        <is>
          <t>65</t>
        </is>
      </c>
      <c r="D18" s="13" t="inlineStr">
        <is>
          <t>CHAUD</t>
        </is>
      </c>
      <c r="E18" t="inlineStr">
        <is>
          <t>Nettoyage des locaux des bâtiments de la commune de Châtillon (92320)</t>
        </is>
      </c>
      <c r="F18" t="inlineStr">
        <is>
          <t>Commune de CHATILLON</t>
        </is>
      </c>
      <c r="G18" t="inlineStr"/>
      <c r="H18" t="inlineStr">
        <is>
          <t>92</t>
        </is>
      </c>
      <c r="I18" t="inlineStr"/>
      <c r="J18" s="15" t="n">
        <v>46213</v>
      </c>
      <c r="K18" s="11" t="inlineStr">
        <is>
          <t>https://www.boamp.fr/pages/avis/?q=idweb:26-55118</t>
        </is>
      </c>
    </row>
    <row r="19">
      <c r="A19" t="n">
        <v>18</v>
      </c>
      <c r="B19" t="inlineStr">
        <is>
          <t>26-54753</t>
        </is>
      </c>
      <c r="C19" t="inlineStr">
        <is>
          <t>65</t>
        </is>
      </c>
      <c r="D19" s="13" t="inlineStr">
        <is>
          <t>CHAUD</t>
        </is>
      </c>
      <c r="E19" t="inlineStr">
        <is>
          <t>PRESTATIONS DE NETTOYAGE DE LA MAISON DES JEUNES ET DE LA MAISON DE L'ENFANCE ET DE LA FAMILLE DE LA COMMUNE BOISSY-SAINT-LEGER</t>
        </is>
      </c>
      <c r="F19" t="inlineStr">
        <is>
          <t>Mairie Boissy Saint Léger</t>
        </is>
      </c>
      <c r="G19" t="inlineStr"/>
      <c r="H19" t="inlineStr">
        <is>
          <t>94,95</t>
        </is>
      </c>
      <c r="I19" t="inlineStr"/>
      <c r="J19" s="15" t="n">
        <v>46213</v>
      </c>
      <c r="K19" s="11" t="inlineStr">
        <is>
          <t>https://www.boamp.fr/pages/avis/?q=idweb:26-54753</t>
        </is>
      </c>
    </row>
    <row r="20">
      <c r="A20" t="n">
        <v>19</v>
      </c>
      <c r="B20" t="inlineStr">
        <is>
          <t>26-64633</t>
        </is>
      </c>
      <c r="C20" t="inlineStr">
        <is>
          <t>60</t>
        </is>
      </c>
      <c r="D20" t="inlineStr">
        <is>
          <t>TIEDE</t>
        </is>
      </c>
      <c r="E20" t="inlineStr">
        <is>
          <t>Entretien des locaux municipaux de Villenoy</t>
        </is>
      </c>
      <c r="F20" t="inlineStr">
        <is>
          <t>Commune de Villenoy</t>
        </is>
      </c>
      <c r="G20" t="inlineStr"/>
      <c r="H20" t="inlineStr">
        <is>
          <t>77</t>
        </is>
      </c>
      <c r="I20" s="14" t="n">
        <v>200000</v>
      </c>
      <c r="J20" s="15" t="n">
        <v>46234</v>
      </c>
      <c r="K20" s="11" t="inlineStr">
        <is>
          <t>https://www.boamp.fr/pages/avis/?q=idweb:26-64633</t>
        </is>
      </c>
    </row>
    <row r="21">
      <c r="A21" t="n">
        <v>20</v>
      </c>
      <c r="B21" t="inlineStr">
        <is>
          <t>26-63220</t>
        </is>
      </c>
      <c r="C21" t="inlineStr">
        <is>
          <t>60</t>
        </is>
      </c>
      <c r="D21" t="inlineStr">
        <is>
          <t>TIEDE</t>
        </is>
      </c>
      <c r="E21" t="inlineStr">
        <is>
          <t>Prestations de propreté urbaine de la Ville de Choisy-le-Roi</t>
        </is>
      </c>
      <c r="F21" t="inlineStr">
        <is>
          <t>Mairie de Choisy-le-Roi</t>
        </is>
      </c>
      <c r="G21" t="inlineStr"/>
      <c r="H21" t="inlineStr">
        <is>
          <t>94,91</t>
        </is>
      </c>
      <c r="I21" t="inlineStr"/>
      <c r="J21" s="15" t="n">
        <v>46237</v>
      </c>
      <c r="K21" s="11" t="inlineStr">
        <is>
          <t>https://www.boamp.fr/pages/avis/?q=idweb:26-63220</t>
        </is>
      </c>
    </row>
  </sheetData>
  <hyperlinks>
    <hyperlink xmlns:r="http://schemas.openxmlformats.org/officeDocument/2006/relationships" ref="K2" r:id="rId1"/>
    <hyperlink xmlns:r="http://schemas.openxmlformats.org/officeDocument/2006/relationships" ref="K3" r:id="rId2"/>
    <hyperlink xmlns:r="http://schemas.openxmlformats.org/officeDocument/2006/relationships" ref="K4" r:id="rId3"/>
    <hyperlink xmlns:r="http://schemas.openxmlformats.org/officeDocument/2006/relationships" ref="K5" r:id="rId4"/>
    <hyperlink xmlns:r="http://schemas.openxmlformats.org/officeDocument/2006/relationships" ref="K6" r:id="rId5"/>
    <hyperlink xmlns:r="http://schemas.openxmlformats.org/officeDocument/2006/relationships" ref="K7" r:id="rId6"/>
    <hyperlink xmlns:r="http://schemas.openxmlformats.org/officeDocument/2006/relationships" ref="K8" r:id="rId7"/>
    <hyperlink xmlns:r="http://schemas.openxmlformats.org/officeDocument/2006/relationships" ref="K9" r:id="rId8"/>
    <hyperlink xmlns:r="http://schemas.openxmlformats.org/officeDocument/2006/relationships" ref="K10" r:id="rId9"/>
    <hyperlink xmlns:r="http://schemas.openxmlformats.org/officeDocument/2006/relationships" ref="K11" r:id="rId10"/>
    <hyperlink xmlns:r="http://schemas.openxmlformats.org/officeDocument/2006/relationships" ref="K12" r:id="rId11"/>
    <hyperlink xmlns:r="http://schemas.openxmlformats.org/officeDocument/2006/relationships" ref="K13" r:id="rId12"/>
    <hyperlink xmlns:r="http://schemas.openxmlformats.org/officeDocument/2006/relationships" ref="K14" r:id="rId13"/>
    <hyperlink xmlns:r="http://schemas.openxmlformats.org/officeDocument/2006/relationships" ref="K15" r:id="rId14"/>
    <hyperlink xmlns:r="http://schemas.openxmlformats.org/officeDocument/2006/relationships" ref="K16" r:id="rId15"/>
    <hyperlink xmlns:r="http://schemas.openxmlformats.org/officeDocument/2006/relationships" ref="K17" r:id="rId16"/>
    <hyperlink xmlns:r="http://schemas.openxmlformats.org/officeDocument/2006/relationships" ref="K18" r:id="rId17"/>
    <hyperlink xmlns:r="http://schemas.openxmlformats.org/officeDocument/2006/relationships" ref="K19" r:id="rId18"/>
    <hyperlink xmlns:r="http://schemas.openxmlformats.org/officeDocument/2006/relationships" ref="K20" r:id="rId19"/>
    <hyperlink xmlns:r="http://schemas.openxmlformats.org/officeDocument/2006/relationships" ref="K21" r:id="rId20"/>
  </hyperlinks>
  <pageMargins left="0.75" right="0.75" top="1" bottom="1" header="0.5" footer="0.5"/>
  <tableParts count="1">
    <tablePart xmlns:r="http://schemas.openxmlformats.org/officeDocument/2006/relationships" r:id="rId21"/>
  </tableParts>
</worksheet>
</file>

<file path=xl/worksheets/sheet3.xml><?xml version="1.0" encoding="utf-8"?>
<worksheet xmlns="http://schemas.openxmlformats.org/spreadsheetml/2006/main">
  <sheetPr>
    <outlinePr summaryBelow="1" summaryRight="1"/>
    <pageSetUpPr/>
  </sheetPr>
  <dimension ref="A1:N58"/>
  <sheetViews>
    <sheetView tabSelected="1" workbookViewId="0">
      <pane ySplit="1" topLeftCell="A2" activePane="bottomLeft" state="frozen"/>
      <selection pane="bottomLeft" activeCell="A1" sqref="A1"/>
    </sheetView>
  </sheetViews>
  <sheetFormatPr baseColWidth="10" defaultRowHeight="14.5"/>
  <cols>
    <col width="55" customWidth="1" min="1" max="1"/>
    <col width="55" customWidth="1" min="2" max="2"/>
    <col width="24" customWidth="1" min="3" max="3"/>
    <col width="13" customWidth="1" min="4" max="4"/>
    <col width="26" customWidth="1" min="5" max="5"/>
    <col width="13" customWidth="1" min="6" max="6"/>
    <col width="21" customWidth="1" min="7" max="7"/>
    <col width="27" customWidth="1" min="8" max="8"/>
    <col width="19" customWidth="1" min="9" max="9"/>
    <col width="55" customWidth="1" min="10" max="10"/>
    <col width="51" customWidth="1" min="11" max="11"/>
    <col width="10" customWidth="1" min="12" max="12"/>
    <col width="10" customWidth="1" min="13" max="13"/>
    <col width="10" customWidth="1" min="14" max="14"/>
  </cols>
  <sheetData>
    <row r="1">
      <c r="A1" s="12" t="inlineStr">
        <is>
          <t>Objet de l'AO</t>
        </is>
      </c>
      <c r="B1" s="12" t="inlineStr">
        <is>
          <t>Acheteur</t>
        </is>
      </c>
      <c r="C1" s="12" t="inlineStr">
        <is>
          <t>Secteur</t>
        </is>
      </c>
      <c r="D1" s="12" t="inlineStr">
        <is>
          <t>Catégorie</t>
        </is>
      </c>
      <c r="E1" s="12" t="inlineStr">
        <is>
          <t>Ville</t>
        </is>
      </c>
      <c r="F1" s="12" t="inlineStr">
        <is>
          <t>Département</t>
        </is>
      </c>
      <c r="G1" s="12" t="inlineStr">
        <is>
          <t>Date de publication</t>
        </is>
      </c>
      <c r="H1" s="12" t="inlineStr">
        <is>
          <t>Date limite de réponse</t>
        </is>
      </c>
      <c r="I1" s="12" t="inlineStr">
        <is>
          <t>Budget estimé (€)</t>
        </is>
      </c>
      <c r="J1" s="12" t="inlineStr">
        <is>
          <t>Lien DCE</t>
        </is>
      </c>
      <c r="K1" s="12" t="inlineStr">
        <is>
          <t>Lien avis BOAMP</t>
        </is>
      </c>
      <c r="L1" s="12" t="inlineStr">
        <is>
          <t>Priorité</t>
        </is>
      </c>
      <c r="M1" s="12" t="inlineStr">
        <is>
          <t>Score</t>
        </is>
      </c>
      <c r="N1" s="12" t="inlineStr">
        <is>
          <t>id_ao</t>
        </is>
      </c>
    </row>
    <row r="2">
      <c r="A2" t="inlineStr">
        <is>
          <t>Accord cadre de missions de formation de lutte contre la discrimination et de lutte contre les violences sexistes et sexuelles à destination du tissu associatif en deux lots séparés.</t>
        </is>
      </c>
      <c r="B2" t="inlineStr">
        <is>
          <t>VILLE de PARIS - DFA - SDA</t>
        </is>
      </c>
      <c r="C2" t="inlineStr">
        <is>
          <t>Mairie</t>
        </is>
      </c>
      <c r="D2" t="inlineStr">
        <is>
          <t>Batiments</t>
        </is>
      </c>
      <c r="E2" t="inlineStr"/>
      <c r="F2" t="inlineStr"/>
      <c r="G2" t="inlineStr">
        <is>
          <t>2026-06-28</t>
        </is>
      </c>
      <c r="H2" t="inlineStr">
        <is>
          <t>2026-09-15T10:00:00+00:00</t>
        </is>
      </c>
      <c r="I2" t="inlineStr">
        <is>
          <t>40000</t>
        </is>
      </c>
      <c r="J2" t="inlineStr">
        <is>
          <t>https://marches.maximilien.fr/entreprise/consultation/939575?orgAcronyme=r8t</t>
        </is>
      </c>
      <c r="K2" t="inlineStr">
        <is>
          <t>https://www.boamp.fr/pages/avis/?q=idweb:26-63741</t>
        </is>
      </c>
      <c r="L2" t="inlineStr">
        <is>
          <t>CHAUD</t>
        </is>
      </c>
      <c r="M2" t="inlineStr">
        <is>
          <t>95</t>
        </is>
      </c>
      <c r="N2" t="inlineStr">
        <is>
          <t>26-63741</t>
        </is>
      </c>
    </row>
    <row r="3">
      <c r="A3" t="inlineStr">
        <is>
          <t>Nettoyage des vitres et entretien des bâtiments communaux (Administratifs, Culturels, Scolaires, Sportifs et Autres)</t>
        </is>
      </c>
      <c r="B3" t="inlineStr">
        <is>
          <t>MAIRIE DES LILAS</t>
        </is>
      </c>
      <c r="C3" t="inlineStr">
        <is>
          <t>Mairie</t>
        </is>
      </c>
      <c r="D3" t="inlineStr">
        <is>
          <t>Vitres</t>
        </is>
      </c>
      <c r="E3" t="inlineStr"/>
      <c r="F3" t="inlineStr"/>
      <c r="G3" t="inlineStr">
        <is>
          <t>2026-06-14</t>
        </is>
      </c>
      <c r="H3" t="inlineStr">
        <is>
          <t>2026-07-13T10:00:00+00:00</t>
        </is>
      </c>
      <c r="I3" t="inlineStr">
        <is>
          <t>5500</t>
        </is>
      </c>
      <c r="J3" t="inlineStr">
        <is>
          <t>http://agysoft.marches-publics.info/</t>
        </is>
      </c>
      <c r="K3" t="inlineStr">
        <is>
          <t>https://www.boamp.fr/pages/avis/?q=idweb:26-58680</t>
        </is>
      </c>
      <c r="L3" t="inlineStr">
        <is>
          <t>CHAUD</t>
        </is>
      </c>
      <c r="M3" t="inlineStr">
        <is>
          <t>80</t>
        </is>
      </c>
      <c r="N3" t="inlineStr">
        <is>
          <t>26-58680</t>
        </is>
      </c>
    </row>
    <row r="4">
      <c r="A4" t="inlineStr">
        <is>
          <t>Restauration de monuments funéraires et de statues pour la ville d'Asnières-sur-Seine</t>
        </is>
      </c>
      <c r="B4" t="inlineStr">
        <is>
          <t>Mairie d'Asnières sur Seine</t>
        </is>
      </c>
      <c r="C4" t="inlineStr">
        <is>
          <t>Mairie</t>
        </is>
      </c>
      <c r="D4" t="inlineStr">
        <is>
          <t>Batiments</t>
        </is>
      </c>
      <c r="E4" t="inlineStr">
        <is>
          <t>Asnières sur seine</t>
        </is>
      </c>
      <c r="F4" t="inlineStr"/>
      <c r="G4" t="inlineStr">
        <is>
          <t>2026-07-03</t>
        </is>
      </c>
      <c r="H4" t="inlineStr">
        <is>
          <t>2026-07-31T12:00:00+00:00</t>
        </is>
      </c>
      <c r="I4" t="inlineStr">
        <is>
          <t>92600.0</t>
        </is>
      </c>
      <c r="J4" t="inlineStr">
        <is>
          <t>https://www.achatpublic.com/sdm/ent/gen/ent_detail.do?PCSLID=CSL_2026_a6SYMMMQ2m</t>
        </is>
      </c>
      <c r="K4" t="inlineStr">
        <is>
          <t>https://www.boamp.fr/pages/avis/?q=idweb:26-66091</t>
        </is>
      </c>
      <c r="L4" t="inlineStr">
        <is>
          <t>CHAUD</t>
        </is>
      </c>
      <c r="M4" t="inlineStr">
        <is>
          <t>75</t>
        </is>
      </c>
      <c r="N4" t="inlineStr">
        <is>
          <t>26-66091</t>
        </is>
      </c>
    </row>
    <row r="5">
      <c r="A5" t="inlineStr">
        <is>
          <t>FOURNITURE D'EQUIPEMENTS, PRODUITS D'ENTRETIEN ET HACCP AU PROFIT DE LA VILLE ET DU CCAS DE LONGJUMEAU (2ème procédure)</t>
        </is>
      </c>
      <c r="B5" t="inlineStr">
        <is>
          <t>Ville de Longjumeau</t>
        </is>
      </c>
      <c r="C5" t="inlineStr">
        <is>
          <t>Mairie</t>
        </is>
      </c>
      <c r="D5" t="inlineStr">
        <is>
          <t>Batiments</t>
        </is>
      </c>
      <c r="E5" t="inlineStr"/>
      <c r="F5" t="inlineStr"/>
      <c r="G5" t="inlineStr">
        <is>
          <t>2026-06-20</t>
        </is>
      </c>
      <c r="H5" t="inlineStr">
        <is>
          <t>2026-07-28T14:00:00+00:00</t>
        </is>
      </c>
      <c r="I5" t="inlineStr">
        <is>
          <t>70000</t>
        </is>
      </c>
      <c r="J5" t="inlineStr">
        <is>
          <t>http://longjumeau.e-marchespublics.com</t>
        </is>
      </c>
      <c r="K5" t="inlineStr">
        <is>
          <t>https://www.boamp.fr/pages/avis/?q=idweb:26-60739</t>
        </is>
      </c>
      <c r="L5" t="inlineStr">
        <is>
          <t>CHAUD</t>
        </is>
      </c>
      <c r="M5" t="inlineStr">
        <is>
          <t>75</t>
        </is>
      </c>
      <c r="N5" t="inlineStr">
        <is>
          <t>26-60739</t>
        </is>
      </c>
    </row>
    <row r="6">
      <c r="A6" t="inlineStr">
        <is>
          <t>Prestations de nettoyage de certains équipements de protection individuelle (EPI) et vêtements de travail professionnels</t>
        </is>
      </c>
      <c r="B6" t="inlineStr">
        <is>
          <t>MAIRIE DE ROMAINVILLE</t>
        </is>
      </c>
      <c r="C6" t="inlineStr">
        <is>
          <t>Mairie</t>
        </is>
      </c>
      <c r="D6" t="inlineStr">
        <is>
          <t>Mixte/Autre</t>
        </is>
      </c>
      <c r="E6" t="inlineStr">
        <is>
          <t>Romainville</t>
        </is>
      </c>
      <c r="F6" t="inlineStr"/>
      <c r="G6" t="inlineStr">
        <is>
          <t>2026-06-10</t>
        </is>
      </c>
      <c r="H6" t="inlineStr">
        <is>
          <t>2026-07-10T12:56:00+00:00</t>
        </is>
      </c>
      <c r="I6" t="inlineStr">
        <is>
          <t>93230.0</t>
        </is>
      </c>
      <c r="J6" t="inlineStr">
        <is>
          <t>https://www.achatpublic.com/sdm/ent/gen/ent_detail.do?PCSLID=CSL_2026_XmI0UKhCKV</t>
        </is>
      </c>
      <c r="K6" t="inlineStr">
        <is>
          <t>https://www.boamp.fr/pages/avis/?q=idweb:26-57399</t>
        </is>
      </c>
      <c r="L6" t="inlineStr">
        <is>
          <t>CHAUD</t>
        </is>
      </c>
      <c r="M6" t="inlineStr">
        <is>
          <t>70</t>
        </is>
      </c>
      <c r="N6" t="inlineStr">
        <is>
          <t>26-57399</t>
        </is>
      </c>
    </row>
    <row r="7">
      <c r="A7" t="inlineStr">
        <is>
          <t>Prestations de bio-nettoyage, mise à blanc et mise à gris des zones à atmosphère contrôlée au profit du CTSA et de l'UMTI</t>
        </is>
      </c>
      <c r="B7" t="inlineStr">
        <is>
          <t>DAPSA/PFAF-S</t>
        </is>
      </c>
      <c r="C7" t="inlineStr">
        <is>
          <t>Autre</t>
        </is>
      </c>
      <c r="D7" t="inlineStr">
        <is>
          <t>Batiments</t>
        </is>
      </c>
      <c r="E7" t="inlineStr">
        <is>
          <t>FLEURY-LES-AUBRAIS CEDEX</t>
        </is>
      </c>
      <c r="F7" t="inlineStr"/>
      <c r="G7" t="inlineStr">
        <is>
          <t>2026-06-09</t>
        </is>
      </c>
      <c r="H7" t="inlineStr">
        <is>
          <t>2026-07-28T11:00:00+00:00</t>
        </is>
      </c>
      <c r="I7" t="inlineStr"/>
      <c r="J7" t="inlineStr">
        <is>
          <t>https://www.marches-publics.gouv.fr/entreprise</t>
        </is>
      </c>
      <c r="K7" t="inlineStr">
        <is>
          <t>https://www.boamp.fr/pages/avis/?q=idweb:26-56654</t>
        </is>
      </c>
      <c r="L7" t="inlineStr">
        <is>
          <t>CHAUD</t>
        </is>
      </c>
      <c r="M7" t="inlineStr">
        <is>
          <t>70</t>
        </is>
      </c>
      <c r="N7" t="inlineStr">
        <is>
          <t>26-56654</t>
        </is>
      </c>
    </row>
    <row r="8">
      <c r="A8" t="inlineStr">
        <is>
          <t>Accord-cadre relatif à la maintenance préventive et corrective des aires de jeux de la Ville</t>
        </is>
      </c>
      <c r="B8" t="inlineStr">
        <is>
          <t>Mairie de Mantes La Jolie</t>
        </is>
      </c>
      <c r="C8" t="inlineStr">
        <is>
          <t>Mairie</t>
        </is>
      </c>
      <c r="D8" t="inlineStr">
        <is>
          <t>Mixte/Autre</t>
        </is>
      </c>
      <c r="E8" t="inlineStr"/>
      <c r="F8" t="inlineStr"/>
      <c r="G8" t="inlineStr">
        <is>
          <t>2026-06-03</t>
        </is>
      </c>
      <c r="H8" t="inlineStr">
        <is>
          <t>2026-07-08T10:00:00+00:00</t>
        </is>
      </c>
      <c r="I8" t="inlineStr">
        <is>
          <t>100000.0</t>
        </is>
      </c>
      <c r="J8" t="inlineStr">
        <is>
          <t>https://www.achatpublic.com/sdm/ent/gen/ent_detail.do?PCSLID=CSL_2026_yXczYwEh1y</t>
        </is>
      </c>
      <c r="K8" t="inlineStr">
        <is>
          <t>https://www.boamp.fr/pages/avis/?q=idweb:26-54018</t>
        </is>
      </c>
      <c r="L8" t="inlineStr">
        <is>
          <t>CHAUD</t>
        </is>
      </c>
      <c r="M8" t="inlineStr">
        <is>
          <t>70</t>
        </is>
      </c>
      <c r="N8" t="inlineStr">
        <is>
          <t>26-54018</t>
        </is>
      </c>
    </row>
    <row r="9">
      <c r="A9" t="inlineStr">
        <is>
          <t>Prestations de nettoyage des locaux</t>
        </is>
      </c>
      <c r="B9" t="inlineStr">
        <is>
          <t>Commune de Montfermeil</t>
        </is>
      </c>
      <c r="C9" t="inlineStr">
        <is>
          <t>Mairie</t>
        </is>
      </c>
      <c r="D9" t="inlineStr">
        <is>
          <t>Batiments</t>
        </is>
      </c>
      <c r="E9" t="inlineStr"/>
      <c r="F9" t="inlineStr"/>
      <c r="G9" t="inlineStr">
        <is>
          <t>2026-07-01</t>
        </is>
      </c>
      <c r="H9" t="inlineStr">
        <is>
          <t>2026-08-03T15:00:00+00:00</t>
        </is>
      </c>
      <c r="I9" t="inlineStr"/>
      <c r="J9" t="inlineStr">
        <is>
          <t>https://marches.maximilien.fr/?page=Entreprise.EntrepriseAdvancedSearch&amp;AllCons&amp;id=933515&amp;orgAcronyme=y0w</t>
        </is>
      </c>
      <c r="K9" t="inlineStr">
        <is>
          <t>https://www.boamp.fr/pages/avis/?q=idweb:26-64286</t>
        </is>
      </c>
      <c r="L9" t="inlineStr">
        <is>
          <t>CHAUD</t>
        </is>
      </c>
      <c r="M9" t="inlineStr">
        <is>
          <t>65</t>
        </is>
      </c>
      <c r="N9" t="inlineStr">
        <is>
          <t>26-64286</t>
        </is>
      </c>
    </row>
    <row r="10">
      <c r="A10" t="inlineStr">
        <is>
          <t>NETTOYAGE DES BÂTIMENTS COMMUNAUX</t>
        </is>
      </c>
      <c r="B10" t="inlineStr">
        <is>
          <t>MAIRIE DE SAINT-CLAIR-SUR6epte</t>
        </is>
      </c>
      <c r="C10" t="inlineStr">
        <is>
          <t>Mairie</t>
        </is>
      </c>
      <c r="D10" t="inlineStr">
        <is>
          <t>Batiments</t>
        </is>
      </c>
      <c r="E10" t="inlineStr"/>
      <c r="F10" t="inlineStr"/>
      <c r="G10" t="inlineStr">
        <is>
          <t>2026-06-28</t>
        </is>
      </c>
      <c r="H10" t="inlineStr">
        <is>
          <t>2026-09-11T10:00:00+00:00</t>
        </is>
      </c>
      <c r="I10" t="inlineStr"/>
      <c r="J10" t="inlineStr">
        <is>
          <t>https://marches.maximilien.fr/entreprise/consultation/942071?orgAcronyme=d8o</t>
        </is>
      </c>
      <c r="K10" t="inlineStr">
        <is>
          <t>https://www.boamp.fr/pages/avis/?q=idweb:26-63518</t>
        </is>
      </c>
      <c r="L10" t="inlineStr">
        <is>
          <t>CHAUD</t>
        </is>
      </c>
      <c r="M10" t="inlineStr">
        <is>
          <t>65</t>
        </is>
      </c>
      <c r="N10" t="inlineStr">
        <is>
          <t>26-63518</t>
        </is>
      </c>
    </row>
    <row r="11">
      <c r="A11" t="inlineStr">
        <is>
          <t>PRESTATION DE NETTOYAGE ET D'ENTRETIEN DES LOCAUX COMMUNAUX</t>
        </is>
      </c>
      <c r="B11" t="inlineStr">
        <is>
          <t>Commune de Saulx Les Chartreux</t>
        </is>
      </c>
      <c r="C11" t="inlineStr">
        <is>
          <t>Mairie</t>
        </is>
      </c>
      <c r="D11" t="inlineStr">
        <is>
          <t>Batiments</t>
        </is>
      </c>
      <c r="E11" t="inlineStr"/>
      <c r="F11" t="inlineStr"/>
      <c r="G11" t="inlineStr">
        <is>
          <t>2026-06-27</t>
        </is>
      </c>
      <c r="H11" t="inlineStr">
        <is>
          <t>2026-07-31T10:30:00+00:00</t>
        </is>
      </c>
      <c r="I11" t="inlineStr"/>
      <c r="J11" t="inlineStr">
        <is>
          <t>https://www.achatpublic.com/sdm/ent/gen/ent_detail.do?PCSLID=CSL_2026_-rboFCvnvk</t>
        </is>
      </c>
      <c r="K11" t="inlineStr">
        <is>
          <t>https://www.boamp.fr/pages/avis/?q=idweb:26-63201</t>
        </is>
      </c>
      <c r="L11" t="inlineStr">
        <is>
          <t>CHAUD</t>
        </is>
      </c>
      <c r="M11" t="inlineStr">
        <is>
          <t>65</t>
        </is>
      </c>
      <c r="N11" t="inlineStr">
        <is>
          <t>26-63201</t>
        </is>
      </c>
    </row>
    <row r="12">
      <c r="A12" t="inlineStr">
        <is>
          <t>PRESTATION DE NETTOYAGE DES LOCAUX ET DE LA VITRERIE</t>
        </is>
      </c>
      <c r="B12" t="inlineStr">
        <is>
          <t>ENC-PSL</t>
        </is>
      </c>
      <c r="C12" t="inlineStr">
        <is>
          <t>Autre</t>
        </is>
      </c>
      <c r="D12" t="inlineStr">
        <is>
          <t>Vitres</t>
        </is>
      </c>
      <c r="E12" t="inlineStr">
        <is>
          <t>Paris</t>
        </is>
      </c>
      <c r="F12" t="inlineStr"/>
      <c r="G12" t="inlineStr">
        <is>
          <t>2026-06-25</t>
        </is>
      </c>
      <c r="H12" t="inlineStr">
        <is>
          <t>2026-07-24T12:00:00+00:00</t>
        </is>
      </c>
      <c r="I12" t="inlineStr">
        <is>
          <t>75002.0</t>
        </is>
      </c>
      <c r="J12" t="inlineStr">
        <is>
          <t>https://www.marches-publics.gouv.fr/entreprise/consultation/3025739?orgAcronyme=f2h</t>
        </is>
      </c>
      <c r="K12" t="inlineStr">
        <is>
          <t>https://www.boamp.fr/pages/avis/?q=idweb:26-62837</t>
        </is>
      </c>
      <c r="L12" t="inlineStr">
        <is>
          <t>CHAUD</t>
        </is>
      </c>
      <c r="M12" t="inlineStr">
        <is>
          <t>65</t>
        </is>
      </c>
      <c r="N12" t="inlineStr">
        <is>
          <t>26-62837</t>
        </is>
      </c>
    </row>
    <row r="13">
      <c r="A13" t="inlineStr">
        <is>
          <t>Prestation de nettoyage des locaux et de la vitrerie</t>
        </is>
      </c>
      <c r="B13" t="inlineStr">
        <is>
          <t>ECOLE NATIONALE DES CHARTES</t>
        </is>
      </c>
      <c r="C13" t="inlineStr">
        <is>
          <t>Ecole</t>
        </is>
      </c>
      <c r="D13" t="inlineStr">
        <is>
          <t>Vitres</t>
        </is>
      </c>
      <c r="E13" t="inlineStr">
        <is>
          <t>Paris</t>
        </is>
      </c>
      <c r="F13" t="inlineStr"/>
      <c r="G13" t="inlineStr">
        <is>
          <t>2026-06-24</t>
        </is>
      </c>
      <c r="H13" t="inlineStr">
        <is>
          <t>2026-07-24T12:00:00+00:00</t>
        </is>
      </c>
      <c r="I13" t="inlineStr"/>
      <c r="J13" t="inlineStr"/>
      <c r="K13" t="inlineStr">
        <is>
          <t>https://www.boamp.fr/pages/avis/?q=idweb:26-62488</t>
        </is>
      </c>
      <c r="L13" t="inlineStr">
        <is>
          <t>CHAUD</t>
        </is>
      </c>
      <c r="M13" t="inlineStr">
        <is>
          <t>65</t>
        </is>
      </c>
      <c r="N13" t="inlineStr">
        <is>
          <t>26-62488</t>
        </is>
      </c>
    </row>
    <row r="14">
      <c r="A14" t="inlineStr">
        <is>
          <t>NETTOYAGE ET ENTRETIEN DES BATIMENTS COMMUNAUX</t>
        </is>
      </c>
      <c r="B14" t="inlineStr">
        <is>
          <t>MAIRIE DE MERIEL</t>
        </is>
      </c>
      <c r="C14" t="inlineStr">
        <is>
          <t>Mairie</t>
        </is>
      </c>
      <c r="D14" t="inlineStr">
        <is>
          <t>Vitres</t>
        </is>
      </c>
      <c r="E14" t="inlineStr"/>
      <c r="F14" t="inlineStr"/>
      <c r="G14" t="inlineStr">
        <is>
          <t>2026-06-21</t>
        </is>
      </c>
      <c r="H14" t="inlineStr">
        <is>
          <t>2026-07-24T10:00:00+00:00</t>
        </is>
      </c>
      <c r="I14" t="inlineStr"/>
      <c r="J14" t="inlineStr">
        <is>
          <t>https://www.maximilien.fr</t>
        </is>
      </c>
      <c r="K14" t="inlineStr">
        <is>
          <t>https://www.boamp.fr/pages/avis/?q=idweb:26-61263</t>
        </is>
      </c>
      <c r="L14" t="inlineStr">
        <is>
          <t>CHAUD</t>
        </is>
      </c>
      <c r="M14" t="inlineStr">
        <is>
          <t>65</t>
        </is>
      </c>
      <c r="N14" t="inlineStr">
        <is>
          <t>26-61263</t>
        </is>
      </c>
    </row>
    <row r="15">
      <c r="A15" t="inlineStr">
        <is>
          <t>Nettoyage des locaux communaux et des vitreries des bâtiments communaux</t>
        </is>
      </c>
      <c r="B15" t="inlineStr">
        <is>
          <t>Ville de Fontenay-aux-Roses</t>
        </is>
      </c>
      <c r="C15" t="inlineStr">
        <is>
          <t>Mairie</t>
        </is>
      </c>
      <c r="D15" t="inlineStr">
        <is>
          <t>Vitres</t>
        </is>
      </c>
      <c r="E15" t="inlineStr"/>
      <c r="F15" t="inlineStr"/>
      <c r="G15" t="inlineStr">
        <is>
          <t>2026-06-19</t>
        </is>
      </c>
      <c r="H15" t="inlineStr">
        <is>
          <t>2026-07-29T13:00:00+00:00</t>
        </is>
      </c>
      <c r="I15" t="inlineStr"/>
      <c r="J15" t="inlineStr">
        <is>
          <t>https://www.marches-publics.info/accueil.htm</t>
        </is>
      </c>
      <c r="K15" t="inlineStr">
        <is>
          <t>https://www.boamp.fr/pages/avis/?q=idweb:26-60231</t>
        </is>
      </c>
      <c r="L15" t="inlineStr">
        <is>
          <t>CHAUD</t>
        </is>
      </c>
      <c r="M15" t="inlineStr">
        <is>
          <t>65</t>
        </is>
      </c>
      <c r="N15" t="inlineStr">
        <is>
          <t>26-60231</t>
        </is>
      </c>
    </row>
    <row r="16">
      <c r="A16" t="inlineStr">
        <is>
          <t>Prestations de nettoyage des locaux administratifs et des espaces ouverts au public des tours de la Cathédrale Notre-Dame de Paris</t>
        </is>
      </c>
      <c r="B16" t="inlineStr">
        <is>
          <t>Centre des Monuments Nationaux</t>
        </is>
      </c>
      <c r="C16" t="inlineStr">
        <is>
          <t>Autre</t>
        </is>
      </c>
      <c r="D16" t="inlineStr">
        <is>
          <t>Batiments</t>
        </is>
      </c>
      <c r="E16" t="inlineStr"/>
      <c r="F16" t="inlineStr"/>
      <c r="G16" t="inlineStr">
        <is>
          <t>2026-06-17</t>
        </is>
      </c>
      <c r="H16" t="inlineStr">
        <is>
          <t>2026-07-17T12:00:00+00:00</t>
        </is>
      </c>
      <c r="I16" t="inlineStr">
        <is>
          <t>85000</t>
        </is>
      </c>
      <c r="J16" t="inlineStr">
        <is>
          <t>https://www.marches-publics.gouv.fr/?page=Entreprise.EntrepriseAdvancedSearch&amp;AllCons&amp;id=2577066&amp;orgAcronyme=f5j</t>
        </is>
      </c>
      <c r="K16" t="inlineStr">
        <is>
          <t>https://www.boamp.fr/pages/avis/?q=idweb:26-59493</t>
        </is>
      </c>
      <c r="L16" t="inlineStr">
        <is>
          <t>CHAUD</t>
        </is>
      </c>
      <c r="M16" t="inlineStr">
        <is>
          <t>65</t>
        </is>
      </c>
      <c r="N16" t="inlineStr">
        <is>
          <t>26-59493</t>
        </is>
      </c>
    </row>
    <row r="17">
      <c r="A17" t="inlineStr">
        <is>
          <t>Prestations de nettoyage courant des locaux administratifs de Pantin Habitat</t>
        </is>
      </c>
      <c r="B17" t="inlineStr">
        <is>
          <t>Pantin Habitat</t>
        </is>
      </c>
      <c r="C17" t="inlineStr">
        <is>
          <t>Autre</t>
        </is>
      </c>
      <c r="D17" t="inlineStr">
        <is>
          <t>Vitres</t>
        </is>
      </c>
      <c r="E17" t="inlineStr">
        <is>
          <t>Pantin cedex</t>
        </is>
      </c>
      <c r="F17" t="inlineStr"/>
      <c r="G17" t="inlineStr">
        <is>
          <t>2026-06-08</t>
        </is>
      </c>
      <c r="H17" t="inlineStr">
        <is>
          <t>2026-07-08T12:00:00+00:00</t>
        </is>
      </c>
      <c r="I17" t="inlineStr">
        <is>
          <t>93697.0</t>
        </is>
      </c>
      <c r="J17" t="inlineStr">
        <is>
          <t>https://www.achatpublic.com/sdm/ent/gen/ent_detail.do?PCSLID=CSL_2026_KUKPQ4kzgA</t>
        </is>
      </c>
      <c r="K17" t="inlineStr">
        <is>
          <t>https://www.boamp.fr/pages/avis/?q=idweb:26-56367</t>
        </is>
      </c>
      <c r="L17" t="inlineStr">
        <is>
          <t>CHAUD</t>
        </is>
      </c>
      <c r="M17" t="inlineStr">
        <is>
          <t>65</t>
        </is>
      </c>
      <c r="N17" t="inlineStr">
        <is>
          <t>26-56367</t>
        </is>
      </c>
    </row>
    <row r="18">
      <c r="A18" t="inlineStr">
        <is>
          <t>Nettoyage des locaux des bâtiments de la commune de Châtillon (92320)</t>
        </is>
      </c>
      <c r="B18" t="inlineStr">
        <is>
          <t>Commune de CHATILLON</t>
        </is>
      </c>
      <c r="C18" t="inlineStr">
        <is>
          <t>Mairie</t>
        </is>
      </c>
      <c r="D18" t="inlineStr">
        <is>
          <t>Batiments</t>
        </is>
      </c>
      <c r="E18" t="inlineStr"/>
      <c r="F18" t="inlineStr"/>
      <c r="G18" t="inlineStr">
        <is>
          <t>2026-06-06</t>
        </is>
      </c>
      <c r="H18" t="inlineStr">
        <is>
          <t>2026-07-10T09:00:00+00:00</t>
        </is>
      </c>
      <c r="I18" t="inlineStr"/>
      <c r="J18" t="inlineStr">
        <is>
          <t>https://www.marches-publics.info</t>
        </is>
      </c>
      <c r="K18" t="inlineStr">
        <is>
          <t>https://www.boamp.fr/pages/avis/?q=idweb:26-55118</t>
        </is>
      </c>
      <c r="L18" t="inlineStr">
        <is>
          <t>CHAUD</t>
        </is>
      </c>
      <c r="M18" t="inlineStr">
        <is>
          <t>65</t>
        </is>
      </c>
      <c r="N18" t="inlineStr">
        <is>
          <t>26-55118</t>
        </is>
      </c>
    </row>
    <row r="19">
      <c r="A19" t="inlineStr">
        <is>
          <t>PRESTATIONS DE NETTOYAGE DE LA MAISON DES JEUNES ET DE LA MAISON DE L'ENFANCE ET DE LA FAMILLE DE LA COMMUNE BOISSY-SAINT-LEGER</t>
        </is>
      </c>
      <c r="B19" t="inlineStr">
        <is>
          <t>Mairie Boissy Saint Léger</t>
        </is>
      </c>
      <c r="C19" t="inlineStr">
        <is>
          <t>Mairie</t>
        </is>
      </c>
      <c r="D19" t="inlineStr">
        <is>
          <t>Batiments</t>
        </is>
      </c>
      <c r="E19" t="inlineStr"/>
      <c r="F19" t="inlineStr"/>
      <c r="G19" t="inlineStr">
        <is>
          <t>2026-06-05</t>
        </is>
      </c>
      <c r="H19" t="inlineStr">
        <is>
          <t>2026-07-10T10:00:00+00:00</t>
        </is>
      </c>
      <c r="I19" t="inlineStr"/>
      <c r="J19" t="inlineStr">
        <is>
          <t>https://www.achatpublic.com/sdm/ent/gen/ent_detail.do?PCSLID=CSL_2026_Q0MbHTHdpI</t>
        </is>
      </c>
      <c r="K19" t="inlineStr">
        <is>
          <t>https://www.boamp.fr/pages/avis/?q=idweb:26-54753</t>
        </is>
      </c>
      <c r="L19" t="inlineStr">
        <is>
          <t>CHAUD</t>
        </is>
      </c>
      <c r="M19" t="inlineStr">
        <is>
          <t>65</t>
        </is>
      </c>
      <c r="N19" t="inlineStr">
        <is>
          <t>26-54753</t>
        </is>
      </c>
    </row>
    <row r="20">
      <c r="A20" t="inlineStr">
        <is>
          <t>ACCORD-CADRE DE PRESTATIONS D'ENTRETIEN DES INSTALLATIONS D'ASSAINISSSMENT DES PARCS DE STATIONNEMENT DE LA SPL LEVAPARC A LEVALLOIS-PERRET</t>
        </is>
      </c>
      <c r="B20" t="inlineStr">
        <is>
          <t>SPL LEVAPARC</t>
        </is>
      </c>
      <c r="C20" t="inlineStr">
        <is>
          <t>Autre</t>
        </is>
      </c>
      <c r="D20" t="inlineStr">
        <is>
          <t>Batiments</t>
        </is>
      </c>
      <c r="E20" t="inlineStr"/>
      <c r="F20" t="inlineStr"/>
      <c r="G20" t="inlineStr">
        <is>
          <t>2026-06-03</t>
        </is>
      </c>
      <c r="H20" t="inlineStr">
        <is>
          <t>2026-07-03T10:00:00+00:00</t>
        </is>
      </c>
      <c r="I20" t="inlineStr">
        <is>
          <t>100000.0</t>
        </is>
      </c>
      <c r="J20" t="inlineStr">
        <is>
          <t>https://www.marches-publics.info</t>
        </is>
      </c>
      <c r="K20" t="inlineStr">
        <is>
          <t>https://www.boamp.fr/pages/avis/?q=idweb:26-53819</t>
        </is>
      </c>
      <c r="L20" t="inlineStr">
        <is>
          <t>CHAUD</t>
        </is>
      </c>
      <c r="M20" t="inlineStr">
        <is>
          <t>65</t>
        </is>
      </c>
      <c r="N20" t="inlineStr">
        <is>
          <t>26-53819</t>
        </is>
      </c>
    </row>
    <row r="21">
      <c r="A21" t="inlineStr">
        <is>
          <t>Entretien des locaux municipaux de Villenoy</t>
        </is>
      </c>
      <c r="B21" t="inlineStr">
        <is>
          <t>Commune de Villenoy</t>
        </is>
      </c>
      <c r="C21" t="inlineStr">
        <is>
          <t>Mairie</t>
        </is>
      </c>
      <c r="D21" t="inlineStr">
        <is>
          <t>Batiments</t>
        </is>
      </c>
      <c r="E21" t="inlineStr"/>
      <c r="F21" t="inlineStr"/>
      <c r="G21" t="inlineStr">
        <is>
          <t>2026-07-01</t>
        </is>
      </c>
      <c r="H21" t="inlineStr">
        <is>
          <t>2026-07-31T10:00:00+00:00</t>
        </is>
      </c>
      <c r="I21" t="inlineStr">
        <is>
          <t>200000.0</t>
        </is>
      </c>
      <c r="J21" t="inlineStr">
        <is>
          <t>https://marches.maximilien.fr/entreprise/consultation/942278?orgAcronyme=a4n</t>
        </is>
      </c>
      <c r="K21" t="inlineStr">
        <is>
          <t>https://www.boamp.fr/pages/avis/?q=idweb:26-64633</t>
        </is>
      </c>
      <c r="L21" t="inlineStr">
        <is>
          <t>TIEDE</t>
        </is>
      </c>
      <c r="M21" t="inlineStr">
        <is>
          <t>60</t>
        </is>
      </c>
      <c r="N21" t="inlineStr">
        <is>
          <t>26-64633</t>
        </is>
      </c>
    </row>
    <row r="22">
      <c r="A22" t="inlineStr">
        <is>
          <t>Prestations de propreté urbaine de la Ville de Choisy-le-Roi</t>
        </is>
      </c>
      <c r="B22" t="inlineStr">
        <is>
          <t>Mairie de Choisy-le-Roi</t>
        </is>
      </c>
      <c r="C22" t="inlineStr">
        <is>
          <t>Mairie</t>
        </is>
      </c>
      <c r="D22" t="inlineStr">
        <is>
          <t>Mixte/Autre</t>
        </is>
      </c>
      <c r="E22" t="inlineStr"/>
      <c r="F22" t="inlineStr"/>
      <c r="G22" t="inlineStr">
        <is>
          <t>2026-06-27</t>
        </is>
      </c>
      <c r="H22" t="inlineStr">
        <is>
          <t>2026-08-03T10:00:00+00:00</t>
        </is>
      </c>
      <c r="I22" t="inlineStr"/>
      <c r="J22" t="inlineStr">
        <is>
          <t>https://www.achatpublic.com/sdm/ent/gen/ent_detail.do?PCSLID=CSL_2026_IDV3YK-Eq_</t>
        </is>
      </c>
      <c r="K22" t="inlineStr">
        <is>
          <t>https://www.boamp.fr/pages/avis/?q=idweb:26-63220</t>
        </is>
      </c>
      <c r="L22" t="inlineStr">
        <is>
          <t>TIEDE</t>
        </is>
      </c>
      <c r="M22" t="inlineStr">
        <is>
          <t>60</t>
        </is>
      </c>
      <c r="N22" t="inlineStr">
        <is>
          <t>26-63220</t>
        </is>
      </c>
    </row>
    <row r="23">
      <c r="A23" t="inlineStr">
        <is>
          <t>Achat et livraison de produits, matériels  et consommables d'entretien pour la ville  de Villeneuve Saint Georges</t>
        </is>
      </c>
      <c r="B23" t="inlineStr">
        <is>
          <t>MAIRIE DE VILLENEUVE-SAINT-GEORGES</t>
        </is>
      </c>
      <c r="C23" t="inlineStr">
        <is>
          <t>Mairie</t>
        </is>
      </c>
      <c r="D23" t="inlineStr">
        <is>
          <t>Mixte/Autre</t>
        </is>
      </c>
      <c r="E23" t="inlineStr"/>
      <c r="F23" t="inlineStr"/>
      <c r="G23" t="inlineStr">
        <is>
          <t>2026-06-25</t>
        </is>
      </c>
      <c r="H23" t="inlineStr">
        <is>
          <t>2026-07-30T10:00:00+00:00</t>
        </is>
      </c>
      <c r="I23" t="inlineStr"/>
      <c r="J23" t="inlineStr">
        <is>
          <t>https://www.achatpublic.com/sdm/ent/gen/ent_detail.do?PCSLID=CSL_2026_hmulkPQYm7</t>
        </is>
      </c>
      <c r="K23" t="inlineStr">
        <is>
          <t>https://www.boamp.fr/pages/avis/?q=idweb:26-62559</t>
        </is>
      </c>
      <c r="L23" t="inlineStr">
        <is>
          <t>TIEDE</t>
        </is>
      </c>
      <c r="M23" t="inlineStr">
        <is>
          <t>60</t>
        </is>
      </c>
      <c r="N23" t="inlineStr">
        <is>
          <t>26-62559</t>
        </is>
      </c>
    </row>
    <row r="24">
      <c r="A24" t="inlineStr">
        <is>
          <t>Concession de service public portant sur la gestion et l'exploitation du Marché Saint-Louis pour le compte de la ville de Fontainebleau</t>
        </is>
      </c>
      <c r="B24" t="inlineStr">
        <is>
          <t>Ville De Fontainebleau</t>
        </is>
      </c>
      <c r="C24" t="inlineStr">
        <is>
          <t>Mairie</t>
        </is>
      </c>
      <c r="D24" t="inlineStr">
        <is>
          <t>Mixte/Autre</t>
        </is>
      </c>
      <c r="E24" t="inlineStr">
        <is>
          <t>Fontainebleau</t>
        </is>
      </c>
      <c r="F24" t="inlineStr"/>
      <c r="G24" t="inlineStr">
        <is>
          <t>2026-06-12</t>
        </is>
      </c>
      <c r="H24" t="inlineStr">
        <is>
          <t>2026-07-31T12:00:00+00:00</t>
        </is>
      </c>
      <c r="I24" t="inlineStr"/>
      <c r="J24" t="inlineStr">
        <is>
          <t>http://www.fontainebleau.fr</t>
        </is>
      </c>
      <c r="K24" t="inlineStr">
        <is>
          <t>https://www.boamp.fr/pages/avis/?q=idweb:26-58404</t>
        </is>
      </c>
      <c r="L24" t="inlineStr">
        <is>
          <t>TIEDE</t>
        </is>
      </c>
      <c r="M24" t="inlineStr">
        <is>
          <t>60</t>
        </is>
      </c>
      <c r="N24" t="inlineStr">
        <is>
          <t>26-58404</t>
        </is>
      </c>
    </row>
    <row r="25">
      <c r="A25" t="inlineStr">
        <is>
          <t>Nettoyage Courant Et Remise En Etat De Locaux Sociaux Et Administratifs (sur tout le territoire Sitreva : département 27, 28 et 78)</t>
        </is>
      </c>
      <c r="B25" t="inlineStr">
        <is>
          <t>Sitreva</t>
        </is>
      </c>
      <c r="C25" t="inlineStr">
        <is>
          <t>Autre</t>
        </is>
      </c>
      <c r="D25" t="inlineStr">
        <is>
          <t>Batiments</t>
        </is>
      </c>
      <c r="E25" t="inlineStr">
        <is>
          <t>Rambouillet</t>
        </is>
      </c>
      <c r="F25" t="inlineStr"/>
      <c r="G25" t="inlineStr">
        <is>
          <t>2026-06-05</t>
        </is>
      </c>
      <c r="H25" t="inlineStr">
        <is>
          <t>2026-07-03T12:00:00+00:00</t>
        </is>
      </c>
      <c r="I25" t="inlineStr">
        <is>
          <t>78120</t>
        </is>
      </c>
      <c r="J25" t="inlineStr">
        <is>
          <t>https://www.marches-publics.info/mpiaws/index.cfm?fuseaction=dematent.login&amp;type=Dce&amp;Idm=1831542</t>
        </is>
      </c>
      <c r="K25" t="inlineStr">
        <is>
          <t>https://www.boamp.fr/pages/avis/?q=idweb:26-55484</t>
        </is>
      </c>
      <c r="L25" t="inlineStr">
        <is>
          <t>TIEDE</t>
        </is>
      </c>
      <c r="M25" t="inlineStr">
        <is>
          <t>60</t>
        </is>
      </c>
      <c r="N25" t="inlineStr">
        <is>
          <t>26-55484</t>
        </is>
      </c>
    </row>
    <row r="26">
      <c r="A26" t="inlineStr">
        <is>
          <t>Nettoyage et entretien courant des locaux de la commune de Combs-la-Ville</t>
        </is>
      </c>
      <c r="B26" t="inlineStr">
        <is>
          <t>Mairie de Combs-la-Ville</t>
        </is>
      </c>
      <c r="C26" t="inlineStr">
        <is>
          <t>Mairie</t>
        </is>
      </c>
      <c r="D26" t="inlineStr">
        <is>
          <t>Batiments</t>
        </is>
      </c>
      <c r="E26" t="inlineStr"/>
      <c r="F26" t="inlineStr"/>
      <c r="G26" t="inlineStr">
        <is>
          <t>2026-06-05</t>
        </is>
      </c>
      <c r="H26" t="inlineStr">
        <is>
          <t>2026-07-17T10:00:00+00:00</t>
        </is>
      </c>
      <c r="I26" t="inlineStr">
        <is>
          <t>150000</t>
        </is>
      </c>
      <c r="J26" t="inlineStr">
        <is>
          <t>https://www.e-marchespublics.com/appel-offre/1164729</t>
        </is>
      </c>
      <c r="K26" t="inlineStr">
        <is>
          <t>https://www.boamp.fr/pages/avis/?q=idweb:26-54754</t>
        </is>
      </c>
      <c r="L26" t="inlineStr">
        <is>
          <t>TIEDE</t>
        </is>
      </c>
      <c r="M26" t="inlineStr">
        <is>
          <t>60</t>
        </is>
      </c>
      <c r="N26" t="inlineStr">
        <is>
          <t>26-54754</t>
        </is>
      </c>
    </row>
    <row r="27">
      <c r="A27" t="inlineStr">
        <is>
          <t>Accord-cadre de prestations de nettoyage des bâtiments du Département de la Seine-Saint-Denis</t>
        </is>
      </c>
      <c r="B27" t="inlineStr">
        <is>
          <t>Département de la Seine-Saint-Denis</t>
        </is>
      </c>
      <c r="C27" t="inlineStr">
        <is>
          <t>Autre</t>
        </is>
      </c>
      <c r="D27" t="inlineStr">
        <is>
          <t>Vitres</t>
        </is>
      </c>
      <c r="E27" t="inlineStr"/>
      <c r="F27" t="inlineStr"/>
      <c r="G27" t="inlineStr">
        <is>
          <t>2026-07-05</t>
        </is>
      </c>
      <c r="H27" t="inlineStr">
        <is>
          <t>2026-08-03T10:00:00+00:00</t>
        </is>
      </c>
      <c r="I27" t="inlineStr"/>
      <c r="J27" t="inlineStr">
        <is>
          <t>https://www.marches-publics.info/mpiaws/index.cfm?fuseaction=dematEnt.login&amp;amp;type=DCE&amp;amp;IDM=1845738</t>
        </is>
      </c>
      <c r="K27" t="inlineStr">
        <is>
          <t>https://www.boamp.fr/pages/avis/?q=idweb:26-66211</t>
        </is>
      </c>
      <c r="L27" t="inlineStr">
        <is>
          <t>TIEDE</t>
        </is>
      </c>
      <c r="M27" t="inlineStr">
        <is>
          <t>55</t>
        </is>
      </c>
      <c r="N27" t="inlineStr">
        <is>
          <t>26-66211</t>
        </is>
      </c>
    </row>
    <row r="28">
      <c r="A28" t="inlineStr">
        <is>
          <t>PRESTATIONS DE NETTOYAGE CAF77</t>
        </is>
      </c>
      <c r="B28" t="inlineStr">
        <is>
          <t>CAF77</t>
        </is>
      </c>
      <c r="C28" t="inlineStr">
        <is>
          <t>Autre</t>
        </is>
      </c>
      <c r="D28" t="inlineStr">
        <is>
          <t>Vitres</t>
        </is>
      </c>
      <c r="E28" t="inlineStr"/>
      <c r="F28" t="inlineStr"/>
      <c r="G28" t="inlineStr">
        <is>
          <t>2026-07-05</t>
        </is>
      </c>
      <c r="H28" t="inlineStr">
        <is>
          <t>2026-08-21T15:00:00+00:00</t>
        </is>
      </c>
      <c r="I28" t="inlineStr"/>
      <c r="J28" t="inlineStr">
        <is>
          <t>https://www.marches-publics.gouv.fr/entreprise</t>
        </is>
      </c>
      <c r="K28" t="inlineStr">
        <is>
          <t>https://www.boamp.fr/pages/avis/?q=idweb:26-66164</t>
        </is>
      </c>
      <c r="L28" t="inlineStr">
        <is>
          <t>TIEDE</t>
        </is>
      </c>
      <c r="M28" t="inlineStr">
        <is>
          <t>55</t>
        </is>
      </c>
      <c r="N28" t="inlineStr">
        <is>
          <t>26-66164</t>
        </is>
      </c>
    </row>
    <row r="29">
      <c r="A29" t="inlineStr">
        <is>
          <t>ENTRETIEN DES LOCAUX POUR LES BESOINS DE L’EPMS DE LA FONDATION HARDY</t>
        </is>
      </c>
      <c r="B29" t="inlineStr">
        <is>
          <t>EPMS FONDATION HARDY</t>
        </is>
      </c>
      <c r="C29" t="inlineStr">
        <is>
          <t>Autre</t>
        </is>
      </c>
      <c r="D29" t="inlineStr">
        <is>
          <t>Batiments</t>
        </is>
      </c>
      <c r="E29" t="inlineStr"/>
      <c r="F29" t="inlineStr"/>
      <c r="G29" t="inlineStr">
        <is>
          <t>2026-07-05</t>
        </is>
      </c>
      <c r="H29" t="inlineStr">
        <is>
          <t>2026-08-07T10:00:00+00:00</t>
        </is>
      </c>
      <c r="I29" t="inlineStr"/>
      <c r="J29" t="inlineStr">
        <is>
          <t>https://marches.maximilien.fr/entreprise/consultation/942574?orgAcronyme=a1i</t>
        </is>
      </c>
      <c r="K29" t="inlineStr">
        <is>
          <t>https://www.boamp.fr/pages/avis/?q=idweb:26-66494</t>
        </is>
      </c>
      <c r="L29" t="inlineStr">
        <is>
          <t>TIEDE</t>
        </is>
      </c>
      <c r="M29" t="inlineStr">
        <is>
          <t>55</t>
        </is>
      </c>
      <c r="N29" t="inlineStr">
        <is>
          <t>26-66494</t>
        </is>
      </c>
    </row>
    <row r="30">
      <c r="A30" t="inlineStr">
        <is>
          <t>Marché public de prestations de services relatif au nettoyage des locaux administratifs du SIAH.</t>
        </is>
      </c>
      <c r="B30" t="inlineStr">
        <is>
          <t>SIAH (Syndicat Mixte d’Aménagement Hydraulique du Croult et du Petit Rosne)</t>
        </is>
      </c>
      <c r="C30" t="inlineStr">
        <is>
          <t>Autre</t>
        </is>
      </c>
      <c r="D30" t="inlineStr">
        <is>
          <t>Batiments</t>
        </is>
      </c>
      <c r="E30" t="inlineStr"/>
      <c r="F30" t="inlineStr"/>
      <c r="G30" t="inlineStr">
        <is>
          <t>2026-07-01</t>
        </is>
      </c>
      <c r="H30" t="inlineStr">
        <is>
          <t>2026-07-31T09:30:00+00:00</t>
        </is>
      </c>
      <c r="I30" t="inlineStr"/>
      <c r="J30" t="inlineStr">
        <is>
          <t>https://www.achatpublic.com/sdm/ent/gen/ent_detail.do?PCSLID=CSL_2026_Pbs6BRZ3AV</t>
        </is>
      </c>
      <c r="K30" t="inlineStr">
        <is>
          <t>https://www.boamp.fr/pages/avis/?q=idweb:26-64372</t>
        </is>
      </c>
      <c r="L30" t="inlineStr">
        <is>
          <t>TIEDE</t>
        </is>
      </c>
      <c r="M30" t="inlineStr">
        <is>
          <t>55</t>
        </is>
      </c>
      <c r="N30" t="inlineStr">
        <is>
          <t>26-64372</t>
        </is>
      </c>
    </row>
    <row r="31">
      <c r="A31" t="inlineStr">
        <is>
          <t>Nettoyage des locaux et des vitres des sites de la délégation Nouvelle Aquitaine du CNFPT</t>
        </is>
      </c>
      <c r="B31" t="inlineStr">
        <is>
          <t>CNFPT - Direction de l'achat public</t>
        </is>
      </c>
      <c r="C31" t="inlineStr">
        <is>
          <t>Autre</t>
        </is>
      </c>
      <c r="D31" t="inlineStr">
        <is>
          <t>Vitres</t>
        </is>
      </c>
      <c r="E31" t="inlineStr"/>
      <c r="F31" t="inlineStr"/>
      <c r="G31" t="inlineStr">
        <is>
          <t>2026-06-28</t>
        </is>
      </c>
      <c r="H31" t="inlineStr">
        <is>
          <t>2026-09-11T10:00:00+00:00</t>
        </is>
      </c>
      <c r="I31" t="inlineStr"/>
      <c r="J31" t="inlineStr">
        <is>
          <t>https://cnfpt.marches-publics.info/</t>
        </is>
      </c>
      <c r="K31" t="inlineStr">
        <is>
          <t>https://www.boamp.fr/pages/avis/?q=idweb:26-63717</t>
        </is>
      </c>
      <c r="L31" t="inlineStr">
        <is>
          <t>TIEDE</t>
        </is>
      </c>
      <c r="M31" t="inlineStr">
        <is>
          <t>55</t>
        </is>
      </c>
      <c r="N31" t="inlineStr">
        <is>
          <t>26-63717</t>
        </is>
      </c>
    </row>
    <row r="32">
      <c r="A32" t="inlineStr">
        <is>
          <t>Prestations de nettoyage des surfaces vitrées, vitrines, baies vitrées, verrières et éléments assimilés des bâtiments de l’Université Paris 8 ainsi que de ses sites rattachés</t>
        </is>
      </c>
      <c r="B32" t="inlineStr">
        <is>
          <t>UNIVERSITE PARIS 8</t>
        </is>
      </c>
      <c r="C32" t="inlineStr">
        <is>
          <t>Autre</t>
        </is>
      </c>
      <c r="D32" t="inlineStr">
        <is>
          <t>Vitres</t>
        </is>
      </c>
      <c r="E32" t="inlineStr"/>
      <c r="F32" t="inlineStr"/>
      <c r="G32" t="inlineStr">
        <is>
          <t>2026-06-17</t>
        </is>
      </c>
      <c r="H32" t="inlineStr">
        <is>
          <t>2026-07-10T12:00:00+00:00</t>
        </is>
      </c>
      <c r="I32" t="inlineStr"/>
      <c r="J32" t="inlineStr">
        <is>
          <t>https://www.marches-publics.gouv.fr/entreprise</t>
        </is>
      </c>
      <c r="K32" t="inlineStr">
        <is>
          <t>https://www.boamp.fr/pages/avis/?q=idweb:26-59151</t>
        </is>
      </c>
      <c r="L32" t="inlineStr">
        <is>
          <t>TIEDE</t>
        </is>
      </c>
      <c r="M32" t="inlineStr">
        <is>
          <t>55</t>
        </is>
      </c>
      <c r="N32" t="inlineStr">
        <is>
          <t>26-59151</t>
        </is>
      </c>
    </row>
    <row r="33">
      <c r="A33" t="inlineStr">
        <is>
          <t>MARCHE PUBLIC RELATIF AU NETTOYAGE DES LOCAUX DE LA MISSION LOCALE DE PARIS</t>
        </is>
      </c>
      <c r="B33" t="inlineStr">
        <is>
          <t>MISSION LOCALE DE PARIS</t>
        </is>
      </c>
      <c r="C33" t="inlineStr">
        <is>
          <t>Autre</t>
        </is>
      </c>
      <c r="D33" t="inlineStr">
        <is>
          <t>Vitres</t>
        </is>
      </c>
      <c r="E33" t="inlineStr"/>
      <c r="F33" t="inlineStr"/>
      <c r="G33" t="inlineStr">
        <is>
          <t>2026-06-12</t>
        </is>
      </c>
      <c r="H33" t="inlineStr">
        <is>
          <t>2026-07-10T16:00:00+00:00</t>
        </is>
      </c>
      <c r="I33" t="inlineStr"/>
      <c r="J33" t="inlineStr">
        <is>
          <t>https://www.achatpublic.com/sdm/ent/gen/ent_detail.do?PCSLID=CSL_2026_GODJdYpugJ</t>
        </is>
      </c>
      <c r="K33" t="inlineStr">
        <is>
          <t>https://www.boamp.fr/pages/avis/?q=idweb:26-57705</t>
        </is>
      </c>
      <c r="L33" t="inlineStr">
        <is>
          <t>TIEDE</t>
        </is>
      </c>
      <c r="M33" t="inlineStr">
        <is>
          <t>55</t>
        </is>
      </c>
      <c r="N33" t="inlineStr">
        <is>
          <t>26-57705</t>
        </is>
      </c>
    </row>
    <row r="34">
      <c r="A34" t="inlineStr">
        <is>
          <t>Prestations de nettoyage des surfaces vitrées, vitrines, baies vitrées, verrières et éléments assimilés des bâtiments de l’Université Paris 8 ainsi que de ses sites rattachés</t>
        </is>
      </c>
      <c r="B34" t="inlineStr">
        <is>
          <t>UNIVERSITE PARIS 8</t>
        </is>
      </c>
      <c r="C34" t="inlineStr">
        <is>
          <t>Autre</t>
        </is>
      </c>
      <c r="D34" t="inlineStr">
        <is>
          <t>Vitres</t>
        </is>
      </c>
      <c r="E34" t="inlineStr"/>
      <c r="F34" t="inlineStr"/>
      <c r="G34" t="inlineStr">
        <is>
          <t>2026-06-12</t>
        </is>
      </c>
      <c r="H34" t="inlineStr">
        <is>
          <t>2026-07-10T12:00:00+00:00</t>
        </is>
      </c>
      <c r="I34" t="inlineStr"/>
      <c r="J34" t="inlineStr">
        <is>
          <t>https://www.marches-publics.gouv.fr/entreprise</t>
        </is>
      </c>
      <c r="K34" t="inlineStr">
        <is>
          <t>https://www.boamp.fr/pages/avis/?q=idweb:26-57778</t>
        </is>
      </c>
      <c r="L34" t="inlineStr">
        <is>
          <t>TIEDE</t>
        </is>
      </c>
      <c r="M34" t="inlineStr">
        <is>
          <t>55</t>
        </is>
      </c>
      <c r="N34" t="inlineStr">
        <is>
          <t>26-57778</t>
        </is>
      </c>
    </row>
    <row r="35">
      <c r="A35" t="inlineStr">
        <is>
          <t>Prestations d'entretien ménager, de fourniture de consommables pour sanitaires et de nettoyage des vitres des locaux de la délégation Auvergne Rhône-Alpes du CNFPT</t>
        </is>
      </c>
      <c r="B35" t="inlineStr">
        <is>
          <t>CNFPT - Direction de l'achat public</t>
        </is>
      </c>
      <c r="C35" t="inlineStr">
        <is>
          <t>Autre</t>
        </is>
      </c>
      <c r="D35" t="inlineStr">
        <is>
          <t>Vitres</t>
        </is>
      </c>
      <c r="E35" t="inlineStr"/>
      <c r="F35" t="inlineStr"/>
      <c r="G35" t="inlineStr">
        <is>
          <t>2026-06-12</t>
        </is>
      </c>
      <c r="H35" t="inlineStr">
        <is>
          <t>2026-07-15T10:00:00+00:00</t>
        </is>
      </c>
      <c r="I35" t="inlineStr"/>
      <c r="J35" t="inlineStr">
        <is>
          <t>https://cnfpt.marches-publics.info/</t>
        </is>
      </c>
      <c r="K35" t="inlineStr">
        <is>
          <t>https://www.boamp.fr/pages/avis/?q=idweb:26-57678</t>
        </is>
      </c>
      <c r="L35" t="inlineStr">
        <is>
          <t>TIEDE</t>
        </is>
      </c>
      <c r="M35" t="inlineStr">
        <is>
          <t>55</t>
        </is>
      </c>
      <c r="N35" t="inlineStr">
        <is>
          <t>26-57678</t>
        </is>
      </c>
    </row>
    <row r="36">
      <c r="A36" t="inlineStr">
        <is>
          <t>Prestations de nettoyage des surfaces vitrées, vitrines, baies vitrées, verrières et éléments assimilés des bâtiments de l’Université Paris 8 ainsi que de ses sites rattachés</t>
        </is>
      </c>
      <c r="B36" t="inlineStr">
        <is>
          <t>UNIVERSITE PARIS 8</t>
        </is>
      </c>
      <c r="C36" t="inlineStr">
        <is>
          <t>Autre</t>
        </is>
      </c>
      <c r="D36" t="inlineStr">
        <is>
          <t>Vitres</t>
        </is>
      </c>
      <c r="E36" t="inlineStr"/>
      <c r="F36" t="inlineStr"/>
      <c r="G36" t="inlineStr">
        <is>
          <t>2026-06-11</t>
        </is>
      </c>
      <c r="H36" t="inlineStr">
        <is>
          <t>2026-07-10T12:00:00+00:00</t>
        </is>
      </c>
      <c r="I36" t="inlineStr"/>
      <c r="J36" t="inlineStr">
        <is>
          <t>https://www.marches-publics.gouv.fr/entreprise</t>
        </is>
      </c>
      <c r="K36" t="inlineStr">
        <is>
          <t>https://www.boamp.fr/pages/avis/?q=idweb:26-57231</t>
        </is>
      </c>
      <c r="L36" t="inlineStr">
        <is>
          <t>TIEDE</t>
        </is>
      </c>
      <c r="M36" t="inlineStr">
        <is>
          <t>55</t>
        </is>
      </c>
      <c r="N36" t="inlineStr">
        <is>
          <t>26-57231</t>
        </is>
      </c>
    </row>
    <row r="37">
      <c r="A37" t="inlineStr">
        <is>
          <t>Nettoyage des locaux du siège du SIAAP</t>
        </is>
      </c>
      <c r="B37" t="inlineStr">
        <is>
          <t>Syndicat interdépartemental pour l'assainissement de l'agglomération parisienne (SIAAP)</t>
        </is>
      </c>
      <c r="C37" t="inlineStr">
        <is>
          <t>Autre</t>
        </is>
      </c>
      <c r="D37" t="inlineStr">
        <is>
          <t>Batiments</t>
        </is>
      </c>
      <c r="E37" t="inlineStr"/>
      <c r="F37" t="inlineStr"/>
      <c r="G37" t="inlineStr">
        <is>
          <t>2026-06-25</t>
        </is>
      </c>
      <c r="H37" t="inlineStr">
        <is>
          <t>2026-07-15T14:00:00+00:00</t>
        </is>
      </c>
      <c r="I37" t="inlineStr"/>
      <c r="J37" t="inlineStr">
        <is>
          <t>https://www.marches-publics.info/mpiaws/index.cfm?fuseaction=dematEnt.login&amp;amp;type=DCE&amp;amp;IDM=1840671</t>
        </is>
      </c>
      <c r="K37" t="inlineStr">
        <is>
          <t>https://www.boamp.fr/pages/avis/?q=idweb:26-62297</t>
        </is>
      </c>
      <c r="L37" t="inlineStr">
        <is>
          <t>TIEDE</t>
        </is>
      </c>
      <c r="M37" t="inlineStr">
        <is>
          <t>50</t>
        </is>
      </c>
      <c r="N37" t="inlineStr">
        <is>
          <t>26-62297</t>
        </is>
      </c>
    </row>
    <row r="38">
      <c r="A38" t="inlineStr">
        <is>
          <t>Prestations de mise en propreté et la gestion des déchets du réseau routier national et de ses dépendances gérés par les 4 arrondissements de la DiRIF</t>
        </is>
      </c>
      <c r="B38" t="inlineStr">
        <is>
          <t>Direction régionale et interdépartementale de l'Environnement, de l'Aménagement et des Transports d'Ile-de-France (DRIEAT-IF)</t>
        </is>
      </c>
      <c r="C38" t="inlineStr">
        <is>
          <t>Autre</t>
        </is>
      </c>
      <c r="D38" t="inlineStr">
        <is>
          <t>Mixte/Autre</t>
        </is>
      </c>
      <c r="E38" t="inlineStr"/>
      <c r="F38" t="inlineStr"/>
      <c r="G38" t="inlineStr">
        <is>
          <t>2026-06-24</t>
        </is>
      </c>
      <c r="H38" t="inlineStr">
        <is>
          <t>2026-08-03T12:00:00+00:00</t>
        </is>
      </c>
      <c r="I38" t="inlineStr"/>
      <c r="J38" t="inlineStr">
        <is>
          <t>https://www.marches-publics.gouv.fr/entreprise</t>
        </is>
      </c>
      <c r="K38" t="inlineStr">
        <is>
          <t>https://www.boamp.fr/pages/avis/?q=idweb:26-61419</t>
        </is>
      </c>
      <c r="L38" t="inlineStr">
        <is>
          <t>TIEDE</t>
        </is>
      </c>
      <c r="M38" t="inlineStr">
        <is>
          <t>50</t>
        </is>
      </c>
      <c r="N38" t="inlineStr">
        <is>
          <t>26-61419</t>
        </is>
      </c>
    </row>
    <row r="39">
      <c r="A39" t="inlineStr">
        <is>
          <t>Gestion et entretien des trois aires d'accueil des gens du voyage communautaires</t>
        </is>
      </c>
      <c r="B39" t="inlineStr">
        <is>
          <t>Communauté d'agglomération Plaine Vallée</t>
        </is>
      </c>
      <c r="C39" t="inlineStr">
        <is>
          <t>Autre</t>
        </is>
      </c>
      <c r="D39" t="inlineStr">
        <is>
          <t>Mixte/Autre</t>
        </is>
      </c>
      <c r="E39" t="inlineStr"/>
      <c r="F39" t="inlineStr"/>
      <c r="G39" t="inlineStr">
        <is>
          <t>2026-06-21</t>
        </is>
      </c>
      <c r="H39" t="inlineStr">
        <is>
          <t>2026-07-22T10:00:00+00:00</t>
        </is>
      </c>
      <c r="I39" t="inlineStr"/>
      <c r="J39" t="inlineStr">
        <is>
          <t>https://www.achatpublic.com/sdm/ent/gen/ent_detail.do?PCSLID=CSL_2026_8zWAXknio-</t>
        </is>
      </c>
      <c r="K39" t="inlineStr">
        <is>
          <t>https://www.boamp.fr/pages/avis/?q=idweb:26-61287</t>
        </is>
      </c>
      <c r="L39" t="inlineStr">
        <is>
          <t>TIEDE</t>
        </is>
      </c>
      <c r="M39" t="inlineStr">
        <is>
          <t>50</t>
        </is>
      </c>
      <c r="N39" t="inlineStr">
        <is>
          <t>26-61287</t>
        </is>
      </c>
    </row>
    <row r="40">
      <c r="A40" t="inlineStr">
        <is>
          <t>Entretien des toitures et des terrasses des sites : H. MONDOR – A. CHENEVIER – E. ROUX – DUPUYTREN – G. CLEMENCEAU</t>
        </is>
      </c>
      <c r="B40" t="inlineStr">
        <is>
          <t>Hopitaux Universitaires Henri Mondor</t>
        </is>
      </c>
      <c r="C40" t="inlineStr">
        <is>
          <t>Autre</t>
        </is>
      </c>
      <c r="D40" t="inlineStr">
        <is>
          <t>Mixte/Autre</t>
        </is>
      </c>
      <c r="E40" t="inlineStr"/>
      <c r="F40" t="inlineStr"/>
      <c r="G40" t="inlineStr">
        <is>
          <t>2026-06-12</t>
        </is>
      </c>
      <c r="H40" t="inlineStr">
        <is>
          <t>2026-07-16T11:00:00+00:00</t>
        </is>
      </c>
      <c r="I40" t="inlineStr"/>
      <c r="J40" t="inlineStr">
        <is>
          <t>https://www.marches-publics.gouv.fr/?page=Entreprise.EntrepriseAdvancedSearch&amp;AllCons&amp;id=3014984&amp;orgAcronyme=x7c</t>
        </is>
      </c>
      <c r="K40" t="inlineStr">
        <is>
          <t>https://www.boamp.fr/pages/avis/?q=idweb:26-57313</t>
        </is>
      </c>
      <c r="L40" t="inlineStr">
        <is>
          <t>TIEDE</t>
        </is>
      </c>
      <c r="M40" t="inlineStr">
        <is>
          <t>50</t>
        </is>
      </c>
      <c r="N40" t="inlineStr">
        <is>
          <t>26-57313</t>
        </is>
      </c>
    </row>
    <row r="41">
      <c r="A41" t="inlineStr">
        <is>
          <t>PRESTATION DE NETTOYAGE DES LOCAUX DU CREPS ÎLE-DE-FRANCE</t>
        </is>
      </c>
      <c r="B41" t="inlineStr">
        <is>
          <t>CREPS Île-de-France</t>
        </is>
      </c>
      <c r="C41" t="inlineStr">
        <is>
          <t>Autre</t>
        </is>
      </c>
      <c r="D41" t="inlineStr">
        <is>
          <t>Vitres</t>
        </is>
      </c>
      <c r="E41" t="inlineStr"/>
      <c r="F41" t="inlineStr"/>
      <c r="G41" t="inlineStr">
        <is>
          <t>2026-06-09</t>
        </is>
      </c>
      <c r="H41" t="inlineStr">
        <is>
          <t>2026-07-02T12:00:00+00:00</t>
        </is>
      </c>
      <c r="I41" t="inlineStr"/>
      <c r="J41" t="inlineStr">
        <is>
          <t>https://marches.maximilien.fr/entreprise/consultation/940630?orgAcronyme=a0t</t>
        </is>
      </c>
      <c r="K41" t="inlineStr">
        <is>
          <t>https://www.boamp.fr/pages/avis/?q=idweb:26-56245</t>
        </is>
      </c>
      <c r="L41" t="inlineStr">
        <is>
          <t>TIEDE</t>
        </is>
      </c>
      <c r="M41" t="inlineStr">
        <is>
          <t>50</t>
        </is>
      </c>
      <c r="N41" t="inlineStr">
        <is>
          <t>26-56245</t>
        </is>
      </c>
    </row>
    <row r="42">
      <c r="A42" t="inlineStr">
        <is>
          <t>Nettoyage des locaux et des vitres des bâtiments scolaires, communaux et sportifs de la Ville de Poissy (3 lots)</t>
        </is>
      </c>
      <c r="B42" t="inlineStr">
        <is>
          <t>Ville de Poissy</t>
        </is>
      </c>
      <c r="C42" t="inlineStr">
        <is>
          <t>Mairie</t>
        </is>
      </c>
      <c r="D42" t="inlineStr">
        <is>
          <t>Vitres</t>
        </is>
      </c>
      <c r="E42" t="inlineStr"/>
      <c r="F42" t="inlineStr"/>
      <c r="G42" t="inlineStr">
        <is>
          <t>2026-06-06</t>
        </is>
      </c>
      <c r="H42" t="inlineStr">
        <is>
          <t>2026-07-06T15:00:00+00:00</t>
        </is>
      </c>
      <c r="I42" t="inlineStr">
        <is>
          <t>3000000</t>
        </is>
      </c>
      <c r="J42" t="inlineStr">
        <is>
          <t>https://www.achatpublic.com/sdm/ent/gen/index.do</t>
        </is>
      </c>
      <c r="K42" t="inlineStr">
        <is>
          <t>https://www.boamp.fr/pages/avis/?q=idweb:26-55238</t>
        </is>
      </c>
      <c r="L42" t="inlineStr">
        <is>
          <t>TIEDE</t>
        </is>
      </c>
      <c r="M42" t="inlineStr">
        <is>
          <t>50</t>
        </is>
      </c>
      <c r="N42" t="inlineStr">
        <is>
          <t>26-55238</t>
        </is>
      </c>
    </row>
    <row r="43">
      <c r="A43" t="inlineStr">
        <is>
          <t>Prestation de propreté des espaces verts de la ville d'Alfortville</t>
        </is>
      </c>
      <c r="B43" t="inlineStr">
        <is>
          <t>Commune d'Alfortville</t>
        </is>
      </c>
      <c r="C43" t="inlineStr">
        <is>
          <t>Autre</t>
        </is>
      </c>
      <c r="D43" t="inlineStr">
        <is>
          <t>Mixte/Autre</t>
        </is>
      </c>
      <c r="E43" t="inlineStr"/>
      <c r="F43" t="inlineStr"/>
      <c r="G43" t="inlineStr">
        <is>
          <t>2026-06-21</t>
        </is>
      </c>
      <c r="H43" t="inlineStr">
        <is>
          <t>2026-07-20T10:00:00+00:00</t>
        </is>
      </c>
      <c r="I43" t="inlineStr"/>
      <c r="J43" t="inlineStr">
        <is>
          <t>https://www.maximilien.fr/</t>
        </is>
      </c>
      <c r="K43" t="inlineStr">
        <is>
          <t>https://www.boamp.fr/pages/avis/?q=idweb:26-60829</t>
        </is>
      </c>
      <c r="L43" t="inlineStr">
        <is>
          <t>TIEDE</t>
        </is>
      </c>
      <c r="M43" t="inlineStr">
        <is>
          <t>45</t>
        </is>
      </c>
      <c r="N43" t="inlineStr">
        <is>
          <t>26-60829</t>
        </is>
      </c>
    </row>
    <row r="44">
      <c r="A44" t="inlineStr">
        <is>
          <t>Marché de nettoyage de fin de chantier</t>
        </is>
      </c>
      <c r="B44" t="inlineStr">
        <is>
          <t>OPPIC</t>
        </is>
      </c>
      <c r="C44" t="inlineStr">
        <is>
          <t>Autre</t>
        </is>
      </c>
      <c r="D44" t="inlineStr">
        <is>
          <t>Batiments</t>
        </is>
      </c>
      <c r="E44" t="inlineStr"/>
      <c r="F44" t="inlineStr"/>
      <c r="G44" t="inlineStr">
        <is>
          <t>2026-06-21</t>
        </is>
      </c>
      <c r="H44" t="inlineStr">
        <is>
          <t>2026-07-13T10:00:00+00:00</t>
        </is>
      </c>
      <c r="I44" t="inlineStr">
        <is>
          <t>200000</t>
        </is>
      </c>
      <c r="J44" t="inlineStr">
        <is>
          <t>https://www.marches-publics.gouv.fr</t>
        </is>
      </c>
      <c r="K44" t="inlineStr">
        <is>
          <t>https://www.boamp.fr/pages/avis/?q=idweb:26-61133</t>
        </is>
      </c>
      <c r="L44" t="inlineStr">
        <is>
          <t>TIEDE</t>
        </is>
      </c>
      <c r="M44" t="inlineStr">
        <is>
          <t>45</t>
        </is>
      </c>
      <c r="N44" t="inlineStr">
        <is>
          <t>26-61133</t>
        </is>
      </c>
    </row>
    <row r="45">
      <c r="A45" t="inlineStr">
        <is>
          <t>PRESTATIONS DE NETTOYAGE DE LOCAUX COMMUNAUX DIVERS DE LA VILLE DE MONTROUGE</t>
        </is>
      </c>
      <c r="B45" t="inlineStr">
        <is>
          <t>Ville de Montrouge</t>
        </is>
      </c>
      <c r="C45" t="inlineStr">
        <is>
          <t>Mairie</t>
        </is>
      </c>
      <c r="D45" t="inlineStr">
        <is>
          <t>Batiments</t>
        </is>
      </c>
      <c r="E45" t="inlineStr"/>
      <c r="F45" t="inlineStr"/>
      <c r="G45" t="inlineStr">
        <is>
          <t>2026-06-11</t>
        </is>
      </c>
      <c r="H45" t="inlineStr">
        <is>
          <t>2026-07-09T15:00:00+00:00</t>
        </is>
      </c>
      <c r="I45" t="inlineStr">
        <is>
          <t>230000</t>
        </is>
      </c>
      <c r="J45" t="inlineStr">
        <is>
          <t>https://www.achatpublic.com/sdm/ent/gen/ent_detail.do?PCSLID=CSL_2026_FSmPNMa43l</t>
        </is>
      </c>
      <c r="K45" t="inlineStr">
        <is>
          <t>https://www.boamp.fr/pages/avis/?q=idweb:26-56896</t>
        </is>
      </c>
      <c r="L45" t="inlineStr">
        <is>
          <t>TIEDE</t>
        </is>
      </c>
      <c r="M45" t="inlineStr">
        <is>
          <t>45</t>
        </is>
      </c>
      <c r="N45" t="inlineStr">
        <is>
          <t>26-56896</t>
        </is>
      </c>
    </row>
    <row r="46">
      <c r="A46" t="inlineStr">
        <is>
          <t>Mise en propreté des abords du site principal du Centre National d’Art et de Culture Georges Pompidou et des bâtiments annexes (CNAC-GP) (2 lots) - Vague 2 : lot 2 (26-CP04-044-AC)</t>
        </is>
      </c>
      <c r="B46" t="inlineStr">
        <is>
          <t>CENTRE POMPIDOU</t>
        </is>
      </c>
      <c r="C46" t="inlineStr">
        <is>
          <t>Autre</t>
        </is>
      </c>
      <c r="D46" t="inlineStr">
        <is>
          <t>Batiments</t>
        </is>
      </c>
      <c r="E46" t="inlineStr"/>
      <c r="F46" t="inlineStr"/>
      <c r="G46" t="inlineStr">
        <is>
          <t>2026-06-19</t>
        </is>
      </c>
      <c r="H46" t="inlineStr">
        <is>
          <t>2026-07-20T12:00:00+00:00</t>
        </is>
      </c>
      <c r="I46" t="inlineStr">
        <is>
          <t>600000.0</t>
        </is>
      </c>
      <c r="J46" t="inlineStr">
        <is>
          <t>https://www.marches-publics.gouv.fr/</t>
        </is>
      </c>
      <c r="K46" t="inlineStr">
        <is>
          <t>https://www.boamp.fr/pages/avis/?q=idweb:26-60093</t>
        </is>
      </c>
      <c r="L46" t="inlineStr">
        <is>
          <t>TIEDE</t>
        </is>
      </c>
      <c r="M46" t="inlineStr">
        <is>
          <t>40</t>
        </is>
      </c>
      <c r="N46" t="inlineStr">
        <is>
          <t>26-60093</t>
        </is>
      </c>
    </row>
    <row r="47">
      <c r="A47" t="inlineStr">
        <is>
          <t>Prestations de santé au travail et de médecine préventive pour les agents de la Mairie de Rueil-Malmaison</t>
        </is>
      </c>
      <c r="B47" t="inlineStr">
        <is>
          <t>Commune de Rueil-Malmaison</t>
        </is>
      </c>
      <c r="C47" t="inlineStr">
        <is>
          <t>Mairie</t>
        </is>
      </c>
      <c r="D47" t="inlineStr">
        <is>
          <t>Batiments</t>
        </is>
      </c>
      <c r="E47" t="inlineStr"/>
      <c r="F47" t="inlineStr"/>
      <c r="G47" t="inlineStr">
        <is>
          <t>2026-06-24</t>
        </is>
      </c>
      <c r="H47" t="inlineStr">
        <is>
          <t>2026-07-27T10:00:00+00:00</t>
        </is>
      </c>
      <c r="I47" t="inlineStr">
        <is>
          <t>1200000.0</t>
        </is>
      </c>
      <c r="J47" t="inlineStr">
        <is>
          <t>https://marches.maximilien.fr/entreprise/consultation/941155?orgAcronyme=d7h</t>
        </is>
      </c>
      <c r="K47" t="inlineStr">
        <is>
          <t>https://www.boamp.fr/pages/avis/?q=idweb:26-61430</t>
        </is>
      </c>
      <c r="L47" t="inlineStr">
        <is>
          <t>FROID</t>
        </is>
      </c>
      <c r="M47" t="inlineStr">
        <is>
          <t>35</t>
        </is>
      </c>
      <c r="N47" t="inlineStr">
        <is>
          <t>26-61430</t>
        </is>
      </c>
    </row>
    <row r="48">
      <c r="A48" t="inlineStr">
        <is>
          <t>Entretien et nettoyage de l’ensemble des locaux du SIGIDURS</t>
        </is>
      </c>
      <c r="B48" t="inlineStr">
        <is>
          <t>SIGIDURS</t>
        </is>
      </c>
      <c r="C48" t="inlineStr">
        <is>
          <t>Autre</t>
        </is>
      </c>
      <c r="D48" t="inlineStr">
        <is>
          <t>Batiments</t>
        </is>
      </c>
      <c r="E48" t="inlineStr">
        <is>
          <t>Sarcelles</t>
        </is>
      </c>
      <c r="F48" t="inlineStr"/>
      <c r="G48" t="inlineStr">
        <is>
          <t>2026-06-17</t>
        </is>
      </c>
      <c r="H48" t="inlineStr">
        <is>
          <t>2026-09-15T12:00:00+00:00</t>
        </is>
      </c>
      <c r="I48" t="inlineStr">
        <is>
          <t>380800</t>
        </is>
      </c>
      <c r="J48" t="inlineStr">
        <is>
          <t>https://www.achatpublic.com/</t>
        </is>
      </c>
      <c r="K48" t="inlineStr">
        <is>
          <t>https://www.boamp.fr/pages/avis/?q=idweb:26-60020</t>
        </is>
      </c>
      <c r="L48" t="inlineStr">
        <is>
          <t>FROID</t>
        </is>
      </c>
      <c r="M48" t="inlineStr">
        <is>
          <t>35</t>
        </is>
      </c>
      <c r="N48" t="inlineStr">
        <is>
          <t>26-60020</t>
        </is>
      </c>
    </row>
    <row r="49">
      <c r="A49" t="inlineStr">
        <is>
          <t>Prestations de nettoyage et de ménage dans les bâtiments communaux de Maisons-Laffitte</t>
        </is>
      </c>
      <c r="B49" t="inlineStr">
        <is>
          <t>Mairie de Maisons-Laffitte</t>
        </is>
      </c>
      <c r="C49" t="inlineStr">
        <is>
          <t>Mairie</t>
        </is>
      </c>
      <c r="D49" t="inlineStr">
        <is>
          <t>Batiments</t>
        </is>
      </c>
      <c r="E49" t="inlineStr"/>
      <c r="F49" t="inlineStr"/>
      <c r="G49" t="inlineStr">
        <is>
          <t>2026-06-03</t>
        </is>
      </c>
      <c r="H49" t="inlineStr">
        <is>
          <t>2026-07-02T10:00:00+00:00</t>
        </is>
      </c>
      <c r="I49" t="inlineStr">
        <is>
          <t>515000.0</t>
        </is>
      </c>
      <c r="J49" t="inlineStr">
        <is>
          <t>https://www.maximilien.fr/</t>
        </is>
      </c>
      <c r="K49" t="inlineStr">
        <is>
          <t>https://www.boamp.fr/pages/avis/?q=idweb:26-53642</t>
        </is>
      </c>
      <c r="L49" t="inlineStr">
        <is>
          <t>FROID</t>
        </is>
      </c>
      <c r="M49" t="inlineStr">
        <is>
          <t>30</t>
        </is>
      </c>
      <c r="N49" t="inlineStr">
        <is>
          <t>26-53642</t>
        </is>
      </c>
    </row>
    <row r="50">
      <c r="A50" t="inlineStr">
        <is>
          <t>Prestations de contrôle et de maintenance des jeux, des agrès fitness et des équipements sportifs de la ville de Houilles</t>
        </is>
      </c>
      <c r="B50" t="inlineStr">
        <is>
          <t>ville de Houilles</t>
        </is>
      </c>
      <c r="C50" t="inlineStr">
        <is>
          <t>Mairie</t>
        </is>
      </c>
      <c r="D50" t="inlineStr">
        <is>
          <t>Mixte/Autre</t>
        </is>
      </c>
      <c r="E50" t="inlineStr"/>
      <c r="F50" t="inlineStr"/>
      <c r="G50" t="inlineStr">
        <is>
          <t>2026-07-01</t>
        </is>
      </c>
      <c r="H50" t="inlineStr">
        <is>
          <t>2026-07-13T10:00:00+00:00</t>
        </is>
      </c>
      <c r="I50" t="inlineStr">
        <is>
          <t>3024000</t>
        </is>
      </c>
      <c r="J50" t="inlineStr">
        <is>
          <t>https://www.achatpublic.com/sdm/ent2/gen/ficheCsl.action?PCSLID=CSL_2026_fZ5m08HVWI</t>
        </is>
      </c>
      <c r="K50" t="inlineStr">
        <is>
          <t>https://www.boamp.fr/pages/avis/?q=idweb:26-64579</t>
        </is>
      </c>
      <c r="L50" t="inlineStr">
        <is>
          <t>FROID</t>
        </is>
      </c>
      <c r="M50" t="inlineStr">
        <is>
          <t>25</t>
        </is>
      </c>
      <c r="N50" t="inlineStr">
        <is>
          <t>26-64579</t>
        </is>
      </c>
    </row>
    <row r="51">
      <c r="A51" t="inlineStr">
        <is>
          <t>Prestations de service de médecine professionnelle et préventive au bénéfice des agents de Plaine Commune</t>
        </is>
      </c>
      <c r="B51" t="inlineStr">
        <is>
          <t>Etablissement Public Territorial Plaine Commune</t>
        </is>
      </c>
      <c r="C51" t="inlineStr">
        <is>
          <t>Autre</t>
        </is>
      </c>
      <c r="D51" t="inlineStr">
        <is>
          <t>Batiments</t>
        </is>
      </c>
      <c r="E51" t="inlineStr"/>
      <c r="F51" t="inlineStr"/>
      <c r="G51" t="inlineStr">
        <is>
          <t>2026-06-28</t>
        </is>
      </c>
      <c r="H51" t="inlineStr">
        <is>
          <t>2026-07-29T10:00:00+00:00</t>
        </is>
      </c>
      <c r="I51" t="inlineStr">
        <is>
          <t>4499994</t>
        </is>
      </c>
      <c r="J51" t="inlineStr">
        <is>
          <t>https://marches.maximilien.fr/?page=Entreprise.EntrepriseAdvancedSearch&amp;AllCons&amp;id=942040&amp;orgAcronyme=p2q</t>
        </is>
      </c>
      <c r="K51" t="inlineStr">
        <is>
          <t>https://www.boamp.fr/pages/avis/?q=idweb:26-63641</t>
        </is>
      </c>
      <c r="L51" t="inlineStr">
        <is>
          <t>FROID</t>
        </is>
      </c>
      <c r="M51" t="inlineStr">
        <is>
          <t>25</t>
        </is>
      </c>
      <c r="N51" t="inlineStr">
        <is>
          <t>26-63641</t>
        </is>
      </c>
    </row>
    <row r="52">
      <c r="A52" t="inlineStr">
        <is>
          <t>Nettoyage écoresponsable des locaux du CNC à Paris et prestations associées</t>
        </is>
      </c>
      <c r="B52" t="inlineStr">
        <is>
          <t>Centre nationale du cinéma</t>
        </is>
      </c>
      <c r="C52" t="inlineStr">
        <is>
          <t>Autre</t>
        </is>
      </c>
      <c r="D52" t="inlineStr">
        <is>
          <t>Vitres</t>
        </is>
      </c>
      <c r="E52" t="inlineStr"/>
      <c r="F52" t="inlineStr"/>
      <c r="G52" t="inlineStr">
        <is>
          <t>2026-06-24</t>
        </is>
      </c>
      <c r="H52" t="inlineStr">
        <is>
          <t>2026-07-27T13:00:00+00:00</t>
        </is>
      </c>
      <c r="I52" t="inlineStr">
        <is>
          <t>1800000</t>
        </is>
      </c>
      <c r="J52" t="inlineStr">
        <is>
          <t>https://www.marches-publics.gouv.fr/entreprise</t>
        </is>
      </c>
      <c r="K52" t="inlineStr">
        <is>
          <t>https://www.boamp.fr/pages/avis/?q=idweb:26-61794</t>
        </is>
      </c>
      <c r="L52" t="inlineStr">
        <is>
          <t>FROID</t>
        </is>
      </c>
      <c r="M52" t="inlineStr">
        <is>
          <t>25</t>
        </is>
      </c>
      <c r="N52" t="inlineStr">
        <is>
          <t>26-61794</t>
        </is>
      </c>
    </row>
    <row r="53">
      <c r="A53" t="inlineStr">
        <is>
          <t>Nettoyage des locaux du MAC VAL - Musée d'art contemporain du Val-de-Marne</t>
        </is>
      </c>
      <c r="B53" t="inlineStr">
        <is>
          <t>Département du Val-de-Marne</t>
        </is>
      </c>
      <c r="C53" t="inlineStr">
        <is>
          <t>Autre</t>
        </is>
      </c>
      <c r="D53" t="inlineStr">
        <is>
          <t>Batiments</t>
        </is>
      </c>
      <c r="E53" t="inlineStr"/>
      <c r="F53" t="inlineStr"/>
      <c r="G53" t="inlineStr">
        <is>
          <t>2026-06-07</t>
        </is>
      </c>
      <c r="H53" t="inlineStr">
        <is>
          <t>2026-07-24T14:00:00+00:00</t>
        </is>
      </c>
      <c r="I53" t="inlineStr">
        <is>
          <t>8400000</t>
        </is>
      </c>
      <c r="J53" t="inlineStr">
        <is>
          <t>https://maximilien.fr</t>
        </is>
      </c>
      <c r="K53" t="inlineStr">
        <is>
          <t>https://www.boamp.fr/pages/avis/?q=idweb:26-55925</t>
        </is>
      </c>
      <c r="L53" t="inlineStr">
        <is>
          <t>FROID</t>
        </is>
      </c>
      <c r="M53" t="inlineStr">
        <is>
          <t>25</t>
        </is>
      </c>
      <c r="N53" t="inlineStr">
        <is>
          <t>26-55925</t>
        </is>
      </c>
    </row>
    <row r="54">
      <c r="A54" t="inlineStr">
        <is>
          <t>Gestion, entretien et maintenance des parcs de stationnement en structure de la Communauté d'agglomération Grand Paris Sud Seine Essonne Sénart</t>
        </is>
      </c>
      <c r="B54" t="inlineStr">
        <is>
          <t>CA GRAND PARIS SUD SEINE ESSONNE SENART</t>
        </is>
      </c>
      <c r="C54" t="inlineStr">
        <is>
          <t>Autre</t>
        </is>
      </c>
      <c r="D54" t="inlineStr">
        <is>
          <t>Batiments</t>
        </is>
      </c>
      <c r="E54" t="inlineStr"/>
      <c r="F54" t="inlineStr"/>
      <c r="G54" t="inlineStr">
        <is>
          <t>2026-06-21</t>
        </is>
      </c>
      <c r="H54" t="inlineStr">
        <is>
          <t>2026-07-20T10:00:00+00:00</t>
        </is>
      </c>
      <c r="I54" t="inlineStr">
        <is>
          <t>1200000</t>
        </is>
      </c>
      <c r="J54" t="inlineStr">
        <is>
          <t>https://www.achatpublic.com/sdm/ent/gen/ent_detail.do?PCSLID=CSL_2026_LcQAKFuczu</t>
        </is>
      </c>
      <c r="K54" t="inlineStr">
        <is>
          <t>https://www.boamp.fr/pages/avis/?q=idweb:26-61210</t>
        </is>
      </c>
      <c r="L54" t="inlineStr">
        <is>
          <t>FROID</t>
        </is>
      </c>
      <c r="M54" t="inlineStr">
        <is>
          <t>20</t>
        </is>
      </c>
      <c r="N54" t="inlineStr">
        <is>
          <t>26-61210</t>
        </is>
      </c>
    </row>
    <row r="55">
      <c r="A55" t="inlineStr">
        <is>
          <t>Dépose, nettoyage et pose de stickers sur autobus</t>
        </is>
      </c>
      <c r="B55" t="inlineStr">
        <is>
          <t>Ratp Cap Ateliers Championnet</t>
        </is>
      </c>
      <c r="C55" t="inlineStr">
        <is>
          <t>Autre</t>
        </is>
      </c>
      <c r="D55" t="inlineStr">
        <is>
          <t>Batiments</t>
        </is>
      </c>
      <c r="E55" t="inlineStr"/>
      <c r="F55" t="inlineStr"/>
      <c r="G55" t="inlineStr">
        <is>
          <t>2026-06-03</t>
        </is>
      </c>
      <c r="H55" t="inlineStr"/>
      <c r="I55" t="inlineStr">
        <is>
          <t>700000.0</t>
        </is>
      </c>
      <c r="J55" t="inlineStr">
        <is>
          <t>https://www.e-marchespublics.com/appel-offre/1163733</t>
        </is>
      </c>
      <c r="K55" t="inlineStr">
        <is>
          <t>https://www.boamp.fr/pages/avis/?q=idweb:26-53755</t>
        </is>
      </c>
      <c r="L55" t="inlineStr">
        <is>
          <t>FROID</t>
        </is>
      </c>
      <c r="M55" t="inlineStr">
        <is>
          <t>15</t>
        </is>
      </c>
      <c r="N55" t="inlineStr">
        <is>
          <t>26-53755</t>
        </is>
      </c>
    </row>
    <row r="56">
      <c r="A56" t="inlineStr">
        <is>
          <t>Blanchissage et nettoyage d'effets de travail et de couchage au profit des organismes soutenus par le GSC IdF</t>
        </is>
      </c>
      <c r="B56" t="inlineStr">
        <is>
          <t>Plate-forme commissariat Paris</t>
        </is>
      </c>
      <c r="C56" t="inlineStr">
        <is>
          <t>Autre</t>
        </is>
      </c>
      <c r="D56" t="inlineStr">
        <is>
          <t>Bureaux</t>
        </is>
      </c>
      <c r="E56" t="inlineStr"/>
      <c r="F56" t="inlineStr"/>
      <c r="G56" t="inlineStr">
        <is>
          <t>2026-06-18</t>
        </is>
      </c>
      <c r="H56" t="inlineStr">
        <is>
          <t>2026-06-30T09:00:00+00:00</t>
        </is>
      </c>
      <c r="I56" t="inlineStr">
        <is>
          <t>720000</t>
        </is>
      </c>
      <c r="J56" t="inlineStr">
        <is>
          <t>https://marches-publics.gouv.fr</t>
        </is>
      </c>
      <c r="K56" t="inlineStr">
        <is>
          <t>https://www.boamp.fr/pages/avis/?q=idweb:26-59853</t>
        </is>
      </c>
      <c r="L56" t="inlineStr">
        <is>
          <t>FROID</t>
        </is>
      </c>
      <c r="M56" t="inlineStr">
        <is>
          <t>0</t>
        </is>
      </c>
      <c r="N56" t="inlineStr">
        <is>
          <t>26-59853</t>
        </is>
      </c>
    </row>
    <row r="57">
      <c r="A57" t="inlineStr">
        <is>
          <t>2026 M02 LRO - PRESTATIONS DE NETTOYAGE DES LOCAUX ET VITRES DES BATIMENTS COMMUNAUX DE LA VILLE DE LA ROCHETTE</t>
        </is>
      </c>
      <c r="B57" t="inlineStr">
        <is>
          <t>Mairie de La Rochette</t>
        </is>
      </c>
      <c r="C57" t="inlineStr">
        <is>
          <t>Mairie</t>
        </is>
      </c>
      <c r="D57" t="inlineStr">
        <is>
          <t>Vitres</t>
        </is>
      </c>
      <c r="E57" t="inlineStr"/>
      <c r="F57" t="inlineStr"/>
      <c r="G57" t="inlineStr">
        <is>
          <t>2026-06-07</t>
        </is>
      </c>
      <c r="H57" t="inlineStr">
        <is>
          <t>2026-06-19T10:00:00+00:00</t>
        </is>
      </c>
      <c r="I57" t="inlineStr">
        <is>
          <t>1400000.0</t>
        </is>
      </c>
      <c r="J57" t="inlineStr">
        <is>
          <t>https://marchesonline.achatpublic.com</t>
        </is>
      </c>
      <c r="K57" t="inlineStr">
        <is>
          <t>https://www.boamp.fr/pages/avis/?q=idweb:26-55506</t>
        </is>
      </c>
      <c r="L57" t="inlineStr">
        <is>
          <t>FROID</t>
        </is>
      </c>
      <c r="M57" t="inlineStr">
        <is>
          <t>0</t>
        </is>
      </c>
      <c r="N57" t="inlineStr">
        <is>
          <t>26-55506</t>
        </is>
      </c>
    </row>
    <row r="58">
      <c r="A58" t="inlineStr">
        <is>
          <t>AAPC-MS-Issy-les-Moulineaux</t>
        </is>
      </c>
      <c r="B58" t="inlineStr">
        <is>
          <t>Ministère de l'Intérieur</t>
        </is>
      </c>
      <c r="C58" t="inlineStr">
        <is>
          <t>Batiment administratif</t>
        </is>
      </c>
      <c r="D58" t="inlineStr">
        <is>
          <t>Batiments</t>
        </is>
      </c>
      <c r="E58" t="inlineStr"/>
      <c r="F58" t="inlineStr"/>
      <c r="G58" t="inlineStr">
        <is>
          <t>2026-06-07</t>
        </is>
      </c>
      <c r="H58" t="inlineStr">
        <is>
          <t>2026-05-22T14:00:00+00:00</t>
        </is>
      </c>
      <c r="I58" t="inlineStr">
        <is>
          <t>2240000.0</t>
        </is>
      </c>
      <c r="J58" t="inlineStr">
        <is>
          <t>https://www.marches-publics.gouv.fr/entreprise</t>
        </is>
      </c>
      <c r="K58" t="inlineStr">
        <is>
          <t>https://www.boamp.fr/pages/avis/?q=idweb:26-55879</t>
        </is>
      </c>
      <c r="L58" t="inlineStr">
        <is>
          <t>FROID</t>
        </is>
      </c>
      <c r="M58" t="inlineStr">
        <is>
          <t>0</t>
        </is>
      </c>
      <c r="N58" t="inlineStr">
        <is>
          <t>26-55879</t>
        </is>
      </c>
    </row>
  </sheetData>
  <pageMargins left="0.7" right="0.7" top="0.75" bottom="0.75" header="0.3" footer="0.3"/>
  <legacyDrawing xmlns:r="http://schemas.openxmlformats.org/officeDocument/2006/relationships" r:id="anysvml"/>
  <tableParts count="1">
    <tablePart xmlns:r="http://schemas.openxmlformats.org/officeDocument/2006/relationships" r:id="rId1"/>
  </tableParts>
</worksheet>
</file>

<file path=xl/worksheets/sheet4.xml><?xml version="1.0" encoding="utf-8"?>
<worksheet xmlns="http://schemas.openxmlformats.org/spreadsheetml/2006/main">
  <sheetPr>
    <outlinePr summaryBelow="1" summaryRight="1"/>
    <pageSetUpPr/>
  </sheetPr>
  <dimension ref="A1:BM6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2" customWidth="1" min="1" max="1"/>
    <col width="17" customWidth="1" min="2" max="2"/>
    <col width="55" customWidth="1" min="3" max="3"/>
    <col width="55" customWidth="1" min="4" max="4"/>
    <col width="16" customWidth="1" min="5" max="5"/>
    <col width="16" customWidth="1" min="6" max="6"/>
    <col width="27" customWidth="1" min="7" max="7"/>
    <col width="16" customWidth="1" min="8" max="8"/>
    <col width="50" customWidth="1" min="9" max="9"/>
    <col width="16" customWidth="1" min="10" max="10"/>
    <col width="43"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8" customWidth="1" min="23" max="23"/>
    <col width="10" customWidth="1" min="24" max="24"/>
    <col width="13" customWidth="1" min="25" max="25"/>
    <col width="20" customWidth="1" min="26" max="26"/>
    <col width="16" customWidth="1" min="27" max="27"/>
    <col width="55" customWidth="1" min="28" max="28"/>
    <col width="33" customWidth="1" min="29" max="29"/>
    <col width="55"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2" customWidth="1" min="38" max="38"/>
    <col width="55" customWidth="1" min="39" max="39"/>
    <col width="52" customWidth="1" min="40" max="40"/>
    <col width="55" customWidth="1" min="41" max="41"/>
    <col width="55" customWidth="1" min="42" max="42"/>
    <col width="24" customWidth="1" min="43" max="43"/>
    <col width="55" customWidth="1" min="44" max="44"/>
    <col width="49"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26-63741</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46201</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Ouverte</t>
        </is>
      </c>
      <c r="AA2" t="inlineStr">
        <is>
          <t>Avis de marché</t>
        </is>
      </c>
      <c r="AB2" t="inlineStr">
        <is>
          <t>Formation, Nettoyage de locaux</t>
        </is>
      </c>
      <c r="AC2" t="inlineStr"/>
      <c r="AD2" s="11" t="inlineStr">
        <is>
          <t>https://www.boamp.fr/pages/avis/?q=idweb:26-63741</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95</t>
        </is>
      </c>
      <c r="AL2" s="13" t="inlineStr">
        <is>
          <t>CHAUD</t>
        </is>
      </c>
      <c r="AM2">
        <f>MIN(100,MAX(0,IF(OR(ISNUMBER(SEARCH("nettoyage",C2)),ISNUMBER(SEARCH("proprete",C2)),ISNUMBER(SEARCH("entretien",C2)),ISNUMBER(SEARCH("hygiene",C2))),35,0)+IF(SUM(--(N2="75")+--(O2="75"),--(N2="77")+--(O2="77"),--(N2="78")+--(O2="78"),--(N2="91")+--(O2="91"),--(N2="92")+--(O2="92"),--(N2="93")+--(O2="93"),--(N2="94")+--(O2="94"),--(N2="95")+--(O2="95"))&gt;0,25,4)+IF(S2="",10,IF(S2&lt;=50000,25,IF(S2&lt;=100000,20,IF(S2&lt;=200000,5,IF(S2&lt;=500000,-10,-20)))))+IF(I2&lt;&gt;"",4,0)+IF(J2&lt;&gt;"",4,0)+IF(E2&lt;&gt;"",3,0)+IF(K2&lt;&gt;"",2,0)+IF(M2&lt;&gt;"",1,0)+IF(AD2&lt;&gt;"",1,0)+IF(R2="",0,IF(R2&lt;TODAY(),-30,IF(R2&lt;TODAY()+5,-15,IF(R2&lt;=TODAY()+15,5,10))))))</f>
        <v/>
      </c>
      <c r="AN2">
        <f>IF(AM2&gt;=65,"CHAUD",IF(AM2&gt;=40,"TIEDE","FROID"))</f>
        <v/>
      </c>
      <c r="AO2">
        <f>IF((IF(I2&lt;&gt;"",1,0)+IF(J2&lt;&gt;"",1,0)+IF(E2&lt;&gt;"",1,0)+IF(K2&lt;&gt;"",1,0))&gt;=4,"Complet",IF((IF(I2&lt;&gt;"",1,0)+IF(J2&lt;&gt;"",1,0)+IF(E2&lt;&gt;"",1,0)+IF(K2&lt;&gt;"",1,0))&gt;=2,"Partiel","Vide"))</f>
        <v/>
      </c>
      <c r="AP2">
        <f>IF(AJ2="DCE_A_TELECHARGER","Telecharger DCE",IF(T2="A_VERIFIER_BUDGET","Verifier budget",IF(AN2="CHAUD","Contacter maintenant",IF(AN2="TIEDE","Surveiller / relancer","Basse priorite"))))</f>
        <v/>
      </c>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26-63741. Objet: Accord cadre de missions de formation de lutte contre la discrimination et de lutte contre les violences sexistes et sexuelles à destination du tissu associatif en deux lots séparés.. Acheteur: VILLE de PARIS - DFA - SDA. Lien: https://www.boamp.fr/pages/avis/?q=idweb:26-63741.</t>
        </is>
      </c>
      <c r="AU2" t="inlineStr">
        <is>
          <t>Verifier url_avis et DCE si disponible</t>
        </is>
      </c>
      <c r="AV2" t="inlineStr"/>
      <c r="AW2" t="inlineStr"/>
      <c r="AX2" t="inlineStr"/>
      <c r="AY2" t="inlineStr"/>
      <c r="AZ2" t="inlineStr"/>
      <c r="BA2" t="inlineStr"/>
      <c r="BB2" t="inlineStr">
        <is>
          <t>+35 nettoyage + categorie claire | +25 budget annualise &lt;= 50 000 EUR | +15 procedure adaptee / MAPA / allotissement | +10 secteur cible Mairie | +10 delai confortable 71j</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2026-W26</t>
        </is>
      </c>
    </row>
    <row r="3">
      <c r="A3" t="inlineStr">
        <is>
          <t>BOAMP</t>
        </is>
      </c>
      <c r="B3" t="inlineStr">
        <is>
          <t>26-58680</t>
        </is>
      </c>
      <c r="C3" t="inlineStr">
        <is>
          <t>Nettoyage des vitres et entretien des bâtiments communaux (Administratifs, Culturels, Scolaires, Sportifs et Autres)</t>
        </is>
      </c>
      <c r="D3" t="inlineStr">
        <is>
          <t>MAIRIE DES LILAS</t>
        </is>
      </c>
      <c r="E3" t="inlineStr"/>
      <c r="F3" t="inlineStr"/>
      <c r="G3" t="inlineStr"/>
      <c r="H3" t="inlineStr"/>
      <c r="I3" t="inlineStr">
        <is>
          <t>publications-joue@aws-france.com</t>
        </is>
      </c>
      <c r="J3" t="inlineStr">
        <is>
          <t>+33480041260</t>
        </is>
      </c>
      <c r="K3" t="inlineStr"/>
      <c r="L3" t="inlineStr"/>
      <c r="M3" t="inlineStr"/>
      <c r="N3" t="inlineStr">
        <is>
          <t>93</t>
        </is>
      </c>
      <c r="O3" t="inlineStr"/>
      <c r="P3" t="inlineStr">
        <is>
          <t>Ile-de-France</t>
        </is>
      </c>
      <c r="Q3" s="15" t="n">
        <v>46187</v>
      </c>
      <c r="R3" s="15" t="n">
        <v>46216</v>
      </c>
      <c r="S3" s="14" t="n">
        <v>22000</v>
      </c>
      <c r="T3" t="inlineStr">
        <is>
          <t>BUDGET_SOUS_SEUIL</t>
        </is>
      </c>
      <c r="U3" t="inlineStr">
        <is>
          <t>5500</t>
        </is>
      </c>
      <c r="V3" t="inlineStr">
        <is>
          <t>oui</t>
        </is>
      </c>
      <c r="W3" t="inlineStr">
        <is>
          <t>Vitres</t>
        </is>
      </c>
      <c r="X3" t="inlineStr">
        <is>
          <t>Mairie</t>
        </is>
      </c>
      <c r="Y3" t="inlineStr">
        <is>
          <t>SERVICES</t>
        </is>
      </c>
      <c r="Z3" t="inlineStr">
        <is>
          <t>Procédure Ouverte</t>
        </is>
      </c>
      <c r="AA3" t="inlineStr">
        <is>
          <t>Avis de marché</t>
        </is>
      </c>
      <c r="AB3" t="inlineStr">
        <is>
          <t>Nettoyage de locaux, Vitrerie</t>
        </is>
      </c>
      <c r="AC3" t="inlineStr">
        <is>
          <t>['sociaux', 'environnementaux']</t>
        </is>
      </c>
      <c r="AD3" s="11" t="inlineStr">
        <is>
          <t>https://www.boamp.fr/pages/avis/?q=idweb:26-58680</t>
        </is>
      </c>
      <c r="AE3" t="inlineStr">
        <is>
          <t>http://agysoft.marches-publics.info/</t>
        </is>
      </c>
      <c r="AF3" t="inlineStr">
        <is>
          <t>http://agysoft.marches-publics.info/</t>
        </is>
      </c>
      <c r="AG3" t="inlineStr">
        <is>
          <t>nettoyage, nettoyage de vitres</t>
        </is>
      </c>
      <c r="AH3" t="inlineStr">
        <is>
          <t>2</t>
        </is>
      </c>
      <c r="AI3" t="inlineStr">
        <is>
          <t>66</t>
        </is>
      </c>
      <c r="AJ3" t="inlineStr">
        <is>
          <t>INFO_PARTIELLE</t>
        </is>
      </c>
      <c r="AK3" t="inlineStr">
        <is>
          <t>80</t>
        </is>
      </c>
      <c r="AL3" s="13" t="inlineStr">
        <is>
          <t>CHAUD</t>
        </is>
      </c>
      <c r="AM3">
        <f>MIN(100,MAX(0,IF(OR(ISNUMBER(SEARCH("nettoyage",C3)),ISNUMBER(SEARCH("proprete",C3)),ISNUMBER(SEARCH("entretien",C3)),ISNUMBER(SEARCH("hygiene",C3))),35,0)+IF(SUM(--(N3="75")+--(O3="75"),--(N3="77")+--(O3="77"),--(N3="78")+--(O3="78"),--(N3="91")+--(O3="91"),--(N3="92")+--(O3="92"),--(N3="93")+--(O3="93"),--(N3="94")+--(O3="94"),--(N3="95")+--(O3="95"))&gt;0,25,4)+IF(S3="",10,IF(S3&lt;=50000,25,IF(S3&lt;=100000,20,IF(S3&lt;=200000,5,IF(S3&lt;=500000,-10,-20)))))+IF(I3&lt;&gt;"",4,0)+IF(J3&lt;&gt;"",4,0)+IF(E3&lt;&gt;"",3,0)+IF(K3&lt;&gt;"",2,0)+IF(M3&lt;&gt;"",1,0)+IF(AD3&lt;&gt;"",1,0)+IF(R3="",0,IF(R3&lt;TODAY(),-30,IF(R3&lt;TODAY()+5,-15,IF(R3&lt;=TODAY()+15,5,10))))))</f>
        <v/>
      </c>
      <c r="AN3">
        <f>IF(AM3&gt;=65,"CHAUD",IF(AM3&gt;=40,"TIEDE","FROID"))</f>
        <v/>
      </c>
      <c r="AO3">
        <f>IF((IF(I3&lt;&gt;"",1,0)+IF(J3&lt;&gt;"",1,0)+IF(E3&lt;&gt;"",1,0)+IF(K3&lt;&gt;"",1,0))&gt;=4,"Complet",IF((IF(I3&lt;&gt;"",1,0)+IF(J3&lt;&gt;"",1,0)+IF(E3&lt;&gt;"",1,0)+IF(K3&lt;&gt;"",1,0))&gt;=2,"Partiel","Vide"))</f>
        <v/>
      </c>
      <c r="AP3">
        <f>IF(AJ3="DCE_A_TELECHARGER","Telecharger DCE",IF(T3="A_VERIFIER_BUDGET","Verifier budget",IF(AN3="CHAUD","Contacter maintenant",IF(AN3="TIEDE","Surveiller / relancer","Basse priorite"))))</f>
        <v/>
      </c>
      <c r="AQ3" t="inlineStr">
        <is>
          <t>IA_CONTACT_A_COMPLETER</t>
        </is>
      </c>
      <c r="AR3" t="inlineStr">
        <is>
          <t>Completer les champs manquants depuis l'avis source, le site acheteur ou le DCE.</t>
        </is>
      </c>
      <c r="AS3" t="inlineStr">
        <is>
          <t>SIRET, adresse, ville</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26-58680. Objet: Nettoyage des vitres et entretien des bâtiments communaux (Administratifs, Culturels, Scolaires, Sportifs et Autres). Acheteur: MAIRIE DES LILAS. Lien: https://www.boamp.fr/pages/avis/?q=idweb:26-58680.</t>
        </is>
      </c>
      <c r="AU3" t="inlineStr">
        <is>
          <t>Verifier url_avis et DCE si disponible</t>
        </is>
      </c>
      <c r="AV3" t="inlineStr"/>
      <c r="AW3" t="inlineStr"/>
      <c r="AX3" t="inlineStr"/>
      <c r="AY3" t="inlineStr"/>
      <c r="AZ3" t="inlineStr"/>
      <c r="BA3" t="inlineStr"/>
      <c r="BB3" t="inlineStr">
        <is>
          <t>+35 nettoyage + categorie claire | +25 budget annualise &lt;= 50 000 EUR | +10 secteur cible Mairie | +10 delai confortable 21j</t>
        </is>
      </c>
      <c r="BC3" t="inlineStr">
        <is>
          <t>MAIRIE DES LILAS publie un AO potentiellement pertinent pour CHRUTH : Nettoyage des vitres et entretien des bâtiments communaux (Administratifs, Culturels, Scolaires, Sportifs et Autres). Zone : 93. Budget detecte environ 22 000 EUR. Verifier le lien source avant contact.</t>
        </is>
      </c>
      <c r="BD3" t="inlineStr">
        <is>
          <t>Bonjour,
Je me permets de vous contacter au sujet de votre appel d'offres : Nettoyage des vitres et entretien des bâtiments communaux (Administratifs, Culturels, Scolaires, Sportifs et Autres).
CHRUTH accompagne les structures publiques et privees sur les besoins de nettoyage, d'entretien des locaux et d'organisation de prestations de service.
Serait-il possible d'echanger rapidement afin de verifier les modalites de reponse et les attentes de MAIRIE DES LILAS ?
Cordialement,</t>
        </is>
      </c>
      <c r="BE3" t="inlineStr">
        <is>
          <t>Bonjour, je vous appelle concernant un appel d'offres publie par MAIRIE DES LILAS. Je souhaite verifier les informations pratiques : perimetre des prestations, date limite, modalites de visite, contact technique et pieces attendues. Pouvez-vous m'indiquer la bonne personne a contacter ?</t>
        </is>
      </c>
      <c r="BF3" t="inlineStr"/>
      <c r="BG3" t="inlineStr"/>
      <c r="BH3" t="inlineStr"/>
      <c r="BI3" t="inlineStr"/>
      <c r="BJ3" t="inlineStr"/>
      <c r="BK3" t="inlineStr"/>
      <c r="BL3" t="inlineStr"/>
      <c r="BM3" t="inlineStr">
        <is>
          <t>2026-W24</t>
        </is>
      </c>
    </row>
    <row r="4">
      <c r="A4" t="inlineStr">
        <is>
          <t>BOAMP</t>
        </is>
      </c>
      <c r="B4" t="inlineStr">
        <is>
          <t>26-66091</t>
        </is>
      </c>
      <c r="C4" t="inlineStr">
        <is>
          <t>Restauration de monuments funéraires et de statues pour la ville d'Asnières-sur-Seine</t>
        </is>
      </c>
      <c r="D4" t="inlineStr">
        <is>
          <t>Mairie d'Asnières sur Seine</t>
        </is>
      </c>
      <c r="E4" t="inlineStr">
        <is>
          <t>21920004500017</t>
        </is>
      </c>
      <c r="F4" t="inlineStr">
        <is>
          <t>219200045</t>
        </is>
      </c>
      <c r="G4" t="inlineStr">
        <is>
          <t>marches@mairieasnieres.fr</t>
        </is>
      </c>
      <c r="H4" t="inlineStr"/>
      <c r="I4" t="inlineStr">
        <is>
          <t>marches@mairieasnieres.fr</t>
        </is>
      </c>
      <c r="J4" t="inlineStr">
        <is>
          <t>0141111494</t>
        </is>
      </c>
      <c r="K4" t="inlineStr">
        <is>
          <t>Hauts-de-Seine</t>
        </is>
      </c>
      <c r="L4" t="inlineStr">
        <is>
          <t>92600</t>
        </is>
      </c>
      <c r="M4" t="inlineStr">
        <is>
          <t>Asnières sur seine</t>
        </is>
      </c>
      <c r="N4" t="inlineStr">
        <is>
          <t>92</t>
        </is>
      </c>
      <c r="O4" t="inlineStr"/>
      <c r="P4" t="inlineStr">
        <is>
          <t>Ile-de-France</t>
        </is>
      </c>
      <c r="Q4" s="15" t="n">
        <v>46206</v>
      </c>
      <c r="R4" s="15" t="n">
        <v>46234</v>
      </c>
      <c r="S4" s="14" t="n">
        <v>92600</v>
      </c>
      <c r="T4" t="inlineStr">
        <is>
          <t>BUDGET_SOUS_SEUIL</t>
        </is>
      </c>
      <c r="U4" t="inlineStr">
        <is>
          <t>92600.0</t>
        </is>
      </c>
      <c r="V4" t="inlineStr">
        <is>
          <t>non</t>
        </is>
      </c>
      <c r="W4" t="inlineStr">
        <is>
          <t>Batiments</t>
        </is>
      </c>
      <c r="X4" t="inlineStr">
        <is>
          <t>Mairie</t>
        </is>
      </c>
      <c r="Y4" t="inlineStr">
        <is>
          <t>TRAVAUX</t>
        </is>
      </c>
      <c r="Z4" t="inlineStr">
        <is>
          <t>Procédure Ouverte</t>
        </is>
      </c>
      <c r="AA4" t="inlineStr">
        <is>
          <t>Avis de marché</t>
        </is>
      </c>
      <c r="AB4" t="inlineStr">
        <is>
          <t>Décoration (travaux)</t>
        </is>
      </c>
      <c r="AC4" t="inlineStr">
        <is>
          <t>['environnementaux']</t>
        </is>
      </c>
      <c r="AD4" s="11" t="inlineStr">
        <is>
          <t>https://www.boamp.fr/pages/avis/?q=idweb:26-66091</t>
        </is>
      </c>
      <c r="AE4" t="inlineStr">
        <is>
          <t>https://www.achatpublic.com/sdm/ent/gen/ent_detail.do?PCSLID=CSL_2026_a6SYMMMQ2m</t>
        </is>
      </c>
      <c r="AF4" t="inlineStr">
        <is>
          <t>https://www.achatpublic.com/sdm/ent/gen/ent_detail.do?PCSLID=CSL_2026_a6SYMMMQ2m</t>
        </is>
      </c>
      <c r="AG4" t="inlineStr">
        <is>
          <t>nettoyage</t>
        </is>
      </c>
      <c r="AH4" t="inlineStr">
        <is>
          <t>6</t>
        </is>
      </c>
      <c r="AI4" t="inlineStr">
        <is>
          <t>98</t>
        </is>
      </c>
      <c r="AJ4" t="inlineStr">
        <is>
          <t>INFO_PARTIELLE</t>
        </is>
      </c>
      <c r="AK4" t="inlineStr">
        <is>
          <t>75</t>
        </is>
      </c>
      <c r="AL4" s="13" t="inlineStr">
        <is>
          <t>CHAUD</t>
        </is>
      </c>
      <c r="AM4">
        <f>MIN(100,MAX(0,IF(OR(ISNUMBER(SEARCH("nettoyage",C4)),ISNUMBER(SEARCH("proprete",C4)),ISNUMBER(SEARCH("entretien",C4)),ISNUMBER(SEARCH("hygiene",C4))),35,0)+IF(SUM(--(N4="75")+--(O4="75"),--(N4="77")+--(O4="77"),--(N4="78")+--(O4="78"),--(N4="91")+--(O4="91"),--(N4="92")+--(O4="92"),--(N4="93")+--(O4="93"),--(N4="94")+--(O4="94"),--(N4="95")+--(O4="95"))&gt;0,25,4)+IF(S4="",10,IF(S4&lt;=50000,25,IF(S4&lt;=100000,20,IF(S4&lt;=200000,5,IF(S4&lt;=500000,-10,-20)))))+IF(I4&lt;&gt;"",4,0)+IF(J4&lt;&gt;"",4,0)+IF(E4&lt;&gt;"",3,0)+IF(K4&lt;&gt;"",2,0)+IF(M4&lt;&gt;"",1,0)+IF(AD4&lt;&gt;"",1,0)+IF(R4="",0,IF(R4&lt;TODAY(),-30,IF(R4&lt;TODAY()+5,-15,IF(R4&lt;=TODAY()+15,5,10))))))</f>
        <v/>
      </c>
      <c r="AN4">
        <f>IF(AM4&gt;=65,"CHAUD",IF(AM4&gt;=40,"TIEDE","FROID"))</f>
        <v/>
      </c>
      <c r="AO4">
        <f>IF((IF(I4&lt;&gt;"",1,0)+IF(J4&lt;&gt;"",1,0)+IF(E4&lt;&gt;"",1,0)+IF(K4&lt;&gt;"",1,0))&gt;=4,"Complet",IF((IF(I4&lt;&gt;"",1,0)+IF(J4&lt;&gt;"",1,0)+IF(E4&lt;&gt;"",1,0)+IF(K4&lt;&gt;"",1,0))&gt;=2,"Partiel","Vide"))</f>
        <v/>
      </c>
      <c r="AP4">
        <f>IF(AJ4="DCE_A_TELECHARGER","Telecharger DCE",IF(T4="A_VERIFIER_BUDGET","Verifier budget",IF(AN4="CHAUD","Contacter maintenant",IF(AN4="TIEDE","Surveiller / relancer","Basse priorite"))))</f>
        <v/>
      </c>
      <c r="AQ4" t="inlineStr">
        <is>
          <t>IA_CONTROLE_SOURCE</t>
        </is>
      </c>
      <c r="AR4" t="inlineStr">
        <is>
          <t>Verifier rapidement la source avant contact.</t>
        </is>
      </c>
      <c r="AS4" t="inlineStr">
        <is>
          <t>Aucun champ critique manquant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26-66091. Objet: Restauration de monuments funéraires et de statues pour la ville d'Asnières-sur-Seine. Acheteur: Mairie d'Asnières sur Seine. Lien: https://www.boamp.fr/pages/avis/?q=idweb:26-66091.</t>
        </is>
      </c>
      <c r="AU4" t="inlineStr">
        <is>
          <t>Verifier url_avis et DCE si disponible</t>
        </is>
      </c>
      <c r="AV4" t="inlineStr"/>
      <c r="AW4" t="inlineStr"/>
      <c r="AX4" t="inlineStr"/>
      <c r="AY4" t="inlineStr"/>
      <c r="AZ4" t="inlineStr"/>
      <c r="BA4" t="inlineStr"/>
      <c r="BB4" t="inlineStr">
        <is>
          <t>+35 nettoyage + categorie claire | +20 budget annualise &lt;= 100 000 EUR | +10 secteur cible Mairie | +10 delai confortable 25j</t>
        </is>
      </c>
      <c r="BC4" t="inlineStr">
        <is>
          <t>Mairie d'Asnières sur Seine publie un AO potentiellement pertinent pour CHRUTH : Restauration de monuments funéraires et de statues pour la ville d'Asnières-sur-Seine. Zone : Asnières sur seine. Budget detecte environ 92 600 EUR. Verifier le lien source avant contact.</t>
        </is>
      </c>
      <c r="BD4" t="inlineStr">
        <is>
          <t>Bonjour,
Je me permets de vous contacter au sujet de votre appel d'offres : Restauration de monuments funéraires et de statues pour la ville d'Asnières-sur-Seine.
CHRUTH accompagne les structures publiques et privées sur les besoins de nettoyage, d'entretien des locaux et d'organisation de prestations de service.
Serait-il possible d'échanger rapidement afin de vérifier les modalités de réponse et les attentes de Mairie d'Asnières sur Seine ?
Cordialement,</t>
        </is>
      </c>
      <c r="BE4" t="inlineStr">
        <is>
          <t>Bonjour, je vous appelle concernant un appel d'offres publié par Mairie d'Asnières sur Seine.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2026-W27</t>
        </is>
      </c>
    </row>
    <row r="5">
      <c r="A5" t="inlineStr">
        <is>
          <t>BOAMP</t>
        </is>
      </c>
      <c r="B5" t="inlineStr">
        <is>
          <t>26-60739</t>
        </is>
      </c>
      <c r="C5" t="inlineStr">
        <is>
          <t>FOURNITURE D'EQUIPEMENTS, PRODUITS D'ENTRETIEN ET HACCP AU PROFIT DE LA VILLE ET DU CCAS DE LONGJUMEAU (2ème procédure)</t>
        </is>
      </c>
      <c r="D5" t="inlineStr">
        <is>
          <t>Ville de Longjumeau</t>
        </is>
      </c>
      <c r="E5" t="inlineStr">
        <is>
          <t>21910345400225</t>
        </is>
      </c>
      <c r="F5" t="inlineStr">
        <is>
          <t>219103454</t>
        </is>
      </c>
      <c r="G5" t="inlineStr"/>
      <c r="H5" t="inlineStr"/>
      <c r="I5" t="inlineStr">
        <is>
          <t>achatpublic@longjumeau.fr</t>
        </is>
      </c>
      <c r="J5" t="inlineStr">
        <is>
          <t>0345400225</t>
        </is>
      </c>
      <c r="K5" t="inlineStr"/>
      <c r="L5" t="inlineStr"/>
      <c r="M5" t="inlineStr"/>
      <c r="N5" t="inlineStr">
        <is>
          <t>91</t>
        </is>
      </c>
      <c r="O5" t="inlineStr"/>
      <c r="P5" t="inlineStr">
        <is>
          <t>Ile-de-France</t>
        </is>
      </c>
      <c r="Q5" s="15" t="n">
        <v>46193</v>
      </c>
      <c r="R5" s="15" t="n">
        <v>46231</v>
      </c>
      <c r="S5" s="14" t="n">
        <v>280000</v>
      </c>
      <c r="T5" t="inlineStr">
        <is>
          <t>BUDGET_EXPLICITE_OK</t>
        </is>
      </c>
      <c r="U5" t="inlineStr">
        <is>
          <t>70000</t>
        </is>
      </c>
      <c r="V5" t="inlineStr">
        <is>
          <t>oui</t>
        </is>
      </c>
      <c r="W5" t="inlineStr">
        <is>
          <t>Batiments</t>
        </is>
      </c>
      <c r="X5" t="inlineStr">
        <is>
          <t>Mairie</t>
        </is>
      </c>
      <c r="Y5" t="inlineStr">
        <is>
          <t>FOURNITURES</t>
        </is>
      </c>
      <c r="Z5" t="inlineStr">
        <is>
          <t>Procédure Ouverte</t>
        </is>
      </c>
      <c r="AA5" t="inlineStr">
        <is>
          <t>Avis de marché</t>
        </is>
      </c>
      <c r="AB5" t="inlineStr">
        <is>
          <t>Hygiène (articles), Produits d'entretien</t>
        </is>
      </c>
      <c r="AC5" t="inlineStr"/>
      <c r="AD5" s="11" t="inlineStr">
        <is>
          <t>https://www.boamp.fr/pages/avis/?q=idweb:26-60739</t>
        </is>
      </c>
      <c r="AE5" t="inlineStr">
        <is>
          <t>http://longjumeau.e-marchespublics.com</t>
        </is>
      </c>
      <c r="AF5" t="inlineStr">
        <is>
          <t>http://longjumeau.e-marchespublics.com</t>
        </is>
      </c>
      <c r="AG5" t="inlineStr">
        <is>
          <t>entretien des locaux</t>
        </is>
      </c>
      <c r="AH5" t="inlineStr">
        <is>
          <t>3</t>
        </is>
      </c>
      <c r="AI5" t="inlineStr">
        <is>
          <t>68</t>
        </is>
      </c>
      <c r="AJ5" t="inlineStr">
        <is>
          <t>INFO_PARTIELLE</t>
        </is>
      </c>
      <c r="AK5" t="inlineStr">
        <is>
          <t>75</t>
        </is>
      </c>
      <c r="AL5" s="13" t="inlineStr">
        <is>
          <t>CHAUD</t>
        </is>
      </c>
      <c r="AM5">
        <f>MIN(100,MAX(0,IF(OR(ISNUMBER(SEARCH("nettoyage",C5)),ISNUMBER(SEARCH("proprete",C5)),ISNUMBER(SEARCH("entretien",C5)),ISNUMBER(SEARCH("hygiene",C5))),35,0)+IF(SUM(--(N5="75")+--(O5="75"),--(N5="77")+--(O5="77"),--(N5="78")+--(O5="78"),--(N5="91")+--(O5="91"),--(N5="92")+--(O5="92"),--(N5="93")+--(O5="93"),--(N5="94")+--(O5="94"),--(N5="95")+--(O5="95"))&gt;0,25,4)+IF(S5="",10,IF(S5&lt;=50000,25,IF(S5&lt;=100000,20,IF(S5&lt;=200000,5,IF(S5&lt;=500000,-10,-20)))))+IF(I5&lt;&gt;"",4,0)+IF(J5&lt;&gt;"",4,0)+IF(E5&lt;&gt;"",3,0)+IF(K5&lt;&gt;"",2,0)+IF(M5&lt;&gt;"",1,0)+IF(AD5&lt;&gt;"",1,0)+IF(R5="",0,IF(R5&lt;TODAY(),-30,IF(R5&lt;TODAY()+5,-15,IF(R5&lt;=TODAY()+15,5,10))))))</f>
        <v/>
      </c>
      <c r="AN5">
        <f>IF(AM5&gt;=65,"CHAUD",IF(AM5&gt;=40,"TIEDE","FROID"))</f>
        <v/>
      </c>
      <c r="AO5">
        <f>IF((IF(I5&lt;&gt;"",1,0)+IF(J5&lt;&gt;"",1,0)+IF(E5&lt;&gt;"",1,0)+IF(K5&lt;&gt;"",1,0))&gt;=4,"Complet",IF((IF(I5&lt;&gt;"",1,0)+IF(J5&lt;&gt;"",1,0)+IF(E5&lt;&gt;"",1,0)+IF(K5&lt;&gt;"",1,0))&gt;=2,"Partiel","Vide"))</f>
        <v/>
      </c>
      <c r="AP5">
        <f>IF(AJ5="DCE_A_TELECHARGER","Telecharger DCE",IF(T5="A_VERIFIER_BUDGET","Verifier budget",IF(AN5="CHAUD","Contacter maintenant",IF(AN5="TIEDE","Surveiller / relancer","Basse priorite"))))</f>
        <v/>
      </c>
      <c r="AQ5" t="inlineStr">
        <is>
          <t>IA_CONTACT_A_COMPLETER</t>
        </is>
      </c>
      <c r="AR5" t="inlineStr">
        <is>
          <t>Completer les champs manquants depuis l'avis source, le site acheteur ou le DCE.</t>
        </is>
      </c>
      <c r="AS5" t="inlineStr">
        <is>
          <t>adresse, ville</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26-60739. Objet: FOURNITURE D'EQUIPEMENTS, PRODUITS D'ENTRETIEN ET HACCP AU PROFIT DE LA VILLE ET DU CCAS DE LONGJUMEAU (2ème procédure). Acheteur: Ville de Longjumeau. Lien: https://www.boamp.fr/pages/avis/?q=idweb:26-60739.</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24j</t>
        </is>
      </c>
      <c r="BC5" t="inlineStr">
        <is>
          <t>Ville de Longjumeau publie un AO potentiellement pertinent pour CHRUTH : FOURNITURE D'EQUIPEMENTS, PRODUITS D'ENTRETIEN ET HACCP AU PROFIT DE LA VILLE ET DU CCAS DE LONGJUMEAU (2ème procédure). Zone : 91. Budget detecte environ 280 000 EUR. Verifier le lien source avant contact.</t>
        </is>
      </c>
      <c r="BD5" t="inlineStr">
        <is>
          <t>Bonjour,
Je me permets de vous contacter au sujet de votre appel d'offres : FOURNITURE D'EQUIPEMENTS, PRODUITS D'ENTRETIEN ET HACCP AU PROFIT DE LA VILLE ET DU CCAS DE LONGJUMEAU (2ème procédure).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5"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2026-W25</t>
        </is>
      </c>
    </row>
    <row r="6">
      <c r="A6" t="inlineStr">
        <is>
          <t>BOAMP</t>
        </is>
      </c>
      <c r="B6" t="inlineStr">
        <is>
          <t>26-57399</t>
        </is>
      </c>
      <c r="C6" t="inlineStr">
        <is>
          <t>Prestations de nettoyage de certains équipements de protection individuelle (EPI) et vêtements de travail professionnels</t>
        </is>
      </c>
      <c r="D6" t="inlineStr">
        <is>
          <t>MAIRIE DE ROMAINVILLE</t>
        </is>
      </c>
      <c r="E6" t="inlineStr">
        <is>
          <t>21930063900016</t>
        </is>
      </c>
      <c r="F6" t="inlineStr">
        <is>
          <t>219300639</t>
        </is>
      </c>
      <c r="G6" t="inlineStr">
        <is>
          <t>Adrien VELLA</t>
        </is>
      </c>
      <c r="H6" t="inlineStr"/>
      <c r="I6" t="inlineStr"/>
      <c r="J6" t="inlineStr">
        <is>
          <t>06-10 2026-07</t>
        </is>
      </c>
      <c r="K6" t="inlineStr">
        <is>
          <t>Seine-Saint-Denis</t>
        </is>
      </c>
      <c r="L6" t="inlineStr">
        <is>
          <t>93230</t>
        </is>
      </c>
      <c r="M6" t="inlineStr">
        <is>
          <t>Romainville</t>
        </is>
      </c>
      <c r="N6" t="inlineStr">
        <is>
          <t>93</t>
        </is>
      </c>
      <c r="O6" t="inlineStr"/>
      <c r="P6" t="inlineStr">
        <is>
          <t>Ile-de-France</t>
        </is>
      </c>
      <c r="Q6" s="15" t="n">
        <v>46183</v>
      </c>
      <c r="R6" s="15" t="n">
        <v>46213</v>
      </c>
      <c r="S6" s="14" t="n">
        <v>93230</v>
      </c>
      <c r="T6" t="inlineStr">
        <is>
          <t>BUDGET_SOUS_SEUIL</t>
        </is>
      </c>
      <c r="U6" t="inlineStr">
        <is>
          <t>93230.0</t>
        </is>
      </c>
      <c r="V6" t="inlineStr">
        <is>
          <t>non</t>
        </is>
      </c>
      <c r="W6" t="inlineStr">
        <is>
          <t>Mixte/Autre</t>
        </is>
      </c>
      <c r="X6" t="inlineStr">
        <is>
          <t>Mairie</t>
        </is>
      </c>
      <c r="Y6" t="inlineStr">
        <is>
          <t>SERVICES</t>
        </is>
      </c>
      <c r="Z6" t="inlineStr">
        <is>
          <t>Procédure Ouverte</t>
        </is>
      </c>
      <c r="AA6" t="inlineStr">
        <is>
          <t>Avis de marché</t>
        </is>
      </c>
      <c r="AB6" t="inlineStr">
        <is>
          <t>Blanchissage</t>
        </is>
      </c>
      <c r="AC6" t="inlineStr">
        <is>
          <t>['sociaux', 'environnementaux']</t>
        </is>
      </c>
      <c r="AD6" s="11" t="inlineStr">
        <is>
          <t>https://www.boamp.fr/pages/avis/?q=idweb:26-57399</t>
        </is>
      </c>
      <c r="AE6" t="inlineStr">
        <is>
          <t>https://www.achatpublic.com/sdm/ent/gen/ent_detail.do?PCSLID=CSL_2026_XmI0UKhCKV</t>
        </is>
      </c>
      <c r="AF6" t="inlineStr">
        <is>
          <t>https://www.achatpublic.com/sdm/ent/gen/ent_detail.do?PCSLID=CSL_2026_XmI0UKhCKV</t>
        </is>
      </c>
      <c r="AG6" t="inlineStr">
        <is>
          <t>nettoyage</t>
        </is>
      </c>
      <c r="AH6" t="inlineStr">
        <is>
          <t>5</t>
        </is>
      </c>
      <c r="AI6" t="inlineStr">
        <is>
          <t>88</t>
        </is>
      </c>
      <c r="AJ6" t="inlineStr">
        <is>
          <t>INFO_PARTIELLE</t>
        </is>
      </c>
      <c r="AK6" t="inlineStr">
        <is>
          <t>70</t>
        </is>
      </c>
      <c r="AL6" s="13" t="inlineStr">
        <is>
          <t>CHAUD</t>
        </is>
      </c>
      <c r="AM6">
        <f>MIN(100,MAX(0,IF(OR(ISNUMBER(SEARCH("nettoyage",C6)),ISNUMBER(SEARCH("proprete",C6)),ISNUMBER(SEARCH("entretien",C6)),ISNUMBER(SEARCH("hygiene",C6))),35,0)+IF(SUM(--(N6="75")+--(O6="75"),--(N6="77")+--(O6="77"),--(N6="78")+--(O6="78"),--(N6="91")+--(O6="91"),--(N6="92")+--(O6="92"),--(N6="93")+--(O6="93"),--(N6="94")+--(O6="94"),--(N6="95")+--(O6="95"))&gt;0,25,4)+IF(S6="",10,IF(S6&lt;=50000,25,IF(S6&lt;=100000,20,IF(S6&lt;=200000,5,IF(S6&lt;=500000,-10,-20)))))+IF(I6&lt;&gt;"",4,0)+IF(J6&lt;&gt;"",4,0)+IF(E6&lt;&gt;"",3,0)+IF(K6&lt;&gt;"",2,0)+IF(M6&lt;&gt;"",1,0)+IF(AD6&lt;&gt;"",1,0)+IF(R6="",0,IF(R6&lt;TODAY(),-30,IF(R6&lt;TODAY()+5,-15,IF(R6&lt;=TODAY()+15,5,10))))))</f>
        <v/>
      </c>
      <c r="AN6">
        <f>IF(AM6&gt;=65,"CHAUD",IF(AM6&gt;=40,"TIEDE","FROID"))</f>
        <v/>
      </c>
      <c r="AO6">
        <f>IF((IF(I6&lt;&gt;"",1,0)+IF(J6&lt;&gt;"",1,0)+IF(E6&lt;&gt;"",1,0)+IF(K6&lt;&gt;"",1,0))&gt;=4,"Complet",IF((IF(I6&lt;&gt;"",1,0)+IF(J6&lt;&gt;"",1,0)+IF(E6&lt;&gt;"",1,0)+IF(K6&lt;&gt;"",1,0))&gt;=2,"Partiel","Vide"))</f>
        <v/>
      </c>
      <c r="AP6">
        <f>IF(AJ6="DCE_A_TELECHARGER","Telecharger DCE",IF(T6="A_VERIFIER_BUDGET","Verifier budget",IF(AN6="CHAUD","Contacter maintenant",IF(AN6="TIEDE","Surveiller / relancer","Basse priorite"))))</f>
        <v/>
      </c>
      <c r="AQ6" t="inlineStr">
        <is>
          <t>IA_CONTACT_A_COMPLETER</t>
        </is>
      </c>
      <c r="AR6" t="inlineStr">
        <is>
          <t>Completer les champs manquants depuis l'avis source, le site acheteur ou le DCE.</t>
        </is>
      </c>
      <c r="AS6" t="inlineStr">
        <is>
          <t>email</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26-57399. Objet: Prestations de nettoyage de certains équipements de protection individuelle (EPI) et vêtements de travail professionnels. Acheteur: MAIRIE DE ROMAINVILLE. Lien: https://www.boamp.fr/pages/avis/?q=idweb:26-57399.</t>
        </is>
      </c>
      <c r="AU6" t="inlineStr">
        <is>
          <t>Verifier url_avis et DCE si disponible</t>
        </is>
      </c>
      <c r="AV6" t="inlineStr">
        <is>
          <t>LIEN_SEUL</t>
        </is>
      </c>
      <c r="AW6" t="inlineStr"/>
      <c r="AX6" t="inlineStr"/>
      <c r="AY6" t="inlineStr"/>
      <c r="AZ6" t="inlineStr"/>
      <c r="BA6" t="inlineStr"/>
      <c r="BB6" t="inlineStr">
        <is>
          <t>+30 mots-cles nettoyage forts | +20 budget annualise &lt;= 100 000 EUR | +10 secteur cible Mairie | +10 delai confortable 18j</t>
        </is>
      </c>
      <c r="BC6" t="inlineStr">
        <is>
          <t>MAIRIE DE ROMAINVILLE publie un AO potentiellement pertinent pour CHRUTH : Prestations de nettoyage de certains équipements de protection individuelle (EPI) et vêtements de travail professionnels. Zone : Romainville. Budget detecte environ 93 230 EUR. Verifier le lien source avant contact.</t>
        </is>
      </c>
      <c r="BD6" t="inlineStr">
        <is>
          <t>Bonjour,
Je me permets de vous contacter au sujet de votre appel d'offres : Prestations de nettoyage de certains équipements de protection individuelle (EPI) et vêtements de travail professionnels.
CHRUTH accompagne les structures publiques et privees sur les besoins de nettoyage, d'entretien des locaux et d'organisation de prestations de service.
Serait-il possible d'echanger rapidement afin de verifier les modalites de reponse et les attentes de MAIRIE DE ROMAINVILLE ?
Cordialement,</t>
        </is>
      </c>
      <c r="BE6" t="inlineStr">
        <is>
          <t>Bonjour, je vous appelle concernant un appel d'offres publie par MAIRIE DE ROMAINVILLE. Je souhaite verifier les informations pratiques : perimetre des prestations, date limite, modalites de visite, contact technique et pieces attendues. Pouvez-vous m'indiquer la bonne personne a contacter ?</t>
        </is>
      </c>
      <c r="BF6" t="inlineStr"/>
      <c r="BG6" t="inlineStr"/>
      <c r="BH6" t="inlineStr"/>
      <c r="BI6" t="inlineStr"/>
      <c r="BJ6" t="inlineStr"/>
      <c r="BK6" t="inlineStr"/>
      <c r="BL6" t="inlineStr"/>
      <c r="BM6" t="inlineStr">
        <is>
          <t>2026-W24</t>
        </is>
      </c>
    </row>
    <row r="7">
      <c r="A7" t="inlineStr">
        <is>
          <t>BOAMP</t>
        </is>
      </c>
      <c r="B7" t="inlineStr">
        <is>
          <t>26-56654</t>
        </is>
      </c>
      <c r="C7" t="inlineStr">
        <is>
          <t>Prestations de bio-nettoyage, mise à blanc et mise à gris des zones à atmosphère contrôlée au profit du CTSA et de l'UMTI</t>
        </is>
      </c>
      <c r="D7" t="inlineStr">
        <is>
          <t>DAPSA/PFAF-S</t>
        </is>
      </c>
      <c r="E7" t="inlineStr"/>
      <c r="F7" t="inlineStr"/>
      <c r="G7" t="inlineStr">
        <is>
          <t>BARDIEU</t>
        </is>
      </c>
      <c r="H7" t="inlineStr"/>
      <c r="I7" t="inlineStr">
        <is>
          <t>melisande.bardieu@intradef.gouv.fr</t>
        </is>
      </c>
      <c r="J7" t="inlineStr">
        <is>
          <t>0238607455</t>
        </is>
      </c>
      <c r="K7" t="inlineStr"/>
      <c r="L7" t="inlineStr">
        <is>
          <t>45404</t>
        </is>
      </c>
      <c r="M7" t="inlineStr">
        <is>
          <t>FLEURY-LES-AUBRAIS CEDEX</t>
        </is>
      </c>
      <c r="N7" t="inlineStr">
        <is>
          <t>92</t>
        </is>
      </c>
      <c r="O7" t="inlineStr"/>
      <c r="P7" t="inlineStr">
        <is>
          <t>Ile-de-France</t>
        </is>
      </c>
      <c r="Q7" s="15" t="n">
        <v>46182</v>
      </c>
      <c r="R7" s="15" t="n">
        <v>46231</v>
      </c>
      <c r="S7" t="inlineStr"/>
      <c r="T7" t="inlineStr">
        <is>
          <t>A_VERIFIER_BUDGET</t>
        </is>
      </c>
      <c r="U7" t="inlineStr"/>
      <c r="V7" t="inlineStr">
        <is>
          <t>non</t>
        </is>
      </c>
      <c r="W7" t="inlineStr">
        <is>
          <t>Batiments</t>
        </is>
      </c>
      <c r="X7" t="inlineStr">
        <is>
          <t>Autre</t>
        </is>
      </c>
      <c r="Y7" t="inlineStr">
        <is>
          <t>SERVICES</t>
        </is>
      </c>
      <c r="Z7" t="inlineStr">
        <is>
          <t>Procédure Adaptée</t>
        </is>
      </c>
      <c r="AA7" t="inlineStr">
        <is>
          <t>Avis de marché</t>
        </is>
      </c>
      <c r="AB7" t="inlineStr">
        <is>
          <t>Nettoyage de locaux</t>
        </is>
      </c>
      <c r="AC7" t="inlineStr">
        <is>
          <t>['sociaux', 'environnementaux']</t>
        </is>
      </c>
      <c r="AD7" s="11" t="inlineStr">
        <is>
          <t>https://www.boamp.fr/pages/avis/?q=idweb:26-56654</t>
        </is>
      </c>
      <c r="AE7" t="inlineStr">
        <is>
          <t>https://www.marches-publics.gouv.fr/entreprise</t>
        </is>
      </c>
      <c r="AF7" t="inlineStr">
        <is>
          <t>https://www.marches-publics.gouv.fr/entreprise</t>
        </is>
      </c>
      <c r="AG7" t="inlineStr">
        <is>
          <t>nettoyage</t>
        </is>
      </c>
      <c r="AH7" t="inlineStr">
        <is>
          <t>4</t>
        </is>
      </c>
      <c r="AI7" t="inlineStr">
        <is>
          <t>78</t>
        </is>
      </c>
      <c r="AJ7" t="inlineStr">
        <is>
          <t>INFO_PARTIELLE</t>
        </is>
      </c>
      <c r="AK7" t="inlineStr">
        <is>
          <t>70</t>
        </is>
      </c>
      <c r="AL7" s="13" t="inlineStr">
        <is>
          <t>CHAUD</t>
        </is>
      </c>
      <c r="AM7">
        <f>MIN(100,MAX(0,IF(OR(ISNUMBER(SEARCH("nettoyage",C7)),ISNUMBER(SEARCH("proprete",C7)),ISNUMBER(SEARCH("entretien",C7)),ISNUMBER(SEARCH("hygiene",C7))),35,0)+IF(SUM(--(N7="75")+--(O7="75"),--(N7="77")+--(O7="77"),--(N7="78")+--(O7="78"),--(N7="91")+--(O7="91"),--(N7="92")+--(O7="92"),--(N7="93")+--(O7="93"),--(N7="94")+--(O7="94"),--(N7="95")+--(O7="95"))&gt;0,25,4)+IF(S7="",10,IF(S7&lt;=50000,25,IF(S7&lt;=100000,20,IF(S7&lt;=200000,5,IF(S7&lt;=500000,-10,-20)))))+IF(I7&lt;&gt;"",4,0)+IF(J7&lt;&gt;"",4,0)+IF(E7&lt;&gt;"",3,0)+IF(K7&lt;&gt;"",2,0)+IF(M7&lt;&gt;"",1,0)+IF(AD7&lt;&gt;"",1,0)+IF(R7="",0,IF(R7&lt;TODAY(),-30,IF(R7&lt;TODAY()+5,-15,IF(R7&lt;=TODAY()+15,5,10))))))</f>
        <v/>
      </c>
      <c r="AN7">
        <f>IF(AM7&gt;=65,"CHAUD",IF(AM7&gt;=40,"TIEDE","FROID"))</f>
        <v/>
      </c>
      <c r="AO7">
        <f>IF((IF(I7&lt;&gt;"",1,0)+IF(J7&lt;&gt;"",1,0)+IF(E7&lt;&gt;"",1,0)+IF(K7&lt;&gt;"",1,0))&gt;=4,"Complet",IF((IF(I7&lt;&gt;"",1,0)+IF(J7&lt;&gt;"",1,0)+IF(E7&lt;&gt;"",1,0)+IF(K7&lt;&gt;"",1,0))&gt;=2,"Partiel","Vide"))</f>
        <v/>
      </c>
      <c r="AP7">
        <f>IF(AJ7="DCE_A_TELECHARGER","Telecharger DCE",IF(T7="A_VERIFIER_BUDGET","Verifier budget",IF(AN7="CHAUD","Contacter maintenant",IF(AN7="TIEDE","Surveiller / relancer","Basse priorite"))))</f>
        <v/>
      </c>
      <c r="AQ7" t="inlineStr">
        <is>
          <t>IA_BUDGET_A_VERIFIER</t>
        </is>
      </c>
      <c r="AR7" t="inlineStr">
        <is>
          <t>Verifier le budget dans l'avis source ou le DCE avant decision commerciale.</t>
        </is>
      </c>
      <c r="AS7" t="inlineStr">
        <is>
          <t>SIRET, adresse, budget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7" t="inlineStr">
        <is>
          <t>Verifier url_avis et DCE si disponible</t>
        </is>
      </c>
      <c r="AV7" t="inlineStr">
        <is>
          <t>LIEN_SEUL</t>
        </is>
      </c>
      <c r="AW7" t="inlineStr"/>
      <c r="AX7" t="inlineStr"/>
      <c r="AY7" t="inlineStr"/>
      <c r="AZ7" t="inlineStr"/>
      <c r="BA7" t="inlineStr"/>
      <c r="BB7" t="inlineStr">
        <is>
          <t>+35 nettoyage + categorie claire | +10 budget non affiche (a verifier) | +15 procedure adaptee / MAPA / allotissement | +10 delai confortable 36j</t>
        </is>
      </c>
      <c r="BC7"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7"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7"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7" t="inlineStr"/>
      <c r="BG7" t="inlineStr"/>
      <c r="BH7" t="inlineStr"/>
      <c r="BI7" t="inlineStr"/>
      <c r="BJ7" t="inlineStr"/>
      <c r="BK7" t="inlineStr"/>
      <c r="BL7" t="inlineStr"/>
      <c r="BM7" t="inlineStr">
        <is>
          <t>2026-W24</t>
        </is>
      </c>
    </row>
    <row r="8">
      <c r="A8" t="inlineStr">
        <is>
          <t>BOAMP</t>
        </is>
      </c>
      <c r="B8" t="inlineStr">
        <is>
          <t>26-54018</t>
        </is>
      </c>
      <c r="C8" t="inlineStr">
        <is>
          <t>Accord-cadre relatif à la maintenance préventive et corrective des aires de jeux de la Ville</t>
        </is>
      </c>
      <c r="D8" t="inlineStr">
        <is>
          <t>Mairie de Mantes La Jolie</t>
        </is>
      </c>
      <c r="E8" t="inlineStr">
        <is>
          <t>21780361800016</t>
        </is>
      </c>
      <c r="F8" t="inlineStr">
        <is>
          <t>217803618</t>
        </is>
      </c>
      <c r="G8" t="inlineStr"/>
      <c r="H8" t="inlineStr"/>
      <c r="I8" t="inlineStr">
        <is>
          <t>marchespublics@manteslajolie.fr</t>
        </is>
      </c>
      <c r="J8" t="inlineStr">
        <is>
          <t>0361800016</t>
        </is>
      </c>
      <c r="K8" t="inlineStr"/>
      <c r="L8" t="inlineStr"/>
      <c r="M8" t="inlineStr"/>
      <c r="N8" t="inlineStr">
        <is>
          <t>78,27</t>
        </is>
      </c>
      <c r="O8" t="inlineStr"/>
      <c r="P8" t="inlineStr">
        <is>
          <t>Ile-de-France</t>
        </is>
      </c>
      <c r="Q8" s="15" t="n">
        <v>46176</v>
      </c>
      <c r="R8" s="15" t="n">
        <v>46211</v>
      </c>
      <c r="S8" s="14" t="n">
        <v>100000</v>
      </c>
      <c r="T8" t="inlineStr">
        <is>
          <t>BUDGET_EXPLICITE_OK</t>
        </is>
      </c>
      <c r="U8" t="inlineStr">
        <is>
          <t>100000.0</t>
        </is>
      </c>
      <c r="V8" t="inlineStr">
        <is>
          <t>non</t>
        </is>
      </c>
      <c r="W8" t="inlineStr">
        <is>
          <t>Mixte/Autre</t>
        </is>
      </c>
      <c r="X8" t="inlineStr">
        <is>
          <t>Mairie</t>
        </is>
      </c>
      <c r="Y8" t="inlineStr">
        <is>
          <t>SERVICES</t>
        </is>
      </c>
      <c r="Z8" t="inlineStr">
        <is>
          <t>Procédure Ouverte</t>
        </is>
      </c>
      <c r="AA8" t="inlineStr">
        <is>
          <t>Avis de marché</t>
        </is>
      </c>
      <c r="AB8" t="inlineStr">
        <is>
          <t>Maintenance, Aire de jeux</t>
        </is>
      </c>
      <c r="AC8" t="inlineStr">
        <is>
          <t>['environnementaux']</t>
        </is>
      </c>
      <c r="AD8" s="11" t="inlineStr">
        <is>
          <t>https://www.boamp.fr/pages/avis/?q=idweb:26-54018</t>
        </is>
      </c>
      <c r="AE8" t="inlineStr">
        <is>
          <t>https://www.achatpublic.com/sdm/ent/gen/ent_detail.do?PCSLID=CSL_2026_yXczYwEh1y</t>
        </is>
      </c>
      <c r="AF8" t="inlineStr">
        <is>
          <t>https://www.achatpublic.com/sdm/ent/gen/ent_detail.do?PCSLID=CSL_2026_yXczYwEh1y</t>
        </is>
      </c>
      <c r="AG8" t="inlineStr">
        <is>
          <t>nettoyage</t>
        </is>
      </c>
      <c r="AH8" t="inlineStr">
        <is>
          <t>3</t>
        </is>
      </c>
      <c r="AI8" t="inlineStr">
        <is>
          <t>68</t>
        </is>
      </c>
      <c r="AJ8" t="inlineStr">
        <is>
          <t>INFO_PARTIELLE</t>
        </is>
      </c>
      <c r="AK8" t="inlineStr">
        <is>
          <t>70</t>
        </is>
      </c>
      <c r="AL8" s="13" t="inlineStr">
        <is>
          <t>CHAUD</t>
        </is>
      </c>
      <c r="AM8">
        <f>MIN(100,MAX(0,IF(OR(ISNUMBER(SEARCH("nettoyage",C8)),ISNUMBER(SEARCH("proprete",C8)),ISNUMBER(SEARCH("entretien",C8)),ISNUMBER(SEARCH("hygiene",C8))),35,0)+IF(SUM(--(N8="75")+--(O8="75"),--(N8="77")+--(O8="77"),--(N8="78")+--(O8="78"),--(N8="91")+--(O8="91"),--(N8="92")+--(O8="92"),--(N8="93")+--(O8="93"),--(N8="94")+--(O8="94"),--(N8="95")+--(O8="95"))&gt;0,25,4)+IF(S8="",10,IF(S8&lt;=50000,25,IF(S8&lt;=100000,20,IF(S8&lt;=200000,5,IF(S8&lt;=500000,-10,-20)))))+IF(I8&lt;&gt;"",4,0)+IF(J8&lt;&gt;"",4,0)+IF(E8&lt;&gt;"",3,0)+IF(K8&lt;&gt;"",2,0)+IF(M8&lt;&gt;"",1,0)+IF(AD8&lt;&gt;"",1,0)+IF(R8="",0,IF(R8&lt;TODAY(),-30,IF(R8&lt;TODAY()+5,-15,IF(R8&lt;=TODAY()+15,5,10))))))</f>
        <v/>
      </c>
      <c r="AN8">
        <f>IF(AM8&gt;=65,"CHAUD",IF(AM8&gt;=40,"TIEDE","FROID"))</f>
        <v/>
      </c>
      <c r="AO8">
        <f>IF((IF(I8&lt;&gt;"",1,0)+IF(J8&lt;&gt;"",1,0)+IF(E8&lt;&gt;"",1,0)+IF(K8&lt;&gt;"",1,0))&gt;=4,"Complet",IF((IF(I8&lt;&gt;"",1,0)+IF(J8&lt;&gt;"",1,0)+IF(E8&lt;&gt;"",1,0)+IF(K8&lt;&gt;"",1,0))&gt;=2,"Partiel","Vide"))</f>
        <v/>
      </c>
      <c r="AP8">
        <f>IF(AJ8="DCE_A_TELECHARGER","Telecharger DCE",IF(T8="A_VERIFIER_BUDGET","Verifier budget",IF(AN8="CHAUD","Contacter maintenant",IF(AN8="TIEDE","Surveiller / relancer","Basse priorite"))))</f>
        <v/>
      </c>
      <c r="AQ8" t="inlineStr">
        <is>
          <t>IA_CONTACT_A_COMPLETER</t>
        </is>
      </c>
      <c r="AR8" t="inlineStr">
        <is>
          <t>Completer les champs manquants depuis l'avis source, le site acheteur ou le DCE.</t>
        </is>
      </c>
      <c r="AS8" t="inlineStr">
        <is>
          <t>adresse, ville</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26-54018. Objet: Accord-cadre relatif à la maintenance préventive et corrective des aires de jeux de la Ville. Acheteur: Mairie de Mantes La Jolie. Lien: https://www.boamp.fr/pages/avis/?q=idweb:26-54018.</t>
        </is>
      </c>
      <c r="AU8" t="inlineStr">
        <is>
          <t>Verifier url_avis et DCE si disponible</t>
        </is>
      </c>
      <c r="AV8" t="inlineStr"/>
      <c r="AW8" t="inlineStr"/>
      <c r="AX8" t="inlineStr"/>
      <c r="AY8" t="inlineStr"/>
      <c r="AZ8" t="inlineStr"/>
      <c r="BA8" t="inlineStr"/>
      <c r="BB8" t="inlineStr">
        <is>
          <t>+30 mots-cles nettoyage forts | +20 budget annualise &lt;= 100 000 EUR | +10 secteur cible Mairie | +10 delai confortable 21j</t>
        </is>
      </c>
      <c r="BC8" t="inlineStr">
        <is>
          <t>Mairie de Mantes La Jolie publie un AO potentiellement pertinent pour CHRUTH : Accord-cadre relatif à la maintenance préventive et corrective des aires de jeux de la Ville. Zone : 78,27. Budget detecte environ 100 000 EUR. Verifier le lien source avant contact.</t>
        </is>
      </c>
      <c r="BD8" t="inlineStr">
        <is>
          <t>Bonjour,
Je me permets de vous contacter au sujet de votre appel d'offres : Accord-cadre relatif à la maintenance préventive et corrective des aires de jeux de la Ville.
CHRUTH accompagne les structures publiques et privees sur les besoins de nettoyage, d'entretien des locaux et d'organisation de prestations de service.
Serait-il possible d'echanger rapidement afin de verifier les modalites de reponse et les attentes de Mairie de Mantes La Jolie ?
Cordialement,</t>
        </is>
      </c>
      <c r="BE8" t="inlineStr">
        <is>
          <t>Bonjour, je vous appelle concernant un appel d'offres publie par Mairie de Mantes La Jolie. Je souhaite verifier les informations pratiques : perimetre des prestations, date limite, modalites de visite, contact technique et pieces attendues. Pouvez-vous m'indiquer la bonne personne a contacter ?</t>
        </is>
      </c>
      <c r="BF8" t="inlineStr"/>
      <c r="BG8" t="inlineStr"/>
      <c r="BH8" t="inlineStr"/>
      <c r="BI8" t="inlineStr"/>
      <c r="BJ8" t="inlineStr"/>
      <c r="BK8" t="inlineStr"/>
      <c r="BL8" t="inlineStr"/>
      <c r="BM8" t="inlineStr">
        <is>
          <t>2026-W23</t>
        </is>
      </c>
    </row>
    <row r="9">
      <c r="A9" t="inlineStr">
        <is>
          <t>BOAMP</t>
        </is>
      </c>
      <c r="B9" t="inlineStr">
        <is>
          <t>26-64286</t>
        </is>
      </c>
      <c r="C9" t="inlineStr">
        <is>
          <t>Prestations de nettoyage des locaux</t>
        </is>
      </c>
      <c r="D9" t="inlineStr">
        <is>
          <t>Commune de Montfermeil</t>
        </is>
      </c>
      <c r="E9" t="inlineStr">
        <is>
          <t>21930047200194</t>
        </is>
      </c>
      <c r="F9" t="inlineStr">
        <is>
          <t>219300472</t>
        </is>
      </c>
      <c r="G9" t="inlineStr"/>
      <c r="H9" t="inlineStr"/>
      <c r="I9" t="inlineStr">
        <is>
          <t>service.marches@ville-montfermeil.fr</t>
        </is>
      </c>
      <c r="J9" t="inlineStr">
        <is>
          <t>0194 014170</t>
        </is>
      </c>
      <c r="K9" t="inlineStr"/>
      <c r="L9" t="inlineStr"/>
      <c r="M9" t="inlineStr"/>
      <c r="N9" t="inlineStr">
        <is>
          <t>93</t>
        </is>
      </c>
      <c r="O9" t="inlineStr"/>
      <c r="P9" t="inlineStr">
        <is>
          <t>Ile-de-France</t>
        </is>
      </c>
      <c r="Q9" s="15" t="n">
        <v>46204</v>
      </c>
      <c r="R9" s="15" t="n">
        <v>46237</v>
      </c>
      <c r="S9" t="inlineStr"/>
      <c r="T9" t="inlineStr">
        <is>
          <t>A_VERIFIER_BUDGET</t>
        </is>
      </c>
      <c r="U9" t="inlineStr"/>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c r="AD9" s="11" t="inlineStr">
        <is>
          <t>https://www.boamp.fr/pages/avis/?q=idweb:26-64286</t>
        </is>
      </c>
      <c r="AE9" t="inlineStr">
        <is>
          <t>https://marches.maximilien.fr/?page=Entreprise.EntrepriseAdvancedSearch&amp;AllCons&amp;id=933515&amp;orgAcronyme=y0w</t>
        </is>
      </c>
      <c r="AF9" t="inlineStr">
        <is>
          <t>https://marches.maximilien.fr/?page=Entreprise.EntrepriseAdvancedSearch&amp;AllCons&amp;id=933515&amp;orgAcronyme=y0w</t>
        </is>
      </c>
      <c r="AG9" t="inlineStr">
        <is>
          <t>nettoyage</t>
        </is>
      </c>
      <c r="AH9" t="inlineStr">
        <is>
          <t>3</t>
        </is>
      </c>
      <c r="AI9" t="inlineStr">
        <is>
          <t>68</t>
        </is>
      </c>
      <c r="AJ9" t="inlineStr">
        <is>
          <t>INFO_PARTIELLE</t>
        </is>
      </c>
      <c r="AK9" t="inlineStr">
        <is>
          <t>65</t>
        </is>
      </c>
      <c r="AL9" s="13" t="inlineStr">
        <is>
          <t>CHAUD</t>
        </is>
      </c>
      <c r="AM9">
        <f>MIN(100,MAX(0,IF(OR(ISNUMBER(SEARCH("nettoyage",C9)),ISNUMBER(SEARCH("proprete",C9)),ISNUMBER(SEARCH("entretien",C9)),ISNUMBER(SEARCH("hygiene",C9))),35,0)+IF(SUM(--(N9="75")+--(O9="75"),--(N9="77")+--(O9="77"),--(N9="78")+--(O9="78"),--(N9="91")+--(O9="91"),--(N9="92")+--(O9="92"),--(N9="93")+--(O9="93"),--(N9="94")+--(O9="94"),--(N9="95")+--(O9="95"))&gt;0,25,4)+IF(S9="",10,IF(S9&lt;=50000,25,IF(S9&lt;=100000,20,IF(S9&lt;=200000,5,IF(S9&lt;=500000,-10,-20)))))+IF(I9&lt;&gt;"",4,0)+IF(J9&lt;&gt;"",4,0)+IF(E9&lt;&gt;"",3,0)+IF(K9&lt;&gt;"",2,0)+IF(M9&lt;&gt;"",1,0)+IF(AD9&lt;&gt;"",1,0)+IF(R9="",0,IF(R9&lt;TODAY(),-30,IF(R9&lt;TODAY()+5,-15,IF(R9&lt;=TODAY()+15,5,10))))))</f>
        <v/>
      </c>
      <c r="AN9">
        <f>IF(AM9&gt;=65,"CHAUD",IF(AM9&gt;=40,"TIEDE","FROID"))</f>
        <v/>
      </c>
      <c r="AO9">
        <f>IF((IF(I9&lt;&gt;"",1,0)+IF(J9&lt;&gt;"",1,0)+IF(E9&lt;&gt;"",1,0)+IF(K9&lt;&gt;"",1,0))&gt;=4,"Complet",IF((IF(I9&lt;&gt;"",1,0)+IF(J9&lt;&gt;"",1,0)+IF(E9&lt;&gt;"",1,0)+IF(K9&lt;&gt;"",1,0))&gt;=2,"Partiel","Vide"))</f>
        <v/>
      </c>
      <c r="AP9">
        <f>IF(AJ9="DCE_A_TELECHARGER","Telecharger DCE",IF(T9="A_VERIFIER_BUDGET","Verifier budget",IF(AN9="CHAUD","Contacter maintenant",IF(AN9="TIEDE","Surveiller / relancer","Basse priorite"))))</f>
        <v/>
      </c>
      <c r="AQ9" t="inlineStr">
        <is>
          <t>IA_BUDGET_A_VERIFIER</t>
        </is>
      </c>
      <c r="AR9" t="inlineStr">
        <is>
          <t>Verifier le budget dans l'avis source ou le DCE avant decision commerciale.</t>
        </is>
      </c>
      <c r="AS9" t="inlineStr">
        <is>
          <t>adresse, ville,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9" t="inlineStr">
        <is>
          <t>Verifier url_avis et DCE si disponible</t>
        </is>
      </c>
      <c r="AV9" t="inlineStr"/>
      <c r="AW9" t="inlineStr"/>
      <c r="AX9" t="inlineStr"/>
      <c r="AY9" t="inlineStr"/>
      <c r="AZ9" t="inlineStr"/>
      <c r="BA9" t="inlineStr"/>
      <c r="BB9" t="inlineStr">
        <is>
          <t>+35 nettoyage + categorie claire | +10 budget non affiche (a verifier) | +10 secteur cible Mairie | +10 delai confortable 28j</t>
        </is>
      </c>
      <c r="BC9" t="inlineStr">
        <is>
          <t>Commune de Montfermeil publie un AO potentiellement pertinent pour CHRUTH : Prestations de nettoyage des locaux. Zone : 93. Budget a verifier. Verifier le lien source avant contact.</t>
        </is>
      </c>
      <c r="BD9"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9"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2026-W27</t>
        </is>
      </c>
    </row>
    <row r="10">
      <c r="A10" t="inlineStr">
        <is>
          <t>BOAMP</t>
        </is>
      </c>
      <c r="B10" t="inlineStr">
        <is>
          <t>26-63518</t>
        </is>
      </c>
      <c r="C10" t="inlineStr">
        <is>
          <t>NETTOYAGE DES BÂTIMENTS COMMUNAUX</t>
        </is>
      </c>
      <c r="D10" t="inlineStr">
        <is>
          <t>MAIRIE DE SAINT-CLAIR-SUR6epte</t>
        </is>
      </c>
      <c r="E10" t="inlineStr">
        <is>
          <t>21950541900016</t>
        </is>
      </c>
      <c r="F10" t="inlineStr">
        <is>
          <t>219505419</t>
        </is>
      </c>
      <c r="G10" t="inlineStr"/>
      <c r="H10" t="inlineStr"/>
      <c r="I10" t="inlineStr">
        <is>
          <t>charlotte.stclair@outlook.fr</t>
        </is>
      </c>
      <c r="J10" t="inlineStr">
        <is>
          <t>0541900016</t>
        </is>
      </c>
      <c r="K10" t="inlineStr"/>
      <c r="L10" t="inlineStr"/>
      <c r="M10" t="inlineStr"/>
      <c r="N10" t="inlineStr">
        <is>
          <t>95</t>
        </is>
      </c>
      <c r="O10" t="inlineStr"/>
      <c r="P10" t="inlineStr">
        <is>
          <t>Ile-de-France</t>
        </is>
      </c>
      <c r="Q10" s="15" t="n">
        <v>46201</v>
      </c>
      <c r="R10" s="15" t="n">
        <v>46276</v>
      </c>
      <c r="S10" t="inlineStr"/>
      <c r="T10" t="inlineStr">
        <is>
          <t>A_VERIFIER_BUDGET</t>
        </is>
      </c>
      <c r="U10" t="inlineStr"/>
      <c r="V10" t="inlineStr">
        <is>
          <t>non</t>
        </is>
      </c>
      <c r="W10" t="inlineStr">
        <is>
          <t>Batiments</t>
        </is>
      </c>
      <c r="X10" t="inlineStr">
        <is>
          <t>Mairie</t>
        </is>
      </c>
      <c r="Y10" t="inlineStr">
        <is>
          <t>SERVICES</t>
        </is>
      </c>
      <c r="Z10" t="inlineStr">
        <is>
          <t>Procédure Ouverte</t>
        </is>
      </c>
      <c r="AA10" t="inlineStr">
        <is>
          <t>Avis de marché</t>
        </is>
      </c>
      <c r="AB10" t="inlineStr">
        <is>
          <t>Nettoyage de locaux, Bâtiment</t>
        </is>
      </c>
      <c r="AC10" t="inlineStr"/>
      <c r="AD10" s="11" t="inlineStr">
        <is>
          <t>https://www.boamp.fr/pages/avis/?q=idweb:26-63518</t>
        </is>
      </c>
      <c r="AE10" t="inlineStr">
        <is>
          <t>https://marches.maximilien.fr/entreprise/consultation/942071?orgAcronyme=d8o</t>
        </is>
      </c>
      <c r="AF10" t="inlineStr">
        <is>
          <t>https://marches.maximilien.fr/entreprise/consultation/942071?orgAcronyme=d8o</t>
        </is>
      </c>
      <c r="AG10" t="inlineStr">
        <is>
          <t>nettoyage, menage</t>
        </is>
      </c>
      <c r="AH10" t="inlineStr">
        <is>
          <t>3</t>
        </is>
      </c>
      <c r="AI10" t="inlineStr">
        <is>
          <t>76</t>
        </is>
      </c>
      <c r="AJ10" t="inlineStr">
        <is>
          <t>INFO_PARTIELLE</t>
        </is>
      </c>
      <c r="AK10" t="inlineStr">
        <is>
          <t>65</t>
        </is>
      </c>
      <c r="AL10" s="13" t="inlineStr">
        <is>
          <t>CHAUD</t>
        </is>
      </c>
      <c r="AM10">
        <f>MIN(100,MAX(0,IF(OR(ISNUMBER(SEARCH("nettoyage",C10)),ISNUMBER(SEARCH("proprete",C10)),ISNUMBER(SEARCH("entretien",C10)),ISNUMBER(SEARCH("hygiene",C10))),35,0)+IF(SUM(--(N10="75")+--(O10="75"),--(N10="77")+--(O10="77"),--(N10="78")+--(O10="78"),--(N10="91")+--(O10="91"),--(N10="92")+--(O10="92"),--(N10="93")+--(O10="93"),--(N10="94")+--(O10="94"),--(N10="95")+--(O10="95"))&gt;0,25,4)+IF(S10="",10,IF(S10&lt;=50000,25,IF(S10&lt;=100000,20,IF(S10&lt;=200000,5,IF(S10&lt;=500000,-10,-20)))))+IF(I10&lt;&gt;"",4,0)+IF(J10&lt;&gt;"",4,0)+IF(E10&lt;&gt;"",3,0)+IF(K10&lt;&gt;"",2,0)+IF(M10&lt;&gt;"",1,0)+IF(AD10&lt;&gt;"",1,0)+IF(R10="",0,IF(R10&lt;TODAY(),-30,IF(R10&lt;TODAY()+5,-15,IF(R10&lt;=TODAY()+15,5,10))))))</f>
        <v/>
      </c>
      <c r="AN10">
        <f>IF(AM10&gt;=65,"CHAUD",IF(AM10&gt;=40,"TIEDE","FROID"))</f>
        <v/>
      </c>
      <c r="AO10">
        <f>IF((IF(I10&lt;&gt;"",1,0)+IF(J10&lt;&gt;"",1,0)+IF(E10&lt;&gt;"",1,0)+IF(K10&lt;&gt;"",1,0))&gt;=4,"Complet",IF((IF(I10&lt;&gt;"",1,0)+IF(J10&lt;&gt;"",1,0)+IF(E10&lt;&gt;"",1,0)+IF(K10&lt;&gt;"",1,0))&gt;=2,"Partiel","Vide"))</f>
        <v/>
      </c>
      <c r="AP10">
        <f>IF(AJ10="DCE_A_TELECHARGER","Telecharger DCE",IF(T10="A_VERIFIER_BUDGET","Verifier budget",IF(AN10="CHAUD","Contacter maintenant",IF(AN10="TIEDE","Surveiller / relancer","Basse priorite"))))</f>
        <v/>
      </c>
      <c r="AQ10" t="inlineStr">
        <is>
          <t>IA_BUDGET_A_VERIFIER</t>
        </is>
      </c>
      <c r="AR10" t="inlineStr">
        <is>
          <t>Verifier le budget dans l'avis source ou le DCE avant decision commerciale.</t>
        </is>
      </c>
      <c r="AS10" t="inlineStr">
        <is>
          <t>adresse, ville,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10" t="inlineStr">
        <is>
          <t>Verifier url_avis et DCE si disponible</t>
        </is>
      </c>
      <c r="AV10" t="inlineStr"/>
      <c r="AW10" t="inlineStr"/>
      <c r="AX10" t="inlineStr"/>
      <c r="AY10" t="inlineStr"/>
      <c r="AZ10" t="inlineStr"/>
      <c r="BA10" t="inlineStr"/>
      <c r="BB10" t="inlineStr">
        <is>
          <t>+35 nettoyage + categorie claire | +10 budget non affiche (a verifier) | +10 secteur cible Mairie | +10 delai confortable 67j</t>
        </is>
      </c>
      <c r="BC10" t="inlineStr">
        <is>
          <t>MAIRIE DE SAINT-CLAIR-SUR6epte publie un AO potentiellement pertinent pour CHRUTH : NETTOYAGE DES BÂTIMENTS COMMUNAUX. Zone : 95. Budget a verifier. Verifier le lien source avant contact.</t>
        </is>
      </c>
      <c r="BD10"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10"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2026-W26</t>
        </is>
      </c>
    </row>
    <row r="11">
      <c r="A11" t="inlineStr">
        <is>
          <t>BOAMP</t>
        </is>
      </c>
      <c r="B11" t="inlineStr">
        <is>
          <t>26-63201</t>
        </is>
      </c>
      <c r="C11" t="inlineStr">
        <is>
          <t>PRESTATION DE NETTOYAGE ET D'ENTRETIEN DES LOCAUX COMMUNAUX</t>
        </is>
      </c>
      <c r="D11" t="inlineStr">
        <is>
          <t>Commune de Saulx Les Chartreux</t>
        </is>
      </c>
      <c r="E11" t="inlineStr">
        <is>
          <t>21910587100012</t>
        </is>
      </c>
      <c r="F11" t="inlineStr">
        <is>
          <t>219105871</t>
        </is>
      </c>
      <c r="G11" t="inlineStr"/>
      <c r="H11" t="inlineStr"/>
      <c r="I11" t="inlineStr">
        <is>
          <t>finances@saulx.org</t>
        </is>
      </c>
      <c r="J11" t="inlineStr">
        <is>
          <t>0587100012</t>
        </is>
      </c>
      <c r="K11" t="inlineStr"/>
      <c r="L11" t="inlineStr"/>
      <c r="M11" t="inlineStr"/>
      <c r="N11" t="inlineStr">
        <is>
          <t>91,92,93,94</t>
        </is>
      </c>
      <c r="O11" t="inlineStr"/>
      <c r="P11" t="inlineStr">
        <is>
          <t>Ile-de-France</t>
        </is>
      </c>
      <c r="Q11" s="15" t="n">
        <v>46200</v>
      </c>
      <c r="R11" s="15" t="n">
        <v>46234</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is>
          <t>['environnementaux']</t>
        </is>
      </c>
      <c r="AD11" s="11" t="inlineStr">
        <is>
          <t>https://www.boamp.fr/pages/avis/?q=idweb:26-63201</t>
        </is>
      </c>
      <c r="AE11" t="inlineStr">
        <is>
          <t>https://www.achatpublic.com/sdm/ent/gen/ent_detail.do?PCSLID=CSL_2026_-rboFCvnvk</t>
        </is>
      </c>
      <c r="AF11" t="inlineStr">
        <is>
          <t>https://www.achatpublic.com/sdm/ent/gen/ent_detail.do?PCSLID=CSL_2026_-rboFCvnvk</t>
        </is>
      </c>
      <c r="AG11" t="inlineStr">
        <is>
          <t>nettoyage, entretien des locaux</t>
        </is>
      </c>
      <c r="AH11" t="inlineStr">
        <is>
          <t>3</t>
        </is>
      </c>
      <c r="AI11" t="inlineStr">
        <is>
          <t>76</t>
        </is>
      </c>
      <c r="AJ11" t="inlineStr">
        <is>
          <t>INFO_PARTIELLE</t>
        </is>
      </c>
      <c r="AK11" t="inlineStr">
        <is>
          <t>65</t>
        </is>
      </c>
      <c r="AL11" s="13" t="inlineStr">
        <is>
          <t>CHAUD</t>
        </is>
      </c>
      <c r="AM11">
        <f>MIN(100,MAX(0,IF(OR(ISNUMBER(SEARCH("nettoyage",C11)),ISNUMBER(SEARCH("proprete",C11)),ISNUMBER(SEARCH("entretien",C11)),ISNUMBER(SEARCH("hygiene",C11))),35,0)+IF(SUM(--(N11="75")+--(O11="75"),--(N11="77")+--(O11="77"),--(N11="78")+--(O11="78"),--(N11="91")+--(O11="91"),--(N11="92")+--(O11="92"),--(N11="93")+--(O11="93"),--(N11="94")+--(O11="94"),--(N11="95")+--(O11="95"))&gt;0,25,4)+IF(S11="",10,IF(S11&lt;=50000,25,IF(S11&lt;=100000,20,IF(S11&lt;=200000,5,IF(S11&lt;=500000,-10,-20)))))+IF(I11&lt;&gt;"",4,0)+IF(J11&lt;&gt;"",4,0)+IF(E11&lt;&gt;"",3,0)+IF(K11&lt;&gt;"",2,0)+IF(M11&lt;&gt;"",1,0)+IF(AD11&lt;&gt;"",1,0)+IF(R11="",0,IF(R11&lt;TODAY(),-30,IF(R11&lt;TODAY()+5,-15,IF(R11&lt;=TODAY()+15,5,10))))))</f>
        <v/>
      </c>
      <c r="AN11">
        <f>IF(AM11&gt;=65,"CHAUD",IF(AM11&gt;=40,"TIEDE","FROID"))</f>
        <v/>
      </c>
      <c r="AO11">
        <f>IF((IF(I11&lt;&gt;"",1,0)+IF(J11&lt;&gt;"",1,0)+IF(E11&lt;&gt;"",1,0)+IF(K11&lt;&gt;"",1,0))&gt;=4,"Complet",IF((IF(I11&lt;&gt;"",1,0)+IF(J11&lt;&gt;"",1,0)+IF(E11&lt;&gt;"",1,0)+IF(K11&lt;&gt;"",1,0))&gt;=2,"Partiel","Vide"))</f>
        <v/>
      </c>
      <c r="AP11">
        <f>IF(AJ11="DCE_A_TELECHARGER","Telecharger DCE",IF(T11="A_VERIFIER_BUDGET","Verifier budget",IF(AN11="CHAUD","Contacter maintenant",IF(AN11="TIEDE","Surveiller / relancer","Basse priorite"))))</f>
        <v/>
      </c>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11" t="inlineStr">
        <is>
          <t>Verifier url_avis et DCE si disponible</t>
        </is>
      </c>
      <c r="AV11" t="inlineStr"/>
      <c r="AW11" t="inlineStr"/>
      <c r="AX11" t="inlineStr"/>
      <c r="AY11" t="inlineStr"/>
      <c r="AZ11" t="inlineStr"/>
      <c r="BA11" t="inlineStr"/>
      <c r="BB11" t="inlineStr">
        <is>
          <t>+35 nettoyage + categorie claire | +10 budget non affiche (a verifier) | +10 secteur cible Mairie | +10 delai confortable 25j</t>
        </is>
      </c>
      <c r="BC11" t="inlineStr">
        <is>
          <t>Commune de Saulx Les Chartreux publie un AO potentiellement pertinent pour CHRUTH : PRESTATION DE NETTOYAGE ET D'ENTRETIEN DES LOCAUX COMMUNAUX. Zone : 91,92,93,94. Budget a verifier. Verifier le lien source avant contact.</t>
        </is>
      </c>
      <c r="BD11"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11"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2026-W26</t>
        </is>
      </c>
    </row>
    <row r="12">
      <c r="A12" t="inlineStr">
        <is>
          <t>BOAMP</t>
        </is>
      </c>
      <c r="B12" t="inlineStr">
        <is>
          <t>26-62837</t>
        </is>
      </c>
      <c r="C12" t="inlineStr">
        <is>
          <t>PRESTATION DE NETTOYAGE DES LOCAUX ET DE LA VITRERIE</t>
        </is>
      </c>
      <c r="D12" t="inlineStr">
        <is>
          <t>ENC-PSL</t>
        </is>
      </c>
      <c r="E12" t="inlineStr">
        <is>
          <t>19753478700043</t>
        </is>
      </c>
      <c r="F12" t="inlineStr">
        <is>
          <t>197534787</t>
        </is>
      </c>
      <c r="G12" t="inlineStr">
        <is>
          <t>ZAKARIA</t>
        </is>
      </c>
      <c r="H12" t="inlineStr"/>
      <c r="I12" t="inlineStr">
        <is>
          <t>yvan.zakaria@chartes.psl.eu</t>
        </is>
      </c>
      <c r="J12" t="inlineStr">
        <is>
          <t>+33 155422161</t>
        </is>
      </c>
      <c r="K12" t="inlineStr">
        <is>
          <t>PARIS</t>
        </is>
      </c>
      <c r="L12" t="inlineStr">
        <is>
          <t>75002</t>
        </is>
      </c>
      <c r="M12" t="inlineStr">
        <is>
          <t>Paris</t>
        </is>
      </c>
      <c r="N12" t="inlineStr">
        <is>
          <t>75</t>
        </is>
      </c>
      <c r="O12" t="inlineStr"/>
      <c r="P12" t="inlineStr">
        <is>
          <t>Ile-de-France</t>
        </is>
      </c>
      <c r="Q12" s="15" t="n">
        <v>46198</v>
      </c>
      <c r="R12" s="15" t="n">
        <v>46227</v>
      </c>
      <c r="S12" s="14" t="n">
        <v>75002</v>
      </c>
      <c r="T12" t="inlineStr">
        <is>
          <t>BUDGET_SOUS_SEUIL</t>
        </is>
      </c>
      <c r="U12" t="inlineStr">
        <is>
          <t>75002.0</t>
        </is>
      </c>
      <c r="V12" t="inlineStr">
        <is>
          <t>non</t>
        </is>
      </c>
      <c r="W12" t="inlineStr">
        <is>
          <t>Vitres</t>
        </is>
      </c>
      <c r="X12" t="inlineStr">
        <is>
          <t>Autre</t>
        </is>
      </c>
      <c r="Y12" t="inlineStr">
        <is>
          <t>SERVICES</t>
        </is>
      </c>
      <c r="Z12" t="inlineStr">
        <is>
          <t>Procédure Ouverte</t>
        </is>
      </c>
      <c r="AA12" t="inlineStr">
        <is>
          <t>Avis de marché</t>
        </is>
      </c>
      <c r="AB12" t="inlineStr">
        <is>
          <t>Nettoyage de locaux</t>
        </is>
      </c>
      <c r="AC12" t="inlineStr">
        <is>
          <t>['environnementaux']</t>
        </is>
      </c>
      <c r="AD12" s="11" t="inlineStr">
        <is>
          <t>https://www.boamp.fr/pages/avis/?q=idweb:26-62837</t>
        </is>
      </c>
      <c r="AE12" t="inlineStr">
        <is>
          <t>https://www.marches-publics.gouv.fr/entreprise/consultation/3025739?orgAcronyme=f2h</t>
        </is>
      </c>
      <c r="AF12" t="inlineStr">
        <is>
          <t>https://www.marches-publics.gouv.fr/entreprise/consultation/3025739?orgAcronyme=f2h</t>
        </is>
      </c>
      <c r="AG12" t="inlineStr">
        <is>
          <t>nettoyage</t>
        </is>
      </c>
      <c r="AH12" t="inlineStr">
        <is>
          <t>6</t>
        </is>
      </c>
      <c r="AI12" t="inlineStr">
        <is>
          <t>98</t>
        </is>
      </c>
      <c r="AJ12" t="inlineStr">
        <is>
          <t>INFO_PARTIELLE</t>
        </is>
      </c>
      <c r="AK12" t="inlineStr">
        <is>
          <t>65</t>
        </is>
      </c>
      <c r="AL12" s="13" t="inlineStr">
        <is>
          <t>CHAUD</t>
        </is>
      </c>
      <c r="AM12">
        <f>MIN(100,MAX(0,IF(OR(ISNUMBER(SEARCH("nettoyage",C12)),ISNUMBER(SEARCH("proprete",C12)),ISNUMBER(SEARCH("entretien",C12)),ISNUMBER(SEARCH("hygiene",C12))),35,0)+IF(SUM(--(N12="75")+--(O12="75"),--(N12="77")+--(O12="77"),--(N12="78")+--(O12="78"),--(N12="91")+--(O12="91"),--(N12="92")+--(O12="92"),--(N12="93")+--(O12="93"),--(N12="94")+--(O12="94"),--(N12="95")+--(O12="95"))&gt;0,25,4)+IF(S12="",10,IF(S12&lt;=50000,25,IF(S12&lt;=100000,20,IF(S12&lt;=200000,5,IF(S12&lt;=500000,-10,-20)))))+IF(I12&lt;&gt;"",4,0)+IF(J12&lt;&gt;"",4,0)+IF(E12&lt;&gt;"",3,0)+IF(K12&lt;&gt;"",2,0)+IF(M12&lt;&gt;"",1,0)+IF(AD12&lt;&gt;"",1,0)+IF(R12="",0,IF(R12&lt;TODAY(),-30,IF(R12&lt;TODAY()+5,-15,IF(R12&lt;=TODAY()+15,5,10))))))</f>
        <v/>
      </c>
      <c r="AN12">
        <f>IF(AM12&gt;=65,"CHAUD",IF(AM12&gt;=40,"TIEDE","FROID"))</f>
        <v/>
      </c>
      <c r="AO12">
        <f>IF((IF(I12&lt;&gt;"",1,0)+IF(J12&lt;&gt;"",1,0)+IF(E12&lt;&gt;"",1,0)+IF(K12&lt;&gt;"",1,0))&gt;=4,"Complet",IF((IF(I12&lt;&gt;"",1,0)+IF(J12&lt;&gt;"",1,0)+IF(E12&lt;&gt;"",1,0)+IF(K12&lt;&gt;"",1,0))&gt;=2,"Partiel","Vide"))</f>
        <v/>
      </c>
      <c r="AP12">
        <f>IF(AJ12="DCE_A_TELECHARGER","Telecharger DCE",IF(T12="A_VERIFIER_BUDGET","Verifier budget",IF(AN12="CHAUD","Contacter maintenant",IF(AN12="TIEDE","Surveiller / relancer","Basse priorite"))))</f>
        <v/>
      </c>
      <c r="AQ12" t="inlineStr">
        <is>
          <t>IA_CONTROLE_SOURCE</t>
        </is>
      </c>
      <c r="AR12" t="inlineStr">
        <is>
          <t>Verifier rapidement la source avant contact.</t>
        </is>
      </c>
      <c r="AS12" t="inlineStr">
        <is>
          <t>Aucun champ critique manquant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26-62837. Objet: PRESTATION DE NETTOYAGE DES LOCAUX ET DE LA VITRERIE. Acheteur: ENC-PSL. Lien: https://www.boamp.fr/pages/avis/?q=idweb:26-62837.</t>
        </is>
      </c>
      <c r="AU12" t="inlineStr">
        <is>
          <t>Verifier url_avis et DCE si disponible</t>
        </is>
      </c>
      <c r="AV12" t="inlineStr"/>
      <c r="AW12" t="inlineStr"/>
      <c r="AX12" t="inlineStr"/>
      <c r="AY12" t="inlineStr"/>
      <c r="AZ12" t="inlineStr"/>
      <c r="BA12" t="inlineStr"/>
      <c r="BB12" t="inlineStr">
        <is>
          <t>+35 nettoyage + categorie claire | +20 budget annualise &lt;= 100 000 EUR | +10 delai confortable 18j</t>
        </is>
      </c>
      <c r="BC12" t="inlineStr">
        <is>
          <t>ENC-PSL publie un AO potentiellement pertinent pour CHRUTH : PRESTATION DE NETTOYAGE DES LOCAUX ET DE LA VITRERIE. Zone : Paris. Budget detecte environ 75 002 EUR. Verifier le lien source avant contact.</t>
        </is>
      </c>
      <c r="BD12"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ENC-PSL ?
Cordialement,</t>
        </is>
      </c>
      <c r="BE12" t="inlineStr">
        <is>
          <t>Bonjour, je vous appelle concernant un appel d'offres publié par ENC-PSL.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26-62488</t>
        </is>
      </c>
      <c r="C13" t="inlineStr">
        <is>
          <t>Prestation de nettoyage des locaux et de la vitrerie</t>
        </is>
      </c>
      <c r="D13" t="inlineStr">
        <is>
          <t>ECOLE NATIONALE DES CHARTES</t>
        </is>
      </c>
      <c r="E13" t="inlineStr">
        <is>
          <t>19753478700043</t>
        </is>
      </c>
      <c r="F13" t="inlineStr">
        <is>
          <t>197534787</t>
        </is>
      </c>
      <c r="G13" t="inlineStr">
        <is>
          <t>service logistique</t>
        </is>
      </c>
      <c r="H13" t="inlineStr"/>
      <c r="I13" t="inlineStr">
        <is>
          <t>daf@chartes.psl.eu</t>
        </is>
      </c>
      <c r="J13" t="inlineStr">
        <is>
          <t>06-24 2026-07</t>
        </is>
      </c>
      <c r="K13" t="inlineStr">
        <is>
          <t>Paris 75002</t>
        </is>
      </c>
      <c r="L13" t="inlineStr">
        <is>
          <t>75002</t>
        </is>
      </c>
      <c r="M13" t="inlineStr">
        <is>
          <t>Paris</t>
        </is>
      </c>
      <c r="N13" t="inlineStr">
        <is>
          <t>75,77,78,91,92,93,94,95</t>
        </is>
      </c>
      <c r="O13" t="inlineStr"/>
      <c r="P13" t="inlineStr">
        <is>
          <t>Ile-de-France</t>
        </is>
      </c>
      <c r="Q13" s="15" t="n">
        <v>46197</v>
      </c>
      <c r="R13" s="15" t="n">
        <v>46227</v>
      </c>
      <c r="S13" t="inlineStr"/>
      <c r="T13" t="inlineStr">
        <is>
          <t>A_VERIFIER_BUDGET</t>
        </is>
      </c>
      <c r="U13" t="inlineStr"/>
      <c r="V13" t="inlineStr">
        <is>
          <t>non</t>
        </is>
      </c>
      <c r="W13" t="inlineStr">
        <is>
          <t>Vitres</t>
        </is>
      </c>
      <c r="X13" t="inlineStr">
        <is>
          <t>Ecole</t>
        </is>
      </c>
      <c r="Y13" t="inlineStr">
        <is>
          <t>SERVICES</t>
        </is>
      </c>
      <c r="Z13" t="inlineStr">
        <is>
          <t>Procédure Ouverte</t>
        </is>
      </c>
      <c r="AA13" t="inlineStr">
        <is>
          <t>Avis de marché</t>
        </is>
      </c>
      <c r="AB13" t="inlineStr">
        <is>
          <t>Nettoyage de locaux</t>
        </is>
      </c>
      <c r="AC13" t="inlineStr">
        <is>
          <t>['environnementaux']</t>
        </is>
      </c>
      <c r="AD13" s="11" t="inlineStr">
        <is>
          <t>https://www.boamp.fr/pages/avis/?q=idweb:26-62488</t>
        </is>
      </c>
      <c r="AE13" t="inlineStr"/>
      <c r="AF13" t="inlineStr"/>
      <c r="AG13" t="inlineStr">
        <is>
          <t>nettoyage</t>
        </is>
      </c>
      <c r="AH13" t="inlineStr">
        <is>
          <t>6</t>
        </is>
      </c>
      <c r="AI13" t="inlineStr">
        <is>
          <t>98</t>
        </is>
      </c>
      <c r="AJ13" t="inlineStr">
        <is>
          <t>INFO_PARTIELLE</t>
        </is>
      </c>
      <c r="AK13" t="inlineStr">
        <is>
          <t>65</t>
        </is>
      </c>
      <c r="AL13" s="13" t="inlineStr">
        <is>
          <t>CHAUD</t>
        </is>
      </c>
      <c r="AM13">
        <f>MIN(100,MAX(0,IF(OR(ISNUMBER(SEARCH("nettoyage",C13)),ISNUMBER(SEARCH("proprete",C13)),ISNUMBER(SEARCH("entretien",C13)),ISNUMBER(SEARCH("hygiene",C13))),35,0)+IF(SUM(--(N13="75")+--(O13="75"),--(N13="77")+--(O13="77"),--(N13="78")+--(O13="78"),--(N13="91")+--(O13="91"),--(N13="92")+--(O13="92"),--(N13="93")+--(O13="93"),--(N13="94")+--(O13="94"),--(N13="95")+--(O13="95"))&gt;0,25,4)+IF(S13="",10,IF(S13&lt;=50000,25,IF(S13&lt;=100000,20,IF(S13&lt;=200000,5,IF(S13&lt;=500000,-10,-20)))))+IF(I13&lt;&gt;"",4,0)+IF(J13&lt;&gt;"",4,0)+IF(E13&lt;&gt;"",3,0)+IF(K13&lt;&gt;"",2,0)+IF(M13&lt;&gt;"",1,0)+IF(AD13&lt;&gt;"",1,0)+IF(R13="",0,IF(R13&lt;TODAY(),-30,IF(R13&lt;TODAY()+5,-15,IF(R13&lt;=TODAY()+15,5,10))))))</f>
        <v/>
      </c>
      <c r="AN13">
        <f>IF(AM13&gt;=65,"CHAUD",IF(AM13&gt;=40,"TIEDE","FROID"))</f>
        <v/>
      </c>
      <c r="AO13">
        <f>IF((IF(I13&lt;&gt;"",1,0)+IF(J13&lt;&gt;"",1,0)+IF(E13&lt;&gt;"",1,0)+IF(K13&lt;&gt;"",1,0))&gt;=4,"Complet",IF((IF(I13&lt;&gt;"",1,0)+IF(J13&lt;&gt;"",1,0)+IF(E13&lt;&gt;"",1,0)+IF(K13&lt;&gt;"",1,0))&gt;=2,"Partiel","Vide"))</f>
        <v/>
      </c>
      <c r="AP13">
        <f>IF(AJ13="DCE_A_TELECHARGER","Telecharger DCE",IF(T13="A_VERIFIER_BUDGET","Verifier budget",IF(AN13="CHAUD","Contacter maintenant",IF(AN13="TIEDE","Surveiller / relancer","Basse priorite"))))</f>
        <v/>
      </c>
      <c r="AQ13" t="inlineStr">
        <is>
          <t>IA_BUDGET_A_VERIFIER</t>
        </is>
      </c>
      <c r="AR13" t="inlineStr">
        <is>
          <t>Verifier le budget dans l'avis source ou le DCE avant decision commerciale.</t>
        </is>
      </c>
      <c r="AS13" t="inlineStr">
        <is>
          <t>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13" t="inlineStr">
        <is>
          <t>Verifier url_avis et DCE si disponible</t>
        </is>
      </c>
      <c r="AV13" t="inlineStr"/>
      <c r="AW13" t="inlineStr"/>
      <c r="AX13" t="inlineStr"/>
      <c r="AY13" t="inlineStr"/>
      <c r="AZ13" t="inlineStr"/>
      <c r="BA13" t="inlineStr"/>
      <c r="BB13" t="inlineStr">
        <is>
          <t>+35 nettoyage + categorie claire | +10 budget non affiche (a verifier) | +10 secteur cible Ecole | +10 delai confortable 18j</t>
        </is>
      </c>
      <c r="BC13" t="inlineStr">
        <is>
          <t>ECOLE NATIONALE DES CHARTES publie un AO potentiellement pertinent pour CHRUTH : Prestation de nettoyage des locaux et de la vitrerie. Zone : Paris. Budget a verifier. Verifier le lien source avant contact.</t>
        </is>
      </c>
      <c r="BD13"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13"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26-61263</t>
        </is>
      </c>
      <c r="C14" t="inlineStr">
        <is>
          <t>NETTOYAGE ET ENTRETIEN DES BATIMENTS COMMUNAUX</t>
        </is>
      </c>
      <c r="D14" t="inlineStr">
        <is>
          <t>MAIRIE DE MERIEL</t>
        </is>
      </c>
      <c r="E14" t="inlineStr">
        <is>
          <t>21950392700010</t>
        </is>
      </c>
      <c r="F14" t="inlineStr">
        <is>
          <t>219503927</t>
        </is>
      </c>
      <c r="G14" t="inlineStr"/>
      <c r="H14" t="inlineStr"/>
      <c r="I14" t="inlineStr">
        <is>
          <t>dgs@meriel.fr</t>
        </is>
      </c>
      <c r="J14" t="inlineStr">
        <is>
          <t>0392700010</t>
        </is>
      </c>
      <c r="K14" t="inlineStr"/>
      <c r="L14" t="inlineStr"/>
      <c r="M14" t="inlineStr"/>
      <c r="N14" t="inlineStr">
        <is>
          <t>95</t>
        </is>
      </c>
      <c r="O14" t="inlineStr"/>
      <c r="P14" t="inlineStr">
        <is>
          <t>Ile-de-France</t>
        </is>
      </c>
      <c r="Q14" s="15" t="n">
        <v>46194</v>
      </c>
      <c r="R14" s="15" t="n">
        <v>46227</v>
      </c>
      <c r="S14" t="inlineStr"/>
      <c r="T14" t="inlineStr">
        <is>
          <t>A_VERIFIER_BUDGET</t>
        </is>
      </c>
      <c r="U14" t="inlineStr"/>
      <c r="V14" t="inlineStr">
        <is>
          <t>non</t>
        </is>
      </c>
      <c r="W14" t="inlineStr">
        <is>
          <t>Vitres</t>
        </is>
      </c>
      <c r="X14" t="inlineStr">
        <is>
          <t>Mairie</t>
        </is>
      </c>
      <c r="Y14" t="inlineStr">
        <is>
          <t>SERVICES</t>
        </is>
      </c>
      <c r="Z14" t="inlineStr">
        <is>
          <t>Procédure Ouverte</t>
        </is>
      </c>
      <c r="AA14" t="inlineStr">
        <is>
          <t>Avis de marché</t>
        </is>
      </c>
      <c r="AB14" t="inlineStr">
        <is>
          <t>Nettoyage de locaux</t>
        </is>
      </c>
      <c r="AC14" t="inlineStr"/>
      <c r="AD14" s="11" t="inlineStr">
        <is>
          <t>https://www.boamp.fr/pages/avis/?q=idweb:26-61263</t>
        </is>
      </c>
      <c r="AE14" t="inlineStr">
        <is>
          <t>https://www.maximilien.fr</t>
        </is>
      </c>
      <c r="AF14" t="inlineStr">
        <is>
          <t>https://www.maximilien.fr</t>
        </is>
      </c>
      <c r="AG14" t="inlineStr">
        <is>
          <t>nettoyage</t>
        </is>
      </c>
      <c r="AH14" t="inlineStr">
        <is>
          <t>3</t>
        </is>
      </c>
      <c r="AI14" t="inlineStr">
        <is>
          <t>68</t>
        </is>
      </c>
      <c r="AJ14" t="inlineStr">
        <is>
          <t>INFO_PARTIELLE</t>
        </is>
      </c>
      <c r="AK14" t="inlineStr">
        <is>
          <t>65</t>
        </is>
      </c>
      <c r="AL14" s="13" t="inlineStr">
        <is>
          <t>CHAUD</t>
        </is>
      </c>
      <c r="AM14">
        <f>MIN(100,MAX(0,IF(OR(ISNUMBER(SEARCH("nettoyage",C14)),ISNUMBER(SEARCH("proprete",C14)),ISNUMBER(SEARCH("entretien",C14)),ISNUMBER(SEARCH("hygiene",C14))),35,0)+IF(SUM(--(N14="75")+--(O14="75"),--(N14="77")+--(O14="77"),--(N14="78")+--(O14="78"),--(N14="91")+--(O14="91"),--(N14="92")+--(O14="92"),--(N14="93")+--(O14="93"),--(N14="94")+--(O14="94"),--(N14="95")+--(O14="95"))&gt;0,25,4)+IF(S14="",10,IF(S14&lt;=50000,25,IF(S14&lt;=100000,20,IF(S14&lt;=200000,5,IF(S14&lt;=500000,-10,-20)))))+IF(I14&lt;&gt;"",4,0)+IF(J14&lt;&gt;"",4,0)+IF(E14&lt;&gt;"",3,0)+IF(K14&lt;&gt;"",2,0)+IF(M14&lt;&gt;"",1,0)+IF(AD14&lt;&gt;"",1,0)+IF(R14="",0,IF(R14&lt;TODAY(),-30,IF(R14&lt;TODAY()+5,-15,IF(R14&lt;=TODAY()+15,5,10))))))</f>
        <v/>
      </c>
      <c r="AN14">
        <f>IF(AM14&gt;=65,"CHAUD",IF(AM14&gt;=40,"TIEDE","FROID"))</f>
        <v/>
      </c>
      <c r="AO14">
        <f>IF((IF(I14&lt;&gt;"",1,0)+IF(J14&lt;&gt;"",1,0)+IF(E14&lt;&gt;"",1,0)+IF(K14&lt;&gt;"",1,0))&gt;=4,"Complet",IF((IF(I14&lt;&gt;"",1,0)+IF(J14&lt;&gt;"",1,0)+IF(E14&lt;&gt;"",1,0)+IF(K14&lt;&gt;"",1,0))&gt;=2,"Partiel","Vide"))</f>
        <v/>
      </c>
      <c r="AP14">
        <f>IF(AJ14="DCE_A_TELECHARGER","Telecharger DCE",IF(T14="A_VERIFIER_BUDGET","Verifier budget",IF(AN14="CHAUD","Contacter maintenant",IF(AN14="TIEDE","Surveiller / relancer","Basse priorite"))))</f>
        <v/>
      </c>
      <c r="AQ14" t="inlineStr">
        <is>
          <t>IA_BUDGET_A_VERIFIER</t>
        </is>
      </c>
      <c r="AR14" t="inlineStr">
        <is>
          <t>Verifier le budget dans l'avis source ou le DCE avant decision commerciale.</t>
        </is>
      </c>
      <c r="AS14" t="inlineStr">
        <is>
          <t>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14" t="inlineStr">
        <is>
          <t>Verifier url_avis et DCE si disponible</t>
        </is>
      </c>
      <c r="AV14" t="inlineStr">
        <is>
          <t>LIEN_SEUL</t>
        </is>
      </c>
      <c r="AW14" t="inlineStr"/>
      <c r="AX14" t="inlineStr"/>
      <c r="AY14" t="inlineStr"/>
      <c r="AZ14" t="inlineStr"/>
      <c r="BA14" t="inlineStr"/>
      <c r="BB14" t="inlineStr">
        <is>
          <t>+35 nettoyage + categorie claire | +10 budget non affiche (a verifier) | +10 secteur cible Mairie | +10 delai confortable 19j</t>
        </is>
      </c>
      <c r="BC14" t="inlineStr">
        <is>
          <t>MAIRIE DE MERIEL publie un AO potentiellement pertinent pour CHRUTH : NETTOYAGE ET ENTRETIEN DES BATIMENTS COMMUNAUX. Zone : 95. Budget a verifier. Verifier le lien source avant contact.</t>
        </is>
      </c>
      <c r="BD14"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14"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2026-W25</t>
        </is>
      </c>
    </row>
    <row r="15">
      <c r="A15" t="inlineStr">
        <is>
          <t>BOAMP</t>
        </is>
      </c>
      <c r="B15" t="inlineStr">
        <is>
          <t>26-60231</t>
        </is>
      </c>
      <c r="C15" t="inlineStr">
        <is>
          <t>Nettoyage des locaux communaux et des vitreries des bâtiments communaux</t>
        </is>
      </c>
      <c r="D15" t="inlineStr">
        <is>
          <t>Ville de Fontenay-aux-Roses</t>
        </is>
      </c>
      <c r="E15" t="inlineStr"/>
      <c r="F15" t="inlineStr"/>
      <c r="G15" t="inlineStr"/>
      <c r="H15" t="inlineStr"/>
      <c r="I15" t="inlineStr">
        <is>
          <t>publications-joue@aws-france.com</t>
        </is>
      </c>
      <c r="J15" t="inlineStr">
        <is>
          <t>+33480041260</t>
        </is>
      </c>
      <c r="K15" t="inlineStr"/>
      <c r="L15" t="inlineStr"/>
      <c r="M15" t="inlineStr"/>
      <c r="N15" t="inlineStr">
        <is>
          <t>92</t>
        </is>
      </c>
      <c r="O15" t="inlineStr"/>
      <c r="P15" t="inlineStr">
        <is>
          <t>Ile-de-France</t>
        </is>
      </c>
      <c r="Q15" s="15" t="n">
        <v>46192</v>
      </c>
      <c r="R15" s="15" t="n">
        <v>46232</v>
      </c>
      <c r="S15" t="inlineStr"/>
      <c r="T15" t="inlineStr">
        <is>
          <t>A_VERIFIER_BUDGET</t>
        </is>
      </c>
      <c r="U15" t="inlineStr"/>
      <c r="V15" t="inlineStr">
        <is>
          <t>non</t>
        </is>
      </c>
      <c r="W15" t="inlineStr">
        <is>
          <t>Vitres</t>
        </is>
      </c>
      <c r="X15" t="inlineStr">
        <is>
          <t>Mairie</t>
        </is>
      </c>
      <c r="Y15" t="inlineStr">
        <is>
          <t>SERVICES</t>
        </is>
      </c>
      <c r="Z15" t="inlineStr">
        <is>
          <t>Procédure Ouverte</t>
        </is>
      </c>
      <c r="AA15" t="inlineStr">
        <is>
          <t>Avis de marché</t>
        </is>
      </c>
      <c r="AB15" t="inlineStr">
        <is>
          <t>Nettoyage de locaux, Vitrerie</t>
        </is>
      </c>
      <c r="AC15" t="inlineStr">
        <is>
          <t>['environnementaux']</t>
        </is>
      </c>
      <c r="AD15" s="11" t="inlineStr">
        <is>
          <t>https://www.boamp.fr/pages/avis/?q=idweb:26-60231</t>
        </is>
      </c>
      <c r="AE15" t="inlineStr">
        <is>
          <t>https://www.marches-publics.info/accueil.htm</t>
        </is>
      </c>
      <c r="AF15" t="inlineStr">
        <is>
          <t>https://www.marches-publics.info/accueil.htm</t>
        </is>
      </c>
      <c r="AG15" t="inlineStr">
        <is>
          <t>nettoyage</t>
        </is>
      </c>
      <c r="AH15" t="inlineStr">
        <is>
          <t>2</t>
        </is>
      </c>
      <c r="AI15" t="inlineStr">
        <is>
          <t>58</t>
        </is>
      </c>
      <c r="AJ15" t="inlineStr">
        <is>
          <t>INFO_PARTIELLE</t>
        </is>
      </c>
      <c r="AK15" t="inlineStr">
        <is>
          <t>65</t>
        </is>
      </c>
      <c r="AL15" s="13" t="inlineStr">
        <is>
          <t>CHAUD</t>
        </is>
      </c>
      <c r="AM15">
        <f>MIN(100,MAX(0,IF(OR(ISNUMBER(SEARCH("nettoyage",C15)),ISNUMBER(SEARCH("proprete",C15)),ISNUMBER(SEARCH("entretien",C15)),ISNUMBER(SEARCH("hygiene",C15))),35,0)+IF(SUM(--(N15="75")+--(O15="75"),--(N15="77")+--(O15="77"),--(N15="78")+--(O15="78"),--(N15="91")+--(O15="91"),--(N15="92")+--(O15="92"),--(N15="93")+--(O15="93"),--(N15="94")+--(O15="94"),--(N15="95")+--(O15="95"))&gt;0,25,4)+IF(S15="",10,IF(S15&lt;=50000,25,IF(S15&lt;=100000,20,IF(S15&lt;=200000,5,IF(S15&lt;=500000,-10,-20)))))+IF(I15&lt;&gt;"",4,0)+IF(J15&lt;&gt;"",4,0)+IF(E15&lt;&gt;"",3,0)+IF(K15&lt;&gt;"",2,0)+IF(M15&lt;&gt;"",1,0)+IF(AD15&lt;&gt;"",1,0)+IF(R15="",0,IF(R15&lt;TODAY(),-30,IF(R15&lt;TODAY()+5,-15,IF(R15&lt;=TODAY()+15,5,10))))))</f>
        <v/>
      </c>
      <c r="AN15">
        <f>IF(AM15&gt;=65,"CHAUD",IF(AM15&gt;=40,"TIEDE","FROID"))</f>
        <v/>
      </c>
      <c r="AO15">
        <f>IF((IF(I15&lt;&gt;"",1,0)+IF(J15&lt;&gt;"",1,0)+IF(E15&lt;&gt;"",1,0)+IF(K15&lt;&gt;"",1,0))&gt;=4,"Complet",IF((IF(I15&lt;&gt;"",1,0)+IF(J15&lt;&gt;"",1,0)+IF(E15&lt;&gt;"",1,0)+IF(K15&lt;&gt;"",1,0))&gt;=2,"Partiel","Vide"))</f>
        <v/>
      </c>
      <c r="AP15">
        <f>IF(AJ15="DCE_A_TELECHARGER","Telecharger DCE",IF(T15="A_VERIFIER_BUDGET","Verifier budget",IF(AN15="CHAUD","Contacter maintenant",IF(AN15="TIEDE","Surveiller / relancer","Basse priorite"))))</f>
        <v/>
      </c>
      <c r="AQ15" t="inlineStr">
        <is>
          <t>IA_BUDGET_A_VERIFIER</t>
        </is>
      </c>
      <c r="AR15" t="inlineStr">
        <is>
          <t>Verifier le budget dans l'avis source ou le DCE avant decision commerciale.</t>
        </is>
      </c>
      <c r="AS15" t="inlineStr">
        <is>
          <t>SIRET, 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15" t="inlineStr">
        <is>
          <t>Verifier url_avis et DCE si disponible</t>
        </is>
      </c>
      <c r="AV15" t="inlineStr">
        <is>
          <t>LIEN_SEUL</t>
        </is>
      </c>
      <c r="AW15" t="inlineStr"/>
      <c r="AX15" t="inlineStr"/>
      <c r="AY15" t="inlineStr"/>
      <c r="AZ15" t="inlineStr"/>
      <c r="BA15" t="inlineStr"/>
      <c r="BB15" t="inlineStr">
        <is>
          <t>+35 nettoyage + categorie claire | +10 budget non affiche (a verifier) | +10 secteur cible Mairie | +10 delai confortable 26j</t>
        </is>
      </c>
      <c r="BC15" t="inlineStr">
        <is>
          <t>Ville de Fontenay-aux-Roses publie un AO potentiellement pertinent pour CHRUTH : Nettoyage des locaux communaux et des vitreries des bâtiments communaux. Zone : 92. Budget a verifier. Verifier le lien source avant contact.</t>
        </is>
      </c>
      <c r="BD15"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5"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2026-W25</t>
        </is>
      </c>
    </row>
    <row r="16">
      <c r="A16" t="inlineStr">
        <is>
          <t>BOAMP</t>
        </is>
      </c>
      <c r="B16" t="inlineStr">
        <is>
          <t>26-59493</t>
        </is>
      </c>
      <c r="C16" t="inlineStr">
        <is>
          <t>Prestations de nettoyage des locaux administratifs et des espaces ouverts au public des tours de la Cathédrale Notre-Dame de Paris</t>
        </is>
      </c>
      <c r="D16" t="inlineStr">
        <is>
          <t>Centre des Monuments Nationaux</t>
        </is>
      </c>
      <c r="E16" t="inlineStr">
        <is>
          <t>18004601300017</t>
        </is>
      </c>
      <c r="F16" t="inlineStr">
        <is>
          <t>180046013</t>
        </is>
      </c>
      <c r="G16" t="inlineStr"/>
      <c r="H16" t="inlineStr"/>
      <c r="I16" t="inlineStr">
        <is>
          <t>marches-publics@monuments-nationaux.fr</t>
        </is>
      </c>
      <c r="J16" t="inlineStr">
        <is>
          <t>0460130001</t>
        </is>
      </c>
      <c r="K16" t="inlineStr"/>
      <c r="L16" t="inlineStr"/>
      <c r="M16" t="inlineStr"/>
      <c r="N16" t="inlineStr">
        <is>
          <t>75</t>
        </is>
      </c>
      <c r="O16" t="inlineStr"/>
      <c r="P16" t="inlineStr">
        <is>
          <t>Ile-de-France</t>
        </is>
      </c>
      <c r="Q16" s="15" t="n">
        <v>46190</v>
      </c>
      <c r="R16" s="15" t="n">
        <v>46220</v>
      </c>
      <c r="S16" s="14" t="n">
        <v>85000</v>
      </c>
      <c r="T16" t="inlineStr">
        <is>
          <t>BUDGET_SOUS_SEUIL</t>
        </is>
      </c>
      <c r="U16" t="inlineStr">
        <is>
          <t>85000</t>
        </is>
      </c>
      <c r="V16" t="inlineStr">
        <is>
          <t>oui</t>
        </is>
      </c>
      <c r="W16" t="inlineStr">
        <is>
          <t>Batiments</t>
        </is>
      </c>
      <c r="X16" t="inlineStr">
        <is>
          <t>Autre</t>
        </is>
      </c>
      <c r="Y16" t="inlineStr">
        <is>
          <t>SERVICES</t>
        </is>
      </c>
      <c r="Z16" t="inlineStr">
        <is>
          <t>Procédure Ouverte</t>
        </is>
      </c>
      <c r="AA16" t="inlineStr">
        <is>
          <t>Avis de marché</t>
        </is>
      </c>
      <c r="AB16" t="inlineStr">
        <is>
          <t>Nettoyage de locaux, Monuments historiques</t>
        </is>
      </c>
      <c r="AC16" t="inlineStr"/>
      <c r="AD16" s="11" t="inlineStr">
        <is>
          <t>https://www.boamp.fr/pages/avis/?q=idweb:26-59493</t>
        </is>
      </c>
      <c r="AE16" t="inlineStr">
        <is>
          <t>https://www.marches-publics.gouv.fr/?page=Entreprise.EntrepriseAdvancedSearch&amp;AllCons&amp;id=2577066&amp;orgAcronyme=f5j</t>
        </is>
      </c>
      <c r="AF16" t="inlineStr">
        <is>
          <t>https://www.marches-publics.gouv.fr/?page=Entreprise.EntrepriseAdvancedSearch&amp;AllCons&amp;id=2577066&amp;orgAcronyme=f5j</t>
        </is>
      </c>
      <c r="AG16" t="inlineStr">
        <is>
          <t>nettoyage</t>
        </is>
      </c>
      <c r="AH16" t="inlineStr">
        <is>
          <t>3</t>
        </is>
      </c>
      <c r="AI16" t="inlineStr">
        <is>
          <t>68</t>
        </is>
      </c>
      <c r="AJ16" t="inlineStr">
        <is>
          <t>INFO_PARTIELLE</t>
        </is>
      </c>
      <c r="AK16" t="inlineStr">
        <is>
          <t>65</t>
        </is>
      </c>
      <c r="AL16" s="13" t="inlineStr">
        <is>
          <t>CHAUD</t>
        </is>
      </c>
      <c r="AM16">
        <f>MIN(100,MAX(0,IF(OR(ISNUMBER(SEARCH("nettoyage",C16)),ISNUMBER(SEARCH("proprete",C16)),ISNUMBER(SEARCH("entretien",C16)),ISNUMBER(SEARCH("hygiene",C16))),35,0)+IF(SUM(--(N16="75")+--(O16="75"),--(N16="77")+--(O16="77"),--(N16="78")+--(O16="78"),--(N16="91")+--(O16="91"),--(N16="92")+--(O16="92"),--(N16="93")+--(O16="93"),--(N16="94")+--(O16="94"),--(N16="95")+--(O16="95"))&gt;0,25,4)+IF(S16="",10,IF(S16&lt;=50000,25,IF(S16&lt;=100000,20,IF(S16&lt;=200000,5,IF(S16&lt;=500000,-10,-20)))))+IF(I16&lt;&gt;"",4,0)+IF(J16&lt;&gt;"",4,0)+IF(E16&lt;&gt;"",3,0)+IF(K16&lt;&gt;"",2,0)+IF(M16&lt;&gt;"",1,0)+IF(AD16&lt;&gt;"",1,0)+IF(R16="",0,IF(R16&lt;TODAY(),-30,IF(R16&lt;TODAY()+5,-15,IF(R16&lt;=TODAY()+15,5,10))))))</f>
        <v/>
      </c>
      <c r="AN16">
        <f>IF(AM16&gt;=65,"CHAUD",IF(AM16&gt;=40,"TIEDE","FROID"))</f>
        <v/>
      </c>
      <c r="AO16">
        <f>IF((IF(I16&lt;&gt;"",1,0)+IF(J16&lt;&gt;"",1,0)+IF(E16&lt;&gt;"",1,0)+IF(K16&lt;&gt;"",1,0))&gt;=4,"Complet",IF((IF(I16&lt;&gt;"",1,0)+IF(J16&lt;&gt;"",1,0)+IF(E16&lt;&gt;"",1,0)+IF(K16&lt;&gt;"",1,0))&gt;=2,"Partiel","Vide"))</f>
        <v/>
      </c>
      <c r="AP16">
        <f>IF(AJ16="DCE_A_TELECHARGER","Telecharger DCE",IF(T16="A_VERIFIER_BUDGET","Verifier budget",IF(AN16="CHAUD","Contacter maintenant",IF(AN16="TIEDE","Surveiller / relancer","Basse priorite"))))</f>
        <v/>
      </c>
      <c r="AQ16" t="inlineStr">
        <is>
          <t>IA_CONTACT_A_COMPLETER</t>
        </is>
      </c>
      <c r="AR16" t="inlineStr">
        <is>
          <t>Completer les champs manquants depuis l'avis source, le site acheteur ou le DCE.</t>
        </is>
      </c>
      <c r="AS16" t="inlineStr">
        <is>
          <t>adresse, ville</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26-59493. Objet: Prestations de nettoyage des locaux administratifs et des espaces ouverts au public des tours de la Cathédrale Notre-Dame de Paris. Acheteur: Centre des Monuments Nationaux. Lien: https://www.boamp.fr/pages/avis/?q=idweb:26-59493.</t>
        </is>
      </c>
      <c r="AU16" t="inlineStr">
        <is>
          <t>Verifier url_avis et DCE si disponible</t>
        </is>
      </c>
      <c r="AV16" t="inlineStr"/>
      <c r="AW16" t="inlineStr"/>
      <c r="AX16" t="inlineStr"/>
      <c r="AY16" t="inlineStr"/>
      <c r="AZ16" t="inlineStr"/>
      <c r="BA16" t="inlineStr"/>
      <c r="BB16" t="inlineStr">
        <is>
          <t>+35 nettoyage + categorie claire | +20 budget annualise &lt;= 100 000 EUR | +10 delai confortable 25j</t>
        </is>
      </c>
      <c r="BC16" t="inlineStr">
        <is>
          <t>Centre des Monuments Nationaux publie un AO potentiellement pertinent pour CHRUTH : Prestations de nettoyage des locaux administratifs et des espaces ouverts au public des tours de la Cathédrale Notre-Dame de Paris. Zone : 75. Budget detecte environ 85 000 EUR. Verifier le lien source avant contact.</t>
        </is>
      </c>
      <c r="BD16" t="inlineStr">
        <is>
          <t>Bonjour,
Je me permets de vous contacter au sujet de votre appel d'offres : Prestations de nettoyage des locaux administratifs et des espaces ouverts au public des tours de la Cathédrale Notre-Dame de Paris.
CHRUTH accompagne les structures publiques et privees sur les besoins de nettoyage, d'entretien des locaux et d'organisation de prestations de service.
Serait-il possible d'echanger rapidement afin de verifier les modalites de reponse et les attentes de Centre des Monuments Nationaux ?
Cordialement,</t>
        </is>
      </c>
      <c r="BE16" t="inlineStr">
        <is>
          <t>Bonjour, je vous appelle concernant un appel d'offres publie par Centre des Monuments Nationaux. Je souhaite verifier les informations pratiques : perimetre des prestations, date limite, modalites de visite, contact technique et pieces attendues. Pouvez-vous m'indiquer la bonne personne a contacter ?</t>
        </is>
      </c>
      <c r="BF16" t="inlineStr"/>
      <c r="BG16" t="inlineStr"/>
      <c r="BH16" t="inlineStr"/>
      <c r="BI16" t="inlineStr"/>
      <c r="BJ16" t="inlineStr"/>
      <c r="BK16" t="inlineStr"/>
      <c r="BL16" t="inlineStr"/>
      <c r="BM16" t="inlineStr">
        <is>
          <t>2026-W25</t>
        </is>
      </c>
    </row>
    <row r="17">
      <c r="A17" t="inlineStr">
        <is>
          <t>BOAMP</t>
        </is>
      </c>
      <c r="B17" t="inlineStr">
        <is>
          <t>26-56367</t>
        </is>
      </c>
      <c r="C17" t="inlineStr">
        <is>
          <t>Prestations de nettoyage courant des locaux administratifs de Pantin Habitat</t>
        </is>
      </c>
      <c r="D17" t="inlineStr">
        <is>
          <t>Pantin Habitat</t>
        </is>
      </c>
      <c r="E17" t="inlineStr">
        <is>
          <t>31162223700049</t>
        </is>
      </c>
      <c r="F17" t="inlineStr">
        <is>
          <t>311622237</t>
        </is>
      </c>
      <c r="G17" t="inlineStr">
        <is>
          <t>PANTIN HABITAT</t>
        </is>
      </c>
      <c r="H17" t="inlineStr"/>
      <c r="I17" t="inlineStr">
        <is>
          <t>servicedesmarches@pantinhabitat.fr</t>
        </is>
      </c>
      <c r="J17" t="inlineStr">
        <is>
          <t>01 48 44 73 03</t>
        </is>
      </c>
      <c r="K17" t="inlineStr">
        <is>
          <t>Seine-Saint-Denis</t>
        </is>
      </c>
      <c r="L17" t="inlineStr">
        <is>
          <t>93697</t>
        </is>
      </c>
      <c r="M17" t="inlineStr">
        <is>
          <t>Pantin cedex</t>
        </is>
      </c>
      <c r="N17" t="inlineStr">
        <is>
          <t>93,75,92,94</t>
        </is>
      </c>
      <c r="O17" t="inlineStr"/>
      <c r="P17" t="inlineStr">
        <is>
          <t>Ile-de-France</t>
        </is>
      </c>
      <c r="Q17" s="15" t="n">
        <v>46181</v>
      </c>
      <c r="R17" s="15" t="n">
        <v>46211</v>
      </c>
      <c r="S17" s="14" t="n">
        <v>93697</v>
      </c>
      <c r="T17" t="inlineStr">
        <is>
          <t>BUDGET_SOUS_SEUIL</t>
        </is>
      </c>
      <c r="U17" t="inlineStr">
        <is>
          <t>93697.0</t>
        </is>
      </c>
      <c r="V17" t="inlineStr">
        <is>
          <t>non</t>
        </is>
      </c>
      <c r="W17" t="inlineStr">
        <is>
          <t>Vitres</t>
        </is>
      </c>
      <c r="X17" t="inlineStr">
        <is>
          <t>Autre</t>
        </is>
      </c>
      <c r="Y17" t="inlineStr">
        <is>
          <t>SERVICES</t>
        </is>
      </c>
      <c r="Z17" t="inlineStr">
        <is>
          <t>Procédure Ouverte</t>
        </is>
      </c>
      <c r="AA17" t="inlineStr">
        <is>
          <t>Avis de marché</t>
        </is>
      </c>
      <c r="AB17" t="inlineStr">
        <is>
          <t>Nettoyage de locaux</t>
        </is>
      </c>
      <c r="AC17" t="inlineStr">
        <is>
          <t>['sociaux', 'environnementaux']</t>
        </is>
      </c>
      <c r="AD17" s="11" t="inlineStr">
        <is>
          <t>https://www.boamp.fr/pages/avis/?q=idweb:26-56367</t>
        </is>
      </c>
      <c r="AE17" t="inlineStr">
        <is>
          <t>https://www.achatpublic.com/sdm/ent/gen/ent_detail.do?PCSLID=CSL_2026_KUKPQ4kzgA</t>
        </is>
      </c>
      <c r="AF17" t="inlineStr">
        <is>
          <t>https://www.achatpublic.com/sdm/ent/gen/ent_detail.do?PCSLID=CSL_2026_KUKPQ4kzgA</t>
        </is>
      </c>
      <c r="AG17" t="inlineStr">
        <is>
          <t>nettoyage</t>
        </is>
      </c>
      <c r="AH17" t="inlineStr">
        <is>
          <t>6</t>
        </is>
      </c>
      <c r="AI17" t="inlineStr">
        <is>
          <t>98</t>
        </is>
      </c>
      <c r="AJ17" t="inlineStr">
        <is>
          <t>INFO_PARTIELLE</t>
        </is>
      </c>
      <c r="AK17" t="inlineStr">
        <is>
          <t>65</t>
        </is>
      </c>
      <c r="AL17" s="13" t="inlineStr">
        <is>
          <t>CHAUD</t>
        </is>
      </c>
      <c r="AM17">
        <f>MIN(100,MAX(0,IF(OR(ISNUMBER(SEARCH("nettoyage",C17)),ISNUMBER(SEARCH("proprete",C17)),ISNUMBER(SEARCH("entretien",C17)),ISNUMBER(SEARCH("hygiene",C17))),35,0)+IF(SUM(--(N17="75")+--(O17="75"),--(N17="77")+--(O17="77"),--(N17="78")+--(O17="78"),--(N17="91")+--(O17="91"),--(N17="92")+--(O17="92"),--(N17="93")+--(O17="93"),--(N17="94")+--(O17="94"),--(N17="95")+--(O17="95"))&gt;0,25,4)+IF(S17="",10,IF(S17&lt;=50000,25,IF(S17&lt;=100000,20,IF(S17&lt;=200000,5,IF(S17&lt;=500000,-10,-20)))))+IF(I17&lt;&gt;"",4,0)+IF(J17&lt;&gt;"",4,0)+IF(E17&lt;&gt;"",3,0)+IF(K17&lt;&gt;"",2,0)+IF(M17&lt;&gt;"",1,0)+IF(AD17&lt;&gt;"",1,0)+IF(R17="",0,IF(R17&lt;TODAY(),-30,IF(R17&lt;TODAY()+5,-15,IF(R17&lt;=TODAY()+15,5,10))))))</f>
        <v/>
      </c>
      <c r="AN17">
        <f>IF(AM17&gt;=65,"CHAUD",IF(AM17&gt;=40,"TIEDE","FROID"))</f>
        <v/>
      </c>
      <c r="AO17">
        <f>IF((IF(I17&lt;&gt;"",1,0)+IF(J17&lt;&gt;"",1,0)+IF(E17&lt;&gt;"",1,0)+IF(K17&lt;&gt;"",1,0))&gt;=4,"Complet",IF((IF(I17&lt;&gt;"",1,0)+IF(J17&lt;&gt;"",1,0)+IF(E17&lt;&gt;"",1,0)+IF(K17&lt;&gt;"",1,0))&gt;=2,"Partiel","Vide"))</f>
        <v/>
      </c>
      <c r="AP17">
        <f>IF(AJ17="DCE_A_TELECHARGER","Telecharger DCE",IF(T17="A_VERIFIER_BUDGET","Verifier budget",IF(AN17="CHAUD","Contacter maintenant",IF(AN17="TIEDE","Surveiller / relancer","Basse priorite"))))</f>
        <v/>
      </c>
      <c r="AQ17" t="inlineStr">
        <is>
          <t>IA_CONTROLE_SOURCE</t>
        </is>
      </c>
      <c r="AR17" t="inlineStr">
        <is>
          <t>Verifier rapidement la source avant contact.</t>
        </is>
      </c>
      <c r="AS17" t="inlineStr">
        <is>
          <t>Aucun champ critique manquant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26-56367. Objet: Prestations de nettoyage courant des locaux administratifs de Pantin Habitat. Acheteur: Pantin Habitat. Lien: https://www.boamp.fr/pages/avis/?q=idweb:26-56367.</t>
        </is>
      </c>
      <c r="AU17" t="inlineStr">
        <is>
          <t>Verifier url_avis et DCE si disponible</t>
        </is>
      </c>
      <c r="AV17" t="inlineStr"/>
      <c r="AW17" t="inlineStr"/>
      <c r="AX17" t="inlineStr"/>
      <c r="AY17" t="inlineStr"/>
      <c r="AZ17" t="inlineStr"/>
      <c r="BA17" t="inlineStr"/>
      <c r="BB17" t="inlineStr">
        <is>
          <t>+35 nettoyage + categorie claire | +20 budget annualise &lt;= 100 000 EUR | +10 delai confortable 16j</t>
        </is>
      </c>
      <c r="BC17" t="inlineStr">
        <is>
          <t>Pantin Habitat publie un AO potentiellement pertinent pour CHRUTH : Prestations de nettoyage courant des locaux administratifs de Pantin Habitat. Zone : Pantin cedex. Budget detecte environ 93 697 EUR. Verifier le lien source avant contact.</t>
        </is>
      </c>
      <c r="BD17" t="inlineStr">
        <is>
          <t>Bonjour,
Je me permets de vous contacter au sujet de votre appel d'offres : Prestations de nettoyage courant des locaux administratifs de Pantin Habitat.
CHRUTH accompagne les structures publiques et privees sur les besoins de nettoyage, d'entretien des locaux et d'organisation de prestations de service.
Serait-il possible d'echanger rapidement afin de verifier les modalites de reponse et les attentes de Pantin Habitat ?
Cordialement,</t>
        </is>
      </c>
      <c r="BE17" t="inlineStr">
        <is>
          <t>Bonjour, je vous appelle concernant un appel d'offres publie par Pantin Habitat. Je souhaite verifier les informations pratiques : perimetre des prestations, date limite, modalites de visite, contact technique et pieces attendues. Pouvez-vous m'indiquer la bonne personne a contacter ?</t>
        </is>
      </c>
      <c r="BF17" t="inlineStr"/>
      <c r="BG17" t="inlineStr"/>
      <c r="BH17" t="inlineStr"/>
      <c r="BI17" t="inlineStr"/>
      <c r="BJ17" t="inlineStr"/>
      <c r="BK17" t="inlineStr"/>
      <c r="BL17" t="inlineStr"/>
      <c r="BM17" t="inlineStr">
        <is>
          <t>2026-W24</t>
        </is>
      </c>
    </row>
    <row r="18">
      <c r="A18" t="inlineStr">
        <is>
          <t>BOAMP</t>
        </is>
      </c>
      <c r="B18" t="inlineStr">
        <is>
          <t>26-55118</t>
        </is>
      </c>
      <c r="C18" t="inlineStr">
        <is>
          <t>Nettoyage des locaux des bâtiments de la commune de Châtillon (92320)</t>
        </is>
      </c>
      <c r="D18" t="inlineStr">
        <is>
          <t>Commune de CHATILLON</t>
        </is>
      </c>
      <c r="E18" t="inlineStr"/>
      <c r="F18" t="inlineStr"/>
      <c r="G18" t="inlineStr"/>
      <c r="H18" t="inlineStr"/>
      <c r="I18" t="inlineStr">
        <is>
          <t>publications-joue@aws-france.com</t>
        </is>
      </c>
      <c r="J18" t="inlineStr">
        <is>
          <t>+33480041260</t>
        </is>
      </c>
      <c r="K18" t="inlineStr"/>
      <c r="L18" t="inlineStr"/>
      <c r="M18" t="inlineStr"/>
      <c r="N18" t="inlineStr">
        <is>
          <t>92</t>
        </is>
      </c>
      <c r="O18" t="inlineStr"/>
      <c r="P18" t="inlineStr">
        <is>
          <t>Ile-de-France</t>
        </is>
      </c>
      <c r="Q18" s="15" t="n">
        <v>46179</v>
      </c>
      <c r="R18" s="15" t="n">
        <v>46213</v>
      </c>
      <c r="S18" t="inlineStr"/>
      <c r="T18" t="inlineStr">
        <is>
          <t>A_VERIFIER_BUDGET</t>
        </is>
      </c>
      <c r="U18" t="inlineStr"/>
      <c r="V18" t="inlineStr">
        <is>
          <t>non</t>
        </is>
      </c>
      <c r="W18" t="inlineStr">
        <is>
          <t>Batiments</t>
        </is>
      </c>
      <c r="X18" t="inlineStr">
        <is>
          <t>Mairie</t>
        </is>
      </c>
      <c r="Y18" t="inlineStr">
        <is>
          <t>SERVICES</t>
        </is>
      </c>
      <c r="Z18" t="inlineStr">
        <is>
          <t>Procédure Ouverte</t>
        </is>
      </c>
      <c r="AA18" t="inlineStr">
        <is>
          <t>Avis de marché</t>
        </is>
      </c>
      <c r="AB18" t="inlineStr">
        <is>
          <t>Nettoyage de locaux</t>
        </is>
      </c>
      <c r="AC18" t="inlineStr">
        <is>
          <t>['environnementaux']</t>
        </is>
      </c>
      <c r="AD18" s="11" t="inlineStr">
        <is>
          <t>https://www.boamp.fr/pages/avis/?q=idweb:26-55118</t>
        </is>
      </c>
      <c r="AE18" t="inlineStr">
        <is>
          <t>https://www.marches-publics.info</t>
        </is>
      </c>
      <c r="AF18" t="inlineStr">
        <is>
          <t>https://www.marches-publics.info</t>
        </is>
      </c>
      <c r="AG18" t="inlineStr">
        <is>
          <t>nettoyage</t>
        </is>
      </c>
      <c r="AH18" t="inlineStr">
        <is>
          <t>2</t>
        </is>
      </c>
      <c r="AI18" t="inlineStr">
        <is>
          <t>58</t>
        </is>
      </c>
      <c r="AJ18" t="inlineStr">
        <is>
          <t>INFO_PARTIELLE</t>
        </is>
      </c>
      <c r="AK18" t="inlineStr">
        <is>
          <t>65</t>
        </is>
      </c>
      <c r="AL18" s="13" t="inlineStr">
        <is>
          <t>CHAUD</t>
        </is>
      </c>
      <c r="AM18">
        <f>MIN(100,MAX(0,IF(OR(ISNUMBER(SEARCH("nettoyage",C18)),ISNUMBER(SEARCH("proprete",C18)),ISNUMBER(SEARCH("entretien",C18)),ISNUMBER(SEARCH("hygiene",C18))),35,0)+IF(SUM(--(N18="75")+--(O18="75"),--(N18="77")+--(O18="77"),--(N18="78")+--(O18="78"),--(N18="91")+--(O18="91"),--(N18="92")+--(O18="92"),--(N18="93")+--(O18="93"),--(N18="94")+--(O18="94"),--(N18="95")+--(O18="95"))&gt;0,25,4)+IF(S18="",10,IF(S18&lt;=50000,25,IF(S18&lt;=100000,20,IF(S18&lt;=200000,5,IF(S18&lt;=500000,-10,-20)))))+IF(I18&lt;&gt;"",4,0)+IF(J18&lt;&gt;"",4,0)+IF(E18&lt;&gt;"",3,0)+IF(K18&lt;&gt;"",2,0)+IF(M18&lt;&gt;"",1,0)+IF(AD18&lt;&gt;"",1,0)+IF(R18="",0,IF(R18&lt;TODAY(),-30,IF(R18&lt;TODAY()+5,-15,IF(R18&lt;=TODAY()+15,5,10))))))</f>
        <v/>
      </c>
      <c r="AN18">
        <f>IF(AM18&gt;=65,"CHAUD",IF(AM18&gt;=40,"TIEDE","FROID"))</f>
        <v/>
      </c>
      <c r="AO18">
        <f>IF((IF(I18&lt;&gt;"",1,0)+IF(J18&lt;&gt;"",1,0)+IF(E18&lt;&gt;"",1,0)+IF(K18&lt;&gt;"",1,0))&gt;=4,"Complet",IF((IF(I18&lt;&gt;"",1,0)+IF(J18&lt;&gt;"",1,0)+IF(E18&lt;&gt;"",1,0)+IF(K18&lt;&gt;"",1,0))&gt;=2,"Partiel","Vide"))</f>
        <v/>
      </c>
      <c r="AP18">
        <f>IF(AJ18="DCE_A_TELECHARGER","Telecharger DCE",IF(T18="A_VERIFIER_BUDGET","Verifier budget",IF(AN18="CHAUD","Contacter maintenant",IF(AN18="TIEDE","Surveiller / relancer","Basse priorite"))))</f>
        <v/>
      </c>
      <c r="AQ18" t="inlineStr">
        <is>
          <t>IA_BUDGET_A_VERIFIER</t>
        </is>
      </c>
      <c r="AR18" t="inlineStr">
        <is>
          <t>Verifier le budget dans l'avis source ou le DCE avant decision commerciale.</t>
        </is>
      </c>
      <c r="AS18" t="inlineStr">
        <is>
          <t>SIRET, 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18" t="inlineStr">
        <is>
          <t>Verifier url_avis et DCE si disponible</t>
        </is>
      </c>
      <c r="AV18" t="inlineStr">
        <is>
          <t>LIEN_SEUL</t>
        </is>
      </c>
      <c r="AW18" t="inlineStr"/>
      <c r="AX18" t="inlineStr"/>
      <c r="AY18" t="inlineStr"/>
      <c r="AZ18" t="inlineStr"/>
      <c r="BA18" t="inlineStr"/>
      <c r="BB18" t="inlineStr">
        <is>
          <t>+35 nettoyage + categorie claire | +10 budget non affiche (a verifier) | +10 secteur cible Mairie | +10 delai confortable 20j</t>
        </is>
      </c>
      <c r="BC18" t="inlineStr">
        <is>
          <t>Commune de CHATILLON publie un AO potentiellement pertinent pour CHRUTH : Nettoyage des locaux des bâtiments de la commune de Châtillon (92320). Zone : 92. Budget a verifier. Verifier le lien source avant contact.</t>
        </is>
      </c>
      <c r="BD18"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18"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18" t="inlineStr"/>
      <c r="BG18" t="inlineStr"/>
      <c r="BH18" t="inlineStr"/>
      <c r="BI18" t="inlineStr"/>
      <c r="BJ18" t="inlineStr"/>
      <c r="BK18" t="inlineStr"/>
      <c r="BL18" t="inlineStr"/>
      <c r="BM18" t="inlineStr">
        <is>
          <t>2026-W23</t>
        </is>
      </c>
    </row>
    <row r="19">
      <c r="A19" t="inlineStr">
        <is>
          <t>BOAMP</t>
        </is>
      </c>
      <c r="B19" t="inlineStr">
        <is>
          <t>26-54753</t>
        </is>
      </c>
      <c r="C19" t="inlineStr">
        <is>
          <t>PRESTATIONS DE NETTOYAGE DE LA MAISON DES JEUNES ET DE LA MAISON DE L'ENFANCE ET DE LA FAMILLE DE LA COMMUNE BOISSY-SAINT-LEGER</t>
        </is>
      </c>
      <c r="D19" t="inlineStr">
        <is>
          <t>Mairie Boissy Saint Léger</t>
        </is>
      </c>
      <c r="E19" t="inlineStr">
        <is>
          <t>21940004100014</t>
        </is>
      </c>
      <c r="F19" t="inlineStr">
        <is>
          <t>219400041</t>
        </is>
      </c>
      <c r="G19" t="inlineStr"/>
      <c r="H19" t="inlineStr"/>
      <c r="I19" t="inlineStr">
        <is>
          <t>marches.publics@ville-boissy.fr</t>
        </is>
      </c>
      <c r="J19" t="inlineStr">
        <is>
          <t>04100014 01</t>
        </is>
      </c>
      <c r="K19" t="inlineStr"/>
      <c r="L19" t="inlineStr"/>
      <c r="M19" t="inlineStr"/>
      <c r="N19" t="inlineStr">
        <is>
          <t>94,95</t>
        </is>
      </c>
      <c r="O19" t="inlineStr"/>
      <c r="P19" t="inlineStr">
        <is>
          <t>Ile-de-France</t>
        </is>
      </c>
      <c r="Q19" s="15" t="n">
        <v>46178</v>
      </c>
      <c r="R19" s="15" t="n">
        <v>46213</v>
      </c>
      <c r="S19" t="inlineStr"/>
      <c r="T19" t="inlineStr">
        <is>
          <t>A_VERIFIER_BUDGET</t>
        </is>
      </c>
      <c r="U19" t="inlineStr"/>
      <c r="V19" t="inlineStr">
        <is>
          <t>non</t>
        </is>
      </c>
      <c r="W19" t="inlineStr">
        <is>
          <t>Batiments</t>
        </is>
      </c>
      <c r="X19" t="inlineStr">
        <is>
          <t>Mairie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https://www.boamp.fr/pages/avis/?q=idweb:26-54753</t>
        </is>
      </c>
      <c r="AE19" t="inlineStr">
        <is>
          <t>https://www.achatpublic.com/sdm/ent/gen/ent_detail.do?PCSLID=CSL_2026_Q0MbHTHdpI</t>
        </is>
      </c>
      <c r="AF19" t="inlineStr">
        <is>
          <t>https://www.achatpublic.com/sdm/ent/gen/ent_detail.do?PCSLID=CSL_2026_Q0MbHTHdpI</t>
        </is>
      </c>
      <c r="AG19" t="inlineStr">
        <is>
          <t>nettoyage</t>
        </is>
      </c>
      <c r="AH19" t="inlineStr">
        <is>
          <t>3</t>
        </is>
      </c>
      <c r="AI19" t="inlineStr">
        <is>
          <t>68</t>
        </is>
      </c>
      <c r="AJ19" t="inlineStr">
        <is>
          <t>INFO_PARTIELLE</t>
        </is>
      </c>
      <c r="AK19" t="inlineStr">
        <is>
          <t>65</t>
        </is>
      </c>
      <c r="AL19" s="13" t="inlineStr">
        <is>
          <t>CHAUD</t>
        </is>
      </c>
      <c r="AM19">
        <f>MIN(100,MAX(0,IF(OR(ISNUMBER(SEARCH("nettoyage",C19)),ISNUMBER(SEARCH("proprete",C19)),ISNUMBER(SEARCH("entretien",C19)),ISNUMBER(SEARCH("hygiene",C19))),35,0)+IF(SUM(--(N19="75")+--(O19="75"),--(N19="77")+--(O19="77"),--(N19="78")+--(O19="78"),--(N19="91")+--(O19="91"),--(N19="92")+--(O19="92"),--(N19="93")+--(O19="93"),--(N19="94")+--(O19="94"),--(N19="95")+--(O19="95"))&gt;0,25,4)+IF(S19="",10,IF(S19&lt;=50000,25,IF(S19&lt;=100000,20,IF(S19&lt;=200000,5,IF(S19&lt;=500000,-10,-20)))))+IF(I19&lt;&gt;"",4,0)+IF(J19&lt;&gt;"",4,0)+IF(E19&lt;&gt;"",3,0)+IF(K19&lt;&gt;"",2,0)+IF(M19&lt;&gt;"",1,0)+IF(AD19&lt;&gt;"",1,0)+IF(R19="",0,IF(R19&lt;TODAY(),-30,IF(R19&lt;TODAY()+5,-15,IF(R19&lt;=TODAY()+15,5,10))))))</f>
        <v/>
      </c>
      <c r="AN19">
        <f>IF(AM19&gt;=65,"CHAUD",IF(AM19&gt;=40,"TIEDE","FROID"))</f>
        <v/>
      </c>
      <c r="AO19">
        <f>IF((IF(I19&lt;&gt;"",1,0)+IF(J19&lt;&gt;"",1,0)+IF(E19&lt;&gt;"",1,0)+IF(K19&lt;&gt;"",1,0))&gt;=4,"Complet",IF((IF(I19&lt;&gt;"",1,0)+IF(J19&lt;&gt;"",1,0)+IF(E19&lt;&gt;"",1,0)+IF(K19&lt;&gt;"",1,0))&gt;=2,"Partiel","Vide"))</f>
        <v/>
      </c>
      <c r="AP19">
        <f>IF(AJ19="DCE_A_TELECHARGER","Telecharger DCE",IF(T19="A_VERIFIER_BUDGET","Verifier budget",IF(AN19="CHAUD","Contacter maintenant",IF(AN19="TIEDE","Surveiller / relancer","Basse priorite"))))</f>
        <v/>
      </c>
      <c r="AQ19" t="inlineStr">
        <is>
          <t>IA_BUDGET_A_VERIFIER</t>
        </is>
      </c>
      <c r="AR19" t="inlineStr">
        <is>
          <t>Verifier le budget dans l'avis source ou le DCE avant decision commerciale.</t>
        </is>
      </c>
      <c r="AS19" t="inlineStr">
        <is>
          <t>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19" t="inlineStr">
        <is>
          <t>Verifier url_avis et DCE si disponible</t>
        </is>
      </c>
      <c r="AV19" t="inlineStr">
        <is>
          <t>LIEN_SEUL</t>
        </is>
      </c>
      <c r="AW19" t="inlineStr"/>
      <c r="AX19" t="inlineStr"/>
      <c r="AY19" t="inlineStr"/>
      <c r="AZ19" t="inlineStr"/>
      <c r="BA19" t="inlineStr"/>
      <c r="BB19" t="inlineStr">
        <is>
          <t>+35 nettoyage + categorie claire | +10 budget non affiche (a verifier) | +10 secteur cible Mairie | +10 delai confortable 21j</t>
        </is>
      </c>
      <c r="BC19"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19"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19"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19" t="inlineStr"/>
      <c r="BG19" t="inlineStr"/>
      <c r="BH19" t="inlineStr"/>
      <c r="BI19" t="inlineStr"/>
      <c r="BJ19" t="inlineStr"/>
      <c r="BK19" t="inlineStr"/>
      <c r="BL19" t="inlineStr"/>
      <c r="BM19" t="inlineStr">
        <is>
          <t>2026-W23</t>
        </is>
      </c>
    </row>
    <row r="20">
      <c r="A20" t="inlineStr">
        <is>
          <t>BOAMP</t>
        </is>
      </c>
      <c r="B20" t="inlineStr">
        <is>
          <t>26-53819</t>
        </is>
      </c>
      <c r="C20" t="inlineStr">
        <is>
          <t>ACCORD-CADRE DE PRESTATIONS D'ENTRETIEN DES INSTALLATIONS D'ASSAINISSSMENT DES PARCS DE STATIONNEMENT DE LA SPL LEVAPARC A LEVALLOIS-PERRET</t>
        </is>
      </c>
      <c r="D20" t="inlineStr">
        <is>
          <t>SPL LEVAPARC</t>
        </is>
      </c>
      <c r="E20" t="inlineStr"/>
      <c r="F20" t="inlineStr"/>
      <c r="G20" t="inlineStr"/>
      <c r="H20" t="inlineStr"/>
      <c r="I20" t="inlineStr">
        <is>
          <t>publications-joue@aws-france.com</t>
        </is>
      </c>
      <c r="J20" t="inlineStr">
        <is>
          <t>+33480041260</t>
        </is>
      </c>
      <c r="K20" t="inlineStr"/>
      <c r="L20" t="inlineStr"/>
      <c r="M20" t="inlineStr"/>
      <c r="N20" t="inlineStr">
        <is>
          <t>92</t>
        </is>
      </c>
      <c r="O20" t="inlineStr"/>
      <c r="P20" t="inlineStr">
        <is>
          <t>Ile-de-France</t>
        </is>
      </c>
      <c r="Q20" s="15" t="n">
        <v>46176</v>
      </c>
      <c r="R20" s="15" t="n">
        <v>46206</v>
      </c>
      <c r="S20" s="14" t="n">
        <v>100000</v>
      </c>
      <c r="T20" t="inlineStr">
        <is>
          <t>BUDGET_EXPLICITE_OK</t>
        </is>
      </c>
      <c r="U20" t="inlineStr">
        <is>
          <t>100000.0</t>
        </is>
      </c>
      <c r="V20" t="inlineStr">
        <is>
          <t>non</t>
        </is>
      </c>
      <c r="W20" t="inlineStr">
        <is>
          <t>Batiments</t>
        </is>
      </c>
      <c r="X20" t="inlineStr">
        <is>
          <t>Autre</t>
        </is>
      </c>
      <c r="Y20" t="inlineStr">
        <is>
          <t>SERVICES</t>
        </is>
      </c>
      <c r="Z20" t="inlineStr">
        <is>
          <t>Procédure Ouverte</t>
        </is>
      </c>
      <c r="AA20" t="inlineStr">
        <is>
          <t>Avis de marché</t>
        </is>
      </c>
      <c r="AB20" t="inlineStr">
        <is>
          <t>Assainissement</t>
        </is>
      </c>
      <c r="AC20" t="inlineStr">
        <is>
          <t>['environnementaux']</t>
        </is>
      </c>
      <c r="AD20" s="11" t="inlineStr">
        <is>
          <t>https://www.boamp.fr/pages/avis/?q=idweb:26-53819</t>
        </is>
      </c>
      <c r="AE20" t="inlineStr">
        <is>
          <t>https://www.marches-publics.info</t>
        </is>
      </c>
      <c r="AF20" t="inlineStr">
        <is>
          <t>https://www.marches-publics.info</t>
        </is>
      </c>
      <c r="AG20" t="inlineStr">
        <is>
          <t>nettoyage</t>
        </is>
      </c>
      <c r="AH20" t="inlineStr">
        <is>
          <t>2</t>
        </is>
      </c>
      <c r="AI20" t="inlineStr">
        <is>
          <t>58</t>
        </is>
      </c>
      <c r="AJ20" t="inlineStr">
        <is>
          <t>INFO_PARTIELLE</t>
        </is>
      </c>
      <c r="AK20" t="inlineStr">
        <is>
          <t>65</t>
        </is>
      </c>
      <c r="AL20" s="13" t="inlineStr">
        <is>
          <t>CHAUD</t>
        </is>
      </c>
      <c r="AM20">
        <f>MIN(100,MAX(0,IF(OR(ISNUMBER(SEARCH("nettoyage",C20)),ISNUMBER(SEARCH("proprete",C20)),ISNUMBER(SEARCH("entretien",C20)),ISNUMBER(SEARCH("hygiene",C20))),35,0)+IF(SUM(--(N20="75")+--(O20="75"),--(N20="77")+--(O20="77"),--(N20="78")+--(O20="78"),--(N20="91")+--(O20="91"),--(N20="92")+--(O20="92"),--(N20="93")+--(O20="93"),--(N20="94")+--(O20="94"),--(N20="95")+--(O20="95"))&gt;0,25,4)+IF(S20="",10,IF(S20&lt;=50000,25,IF(S20&lt;=100000,20,IF(S20&lt;=200000,5,IF(S20&lt;=500000,-10,-20)))))+IF(I20&lt;&gt;"",4,0)+IF(J20&lt;&gt;"",4,0)+IF(E20&lt;&gt;"",3,0)+IF(K20&lt;&gt;"",2,0)+IF(M20&lt;&gt;"",1,0)+IF(AD20&lt;&gt;"",1,0)+IF(R20="",0,IF(R20&lt;TODAY(),-30,IF(R20&lt;TODAY()+5,-15,IF(R20&lt;=TODAY()+15,5,10))))))</f>
        <v/>
      </c>
      <c r="AN20">
        <f>IF(AM20&gt;=65,"CHAUD",IF(AM20&gt;=40,"TIEDE","FROID"))</f>
        <v/>
      </c>
      <c r="AO20">
        <f>IF((IF(I20&lt;&gt;"",1,0)+IF(J20&lt;&gt;"",1,0)+IF(E20&lt;&gt;"",1,0)+IF(K20&lt;&gt;"",1,0))&gt;=4,"Complet",IF((IF(I20&lt;&gt;"",1,0)+IF(J20&lt;&gt;"",1,0)+IF(E20&lt;&gt;"",1,0)+IF(K20&lt;&gt;"",1,0))&gt;=2,"Partiel","Vide"))</f>
        <v/>
      </c>
      <c r="AP20">
        <f>IF(AJ20="DCE_A_TELECHARGER","Telecharger DCE",IF(T20="A_VERIFIER_BUDGET","Verifier budget",IF(AN20="CHAUD","Contacter maintenant",IF(AN20="TIEDE","Surveiller / relancer","Basse priorite"))))</f>
        <v/>
      </c>
      <c r="AQ20" t="inlineStr">
        <is>
          <t>IA_CONTACT_A_COMPLETER</t>
        </is>
      </c>
      <c r="AR20" t="inlineStr">
        <is>
          <t>Completer les champs manquants depuis l'avis source, le site acheteur ou le DCE.</t>
        </is>
      </c>
      <c r="AS20" t="inlineStr">
        <is>
          <t>SIRET, adresse, ville</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26-53819. Objet: ACCORD-CADRE DE PRESTATIONS D'ENTRETIEN DES INSTALLATIONS D'ASSAINISSSMENT DES PARCS DE STATIONNEMENT DE LA SPL LEVAPARC A LEVALLOIS-PERRET. Acheteur: SPL LEVAPARC. Lien: https://www.boamp.fr/pages/avis/?q=idweb:26-53819.</t>
        </is>
      </c>
      <c r="AU20" t="inlineStr">
        <is>
          <t>Verifier url_avis et DCE si disponible</t>
        </is>
      </c>
      <c r="AV20" t="inlineStr"/>
      <c r="AW20" t="inlineStr"/>
      <c r="AX20" t="inlineStr"/>
      <c r="AY20" t="inlineStr"/>
      <c r="AZ20" t="inlineStr"/>
      <c r="BA20" t="inlineStr"/>
      <c r="BB20" t="inlineStr">
        <is>
          <t>+35 nettoyage + categorie claire | +20 budget annualise &lt;= 100 000 EUR | +10 delai confortable 16j</t>
        </is>
      </c>
      <c r="BC20" t="inlineStr">
        <is>
          <t>SPL LEVAPARC publie un AO potentiellement pertinent pour CHRUTH : ACCORD-CADRE DE PRESTATIONS D'ENTRETIEN DES INSTALLATIONS D'ASSAINISSSMENT DES PARCS DE STATIONNEMENT DE LA SPL LEVAPARC A LEVALLOIS-PERRET. Zone : 92. Budget detecte environ 100 000 EUR. Verifier le lien source avant contact.</t>
        </is>
      </c>
      <c r="BD20" t="inlineStr">
        <is>
          <t>Bonjour,
Je me permets de vous contacter au sujet de votre appel d'offres : ACCORD-CADRE DE PRESTATIONS D'ENTRETIEN DES INSTALLATIONS D'ASSAINISSSMENT DES PARCS DE STATIONNEMENT DE LA SPL LEVAPARC A LEVALLOIS-PERRET.
CHRUTH accompagne les structures publiques et privees sur les besoins de nettoyage, d'entretien des locaux et d'organisation de prestations de service.
Serait-il possible d'echanger rapidement afin de verifier les modalites de reponse et les attentes de SPL LEVAPARC ?
Cordialement,</t>
        </is>
      </c>
      <c r="BE20" t="inlineStr">
        <is>
          <t>Bonjour, je vous appelle concernant un appel d'offres publie par SPL LEVAPARC.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2026-W23</t>
        </is>
      </c>
    </row>
    <row r="21">
      <c r="A21" t="inlineStr">
        <is>
          <t>BOAMP</t>
        </is>
      </c>
      <c r="B21" t="inlineStr">
        <is>
          <t>26-64633</t>
        </is>
      </c>
      <c r="C21" t="inlineStr">
        <is>
          <t>Entretien des locaux municipaux de Villenoy</t>
        </is>
      </c>
      <c r="D21" t="inlineStr">
        <is>
          <t>Commune de Villenoy</t>
        </is>
      </c>
      <c r="E21" t="inlineStr">
        <is>
          <t>21770513600109</t>
        </is>
      </c>
      <c r="F21" t="inlineStr">
        <is>
          <t>217705136</t>
        </is>
      </c>
      <c r="G21" t="inlineStr"/>
      <c r="H21" t="inlineStr"/>
      <c r="I21" t="inlineStr">
        <is>
          <t>mairie@villenoy.fr</t>
        </is>
      </c>
      <c r="J21" t="inlineStr">
        <is>
          <t>0513600109</t>
        </is>
      </c>
      <c r="K21" t="inlineStr"/>
      <c r="L21" t="inlineStr"/>
      <c r="M21" t="inlineStr"/>
      <c r="N21" t="inlineStr">
        <is>
          <t>77</t>
        </is>
      </c>
      <c r="O21" t="inlineStr"/>
      <c r="P21" t="inlineStr">
        <is>
          <t>Ile-de-France</t>
        </is>
      </c>
      <c r="Q21" s="15" t="n">
        <v>46204</v>
      </c>
      <c r="R21" s="15" t="n">
        <v>46234</v>
      </c>
      <c r="S21" s="14" t="n">
        <v>200000</v>
      </c>
      <c r="T21" t="inlineStr">
        <is>
          <t>BUDGET_EXPLICITE_OK</t>
        </is>
      </c>
      <c r="U21" t="inlineStr">
        <is>
          <t>200000.0</t>
        </is>
      </c>
      <c r="V21" t="inlineStr">
        <is>
          <t>non</t>
        </is>
      </c>
      <c r="W21" t="inlineStr">
        <is>
          <t>Batiments</t>
        </is>
      </c>
      <c r="X21" t="inlineStr">
        <is>
          <t>Mairie</t>
        </is>
      </c>
      <c r="Y21" t="inlineStr">
        <is>
          <t>SERVICES</t>
        </is>
      </c>
      <c r="Z21" t="inlineStr">
        <is>
          <t>Procédure Ouverte</t>
        </is>
      </c>
      <c r="AA21" t="inlineStr">
        <is>
          <t>Avis de marché</t>
        </is>
      </c>
      <c r="AB21" t="inlineStr">
        <is>
          <t>Nettoyage de locaux</t>
        </is>
      </c>
      <c r="AC21" t="inlineStr"/>
      <c r="AD21" s="11" t="inlineStr">
        <is>
          <t>https://www.boamp.fr/pages/avis/?q=idweb:26-64633</t>
        </is>
      </c>
      <c r="AE21" t="inlineStr">
        <is>
          <t>https://marches.maximilien.fr/entreprise/consultation/942278?orgAcronyme=a4n</t>
        </is>
      </c>
      <c r="AF21" t="inlineStr">
        <is>
          <t>https://marches.maximilien.fr/entreprise/consultation/942278?orgAcronyme=a4n</t>
        </is>
      </c>
      <c r="AG21" t="inlineStr">
        <is>
          <t>nettoyage, entretien des locaux, menage</t>
        </is>
      </c>
      <c r="AH21" t="inlineStr">
        <is>
          <t>3</t>
        </is>
      </c>
      <c r="AI21" t="inlineStr">
        <is>
          <t>84</t>
        </is>
      </c>
      <c r="AJ21" t="inlineStr">
        <is>
          <t>INFO_PARTIELLE</t>
        </is>
      </c>
      <c r="AK21" t="inlineStr">
        <is>
          <t>60</t>
        </is>
      </c>
      <c r="AL21" t="inlineStr">
        <is>
          <t>TIEDE</t>
        </is>
      </c>
      <c r="AM21">
        <f>MIN(100,MAX(0,IF(OR(ISNUMBER(SEARCH("nettoyage",C21)),ISNUMBER(SEARCH("proprete",C21)),ISNUMBER(SEARCH("entretien",C21)),ISNUMBER(SEARCH("hygiene",C21))),35,0)+IF(SUM(--(N21="75")+--(O21="75"),--(N21="77")+--(O21="77"),--(N21="78")+--(O21="78"),--(N21="91")+--(O21="91"),--(N21="92")+--(O21="92"),--(N21="93")+--(O21="93"),--(N21="94")+--(O21="94"),--(N21="95")+--(O21="95"))&gt;0,25,4)+IF(S21="",10,IF(S21&lt;=50000,25,IF(S21&lt;=100000,20,IF(S21&lt;=200000,5,IF(S21&lt;=500000,-10,-20)))))+IF(I21&lt;&gt;"",4,0)+IF(J21&lt;&gt;"",4,0)+IF(E21&lt;&gt;"",3,0)+IF(K21&lt;&gt;"",2,0)+IF(M21&lt;&gt;"",1,0)+IF(AD21&lt;&gt;"",1,0)+IF(R21="",0,IF(R21&lt;TODAY(),-30,IF(R21&lt;TODAY()+5,-15,IF(R21&lt;=TODAY()+15,5,10))))))</f>
        <v/>
      </c>
      <c r="AN21">
        <f>IF(AM21&gt;=65,"CHAUD",IF(AM21&gt;=40,"TIEDE","FROID"))</f>
        <v/>
      </c>
      <c r="AO21">
        <f>IF((IF(I21&lt;&gt;"",1,0)+IF(J21&lt;&gt;"",1,0)+IF(E21&lt;&gt;"",1,0)+IF(K21&lt;&gt;"",1,0))&gt;=4,"Complet",IF((IF(I21&lt;&gt;"",1,0)+IF(J21&lt;&gt;"",1,0)+IF(E21&lt;&gt;"",1,0)+IF(K21&lt;&gt;"",1,0))&gt;=2,"Partiel","Vide"))</f>
        <v/>
      </c>
      <c r="AP21">
        <f>IF(AJ21="DCE_A_TELECHARGER","Telecharger DCE",IF(T21="A_VERIFIER_BUDGET","Verifier budget",IF(AN21="CHAUD","Contacter maintenant",IF(AN21="TIEDE","Surveiller / relancer","Basse priorite"))))</f>
        <v/>
      </c>
      <c r="AQ21" t="inlineStr">
        <is>
          <t>IA_CONTACT_A_COMPLETER</t>
        </is>
      </c>
      <c r="AR21" t="inlineStr">
        <is>
          <t>Completer les champs manquants depuis l'avis source, le site acheteur ou le DCE.</t>
        </is>
      </c>
      <c r="AS21" t="inlineStr">
        <is>
          <t>adresse, ville</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26-64633. Objet: Entretien des locaux municipaux de Villenoy. Acheteur: Commune de Villenoy. Lien: https://www.boamp.fr/pages/avis/?q=idweb:26-64633.</t>
        </is>
      </c>
      <c r="AU21" t="inlineStr">
        <is>
          <t>Verifier url_avis et DCE si disponible</t>
        </is>
      </c>
      <c r="AV21" t="inlineStr"/>
      <c r="AW21" t="inlineStr"/>
      <c r="AX21" t="inlineStr"/>
      <c r="AY21" t="inlineStr"/>
      <c r="AZ21" t="inlineStr"/>
      <c r="BA21" t="inlineStr"/>
      <c r="BB21" t="inlineStr">
        <is>
          <t>+35 nettoyage + categorie claire | +5 budget annualise &lt;= 200 000 EUR | +10 secteur cible Mairie | +10 delai confortable 28j</t>
        </is>
      </c>
      <c r="BC21" t="inlineStr">
        <is>
          <t>Commune de Villenoy publie un AO potentiellement pertinent pour CHRUTH : Entretien des locaux municipaux de Villenoy. Zone : 77. Budget detecte environ 200 000 EUR. Verifier le lien source avant contact.</t>
        </is>
      </c>
      <c r="BD21" t="inlineStr">
        <is>
          <t>Bonjour,
Je me permets de vous contacter au sujet de votre appel d'offres : Entretien des locaux municipaux de Villenoy.
CHRUTH accompagne les structures publiques et privées sur les besoins de nettoyage, d'entretien des locaux et d'organisation de prestations de service.
Serait-il possible d'échanger rapidement afin de vérifier les modalités de réponse et les attentes de Commune de Villenoy ?
Cordialement,</t>
        </is>
      </c>
      <c r="BE21" t="inlineStr">
        <is>
          <t>Bonjour, je vous appelle concernant un appel d'offres publié par Commune de Villenoy.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2026-W27</t>
        </is>
      </c>
    </row>
    <row r="22">
      <c r="A22" t="inlineStr">
        <is>
          <t>BOAMP</t>
        </is>
      </c>
      <c r="B22" t="inlineStr">
        <is>
          <t>26-63220</t>
        </is>
      </c>
      <c r="C22" t="inlineStr">
        <is>
          <t>Prestations de propreté urbaine de la Ville de Choisy-le-Roi</t>
        </is>
      </c>
      <c r="D22" t="inlineStr">
        <is>
          <t>Mairie de Choisy-le-Roi</t>
        </is>
      </c>
      <c r="E22" t="inlineStr">
        <is>
          <t>21940022300018</t>
        </is>
      </c>
      <c r="F22" t="inlineStr">
        <is>
          <t>219400223</t>
        </is>
      </c>
      <c r="G22" t="inlineStr"/>
      <c r="H22" t="inlineStr"/>
      <c r="I22" t="inlineStr">
        <is>
          <t>marches.publics@choisyleroi.fr</t>
        </is>
      </c>
      <c r="J22" t="inlineStr">
        <is>
          <t>0148924444</t>
        </is>
      </c>
      <c r="K22" t="inlineStr"/>
      <c r="L22" t="inlineStr"/>
      <c r="M22" t="inlineStr"/>
      <c r="N22" t="inlineStr">
        <is>
          <t>94,91</t>
        </is>
      </c>
      <c r="O22" t="inlineStr"/>
      <c r="P22" t="inlineStr">
        <is>
          <t>Ile-de-France</t>
        </is>
      </c>
      <c r="Q22" s="15" t="n">
        <v>46200</v>
      </c>
      <c r="R22" s="15" t="n">
        <v>46237</v>
      </c>
      <c r="S22" t="inlineStr"/>
      <c r="T22" t="inlineStr">
        <is>
          <t>A_VERIFIER_BUDGET</t>
        </is>
      </c>
      <c r="U22" t="inlineStr"/>
      <c r="V22" t="inlineStr">
        <is>
          <t>non</t>
        </is>
      </c>
      <c r="W22" t="inlineStr">
        <is>
          <t>Mixte/Autre</t>
        </is>
      </c>
      <c r="X22" t="inlineStr">
        <is>
          <t>Mairie</t>
        </is>
      </c>
      <c r="Y22" t="inlineStr">
        <is>
          <t>SERVICES</t>
        </is>
      </c>
      <c r="Z22" t="inlineStr">
        <is>
          <t>Procédure Ouverte</t>
        </is>
      </c>
      <c r="AA22" t="inlineStr">
        <is>
          <t>Avis de marché</t>
        </is>
      </c>
      <c r="AB22" t="inlineStr">
        <is>
          <t>Nettoyage urbain</t>
        </is>
      </c>
      <c r="AC22" t="inlineStr">
        <is>
          <t>['sociaux', 'environnementaux']</t>
        </is>
      </c>
      <c r="AD22" s="11" t="inlineStr">
        <is>
          <t>https://www.boamp.fr/pages/avis/?q=idweb:26-63220</t>
        </is>
      </c>
      <c r="AE22" t="inlineStr">
        <is>
          <t>https://www.achatpublic.com/sdm/ent/gen/ent_detail.do?PCSLID=CSL_2026_IDV3YK-Eq_</t>
        </is>
      </c>
      <c r="AF22" t="inlineStr">
        <is>
          <t>https://www.achatpublic.com/sdm/ent/gen/ent_detail.do?PCSLID=CSL_2026_IDV3YK-Eq_</t>
        </is>
      </c>
      <c r="AG22" t="inlineStr">
        <is>
          <t>nettoyage, proprete</t>
        </is>
      </c>
      <c r="AH22" t="inlineStr">
        <is>
          <t>3</t>
        </is>
      </c>
      <c r="AI22" t="inlineStr">
        <is>
          <t>76</t>
        </is>
      </c>
      <c r="AJ22" t="inlineStr">
        <is>
          <t>INFO_PARTIELLE</t>
        </is>
      </c>
      <c r="AK22" t="inlineStr">
        <is>
          <t>60</t>
        </is>
      </c>
      <c r="AL22" t="inlineStr">
        <is>
          <t>TIEDE</t>
        </is>
      </c>
      <c r="AM22">
        <f>MIN(100,MAX(0,IF(OR(ISNUMBER(SEARCH("nettoyage",C22)),ISNUMBER(SEARCH("proprete",C22)),ISNUMBER(SEARCH("entretien",C22)),ISNUMBER(SEARCH("hygiene",C22))),35,0)+IF(SUM(--(N22="75")+--(O22="75"),--(N22="77")+--(O22="77"),--(N22="78")+--(O22="78"),--(N22="91")+--(O22="91"),--(N22="92")+--(O22="92"),--(N22="93")+--(O22="93"),--(N22="94")+--(O22="94"),--(N22="95")+--(O22="95"))&gt;0,25,4)+IF(S22="",10,IF(S22&lt;=50000,25,IF(S22&lt;=100000,20,IF(S22&lt;=200000,5,IF(S22&lt;=500000,-10,-20)))))+IF(I22&lt;&gt;"",4,0)+IF(J22&lt;&gt;"",4,0)+IF(E22&lt;&gt;"",3,0)+IF(K22&lt;&gt;"",2,0)+IF(M22&lt;&gt;"",1,0)+IF(AD22&lt;&gt;"",1,0)+IF(R22="",0,IF(R22&lt;TODAY(),-30,IF(R22&lt;TODAY()+5,-15,IF(R22&lt;=TODAY()+15,5,10))))))</f>
        <v/>
      </c>
      <c r="AN22">
        <f>IF(AM22&gt;=65,"CHAUD",IF(AM22&gt;=40,"TIEDE","FROID"))</f>
        <v/>
      </c>
      <c r="AO22">
        <f>IF((IF(I22&lt;&gt;"",1,0)+IF(J22&lt;&gt;"",1,0)+IF(E22&lt;&gt;"",1,0)+IF(K22&lt;&gt;"",1,0))&gt;=4,"Complet",IF((IF(I22&lt;&gt;"",1,0)+IF(J22&lt;&gt;"",1,0)+IF(E22&lt;&gt;"",1,0)+IF(K22&lt;&gt;"",1,0))&gt;=2,"Partiel","Vide"))</f>
        <v/>
      </c>
      <c r="AP22">
        <f>IF(AJ22="DCE_A_TELECHARGER","Telecharger DCE",IF(T22="A_VERIFIER_BUDGET","Verifier budget",IF(AN22="CHAUD","Contacter maintenant",IF(AN22="TIEDE","Surveiller / relancer","Basse priorite"))))</f>
        <v/>
      </c>
      <c r="AQ22" t="inlineStr">
        <is>
          <t>IA_BUDGET_A_VERIFIER</t>
        </is>
      </c>
      <c r="AR22" t="inlineStr">
        <is>
          <t>Verifier le budget dans l'avis source ou le DCE avant decision commerciale.</t>
        </is>
      </c>
      <c r="AS22" t="inlineStr">
        <is>
          <t>adresse, ville,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26-63220. Objet: Prestations de propreté urbaine de la Ville de Choisy-le-Roi. Acheteur: Mairie de Choisy-le-Roi. Lien: https://www.boamp.fr/pages/avis/?q=idweb:26-63220.</t>
        </is>
      </c>
      <c r="AU22" t="inlineStr">
        <is>
          <t>Verifier url_avis et DCE si disponible</t>
        </is>
      </c>
      <c r="AV22" t="inlineStr"/>
      <c r="AW22" t="inlineStr"/>
      <c r="AX22" t="inlineStr"/>
      <c r="AY22" t="inlineStr"/>
      <c r="AZ22" t="inlineStr"/>
      <c r="BA22" t="inlineStr"/>
      <c r="BB22" t="inlineStr">
        <is>
          <t>+30 mots-cles nettoyage forts | +10 budget non affiche (a verifier) | +10 secteur cible Mairie | +10 delai confortable 28j</t>
        </is>
      </c>
      <c r="BC22" t="inlineStr">
        <is>
          <t>Mairie de Choisy-le-Roi publie un AO potentiellement pertinent pour CHRUTH : Prestations de propreté urbaine de la Ville de Choisy-le-Roi. Zone : 94,91. Budget a verifier. Verifier le lien source avant contact.</t>
        </is>
      </c>
      <c r="BD22" t="inlineStr">
        <is>
          <t>Bonjour,
Je me permets de vous contacter au sujet de votre appel d'offres : Prestations de propreté urbaine de la Ville de Choisy-le-Roi.
CHRUTH accompagne les structures publiques et privées sur les besoins de nettoyage, d'entretien des locaux et d'organisation de prestations de service.
Serait-il possible d'échanger rapidement afin de vérifier les modalités de réponse et les attentes de Mairie de Choisy-le-Roi ?
Cordialement,</t>
        </is>
      </c>
      <c r="BE22" t="inlineStr">
        <is>
          <t>Bonjour, je vous appelle concernant un appel d'offres publié par Mairie de Choisy-le-Roi.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2026-W26</t>
        </is>
      </c>
    </row>
    <row r="23">
      <c r="A23" t="inlineStr">
        <is>
          <t>BOAMP</t>
        </is>
      </c>
      <c r="B23" t="inlineStr">
        <is>
          <t>26-62559</t>
        </is>
      </c>
      <c r="C23" t="inlineStr">
        <is>
          <t>Achat et livraison de produits, matériels  et consommables d'entretien pour la ville  de Villeneuve Saint Georges</t>
        </is>
      </c>
      <c r="D23" t="inlineStr">
        <is>
          <t>MAIRIE DE VILLENEUVE-SAINT-GEORGES</t>
        </is>
      </c>
      <c r="E23" t="inlineStr">
        <is>
          <t>21940078500016</t>
        </is>
      </c>
      <c r="F23" t="inlineStr">
        <is>
          <t>219400785</t>
        </is>
      </c>
      <c r="G23" t="inlineStr"/>
      <c r="H23" t="inlineStr"/>
      <c r="I23" t="inlineStr">
        <is>
          <t>jlassoued@villeneuve-saint-georges.fr</t>
        </is>
      </c>
      <c r="J23" t="inlineStr">
        <is>
          <t>0171346029</t>
        </is>
      </c>
      <c r="K23" t="inlineStr"/>
      <c r="L23" t="inlineStr"/>
      <c r="M23" t="inlineStr"/>
      <c r="N23" t="inlineStr">
        <is>
          <t>94,75,91</t>
        </is>
      </c>
      <c r="O23" t="inlineStr"/>
      <c r="P23" t="inlineStr">
        <is>
          <t>Ile-de-France</t>
        </is>
      </c>
      <c r="Q23" s="15" t="n">
        <v>46198</v>
      </c>
      <c r="R23" s="15" t="n">
        <v>46233</v>
      </c>
      <c r="S23" t="inlineStr"/>
      <c r="T23" t="inlineStr">
        <is>
          <t>A_VERIFIER_BUDGET</t>
        </is>
      </c>
      <c r="U23" t="inlineStr"/>
      <c r="V23" t="inlineStr">
        <is>
          <t>non</t>
        </is>
      </c>
      <c r="W23" t="inlineStr">
        <is>
          <t>Mixte/Autre</t>
        </is>
      </c>
      <c r="X23" t="inlineStr">
        <is>
          <t>Mairie</t>
        </is>
      </c>
      <c r="Y23" t="inlineStr">
        <is>
          <t>FOURNITURES</t>
        </is>
      </c>
      <c r="Z23" t="inlineStr">
        <is>
          <t>Procédure Ouverte</t>
        </is>
      </c>
      <c r="AA23" t="inlineStr">
        <is>
          <t>Avis de marché</t>
        </is>
      </c>
      <c r="AB23" t="inlineStr">
        <is>
          <t>Produits d'entretien</t>
        </is>
      </c>
      <c r="AC23" t="inlineStr">
        <is>
          <t>['environnementaux']</t>
        </is>
      </c>
      <c r="AD23" s="11" t="inlineStr">
        <is>
          <t>https://www.boamp.fr/pages/avis/?q=idweb:26-62559</t>
        </is>
      </c>
      <c r="AE23" t="inlineStr">
        <is>
          <t>https://www.achatpublic.com/sdm/ent/gen/ent_detail.do?PCSLID=CSL_2026_hmulkPQYm7</t>
        </is>
      </c>
      <c r="AF23" t="inlineStr">
        <is>
          <t>https://www.achatpublic.com/sdm/ent/gen/ent_detail.do?PCSLID=CSL_2026_hmulkPQYm7</t>
        </is>
      </c>
      <c r="AG23" t="inlineStr">
        <is>
          <t>menage</t>
        </is>
      </c>
      <c r="AH23" t="inlineStr">
        <is>
          <t>3</t>
        </is>
      </c>
      <c r="AI23" t="inlineStr">
        <is>
          <t>68</t>
        </is>
      </c>
      <c r="AJ23" t="inlineStr">
        <is>
          <t>INFO_PARTIELLE</t>
        </is>
      </c>
      <c r="AK23" t="inlineStr">
        <is>
          <t>60</t>
        </is>
      </c>
      <c r="AL23" t="inlineStr">
        <is>
          <t>TIEDE</t>
        </is>
      </c>
      <c r="AM23">
        <f>MIN(100,MAX(0,IF(OR(ISNUMBER(SEARCH("nettoyage",C23)),ISNUMBER(SEARCH("proprete",C23)),ISNUMBER(SEARCH("entretien",C23)),ISNUMBER(SEARCH("hygiene",C23))),35,0)+IF(SUM(--(N23="75")+--(O23="75"),--(N23="77")+--(O23="77"),--(N23="78")+--(O23="78"),--(N23="91")+--(O23="91"),--(N23="92")+--(O23="92"),--(N23="93")+--(O23="93"),--(N23="94")+--(O23="94"),--(N23="95")+--(O23="95"))&gt;0,25,4)+IF(S23="",10,IF(S23&lt;=50000,25,IF(S23&lt;=100000,20,IF(S23&lt;=200000,5,IF(S23&lt;=500000,-10,-20)))))+IF(I23&lt;&gt;"",4,0)+IF(J23&lt;&gt;"",4,0)+IF(E23&lt;&gt;"",3,0)+IF(K23&lt;&gt;"",2,0)+IF(M23&lt;&gt;"",1,0)+IF(AD23&lt;&gt;"",1,0)+IF(R23="",0,IF(R23&lt;TODAY(),-30,IF(R23&lt;TODAY()+5,-15,IF(R23&lt;=TODAY()+15,5,10))))))</f>
        <v/>
      </c>
      <c r="AN23">
        <f>IF(AM23&gt;=65,"CHAUD",IF(AM23&gt;=40,"TIEDE","FROID"))</f>
        <v/>
      </c>
      <c r="AO23">
        <f>IF((IF(I23&lt;&gt;"",1,0)+IF(J23&lt;&gt;"",1,0)+IF(E23&lt;&gt;"",1,0)+IF(K23&lt;&gt;"",1,0))&gt;=4,"Complet",IF((IF(I23&lt;&gt;"",1,0)+IF(J23&lt;&gt;"",1,0)+IF(E23&lt;&gt;"",1,0)+IF(K23&lt;&gt;"",1,0))&gt;=2,"Partiel","Vide"))</f>
        <v/>
      </c>
      <c r="AP23">
        <f>IF(AJ23="DCE_A_TELECHARGER","Telecharger DCE",IF(T23="A_VERIFIER_BUDGET","Verifier budget",IF(AN23="CHAUD","Contacter maintenant",IF(AN23="TIEDE","Surveiller / relancer","Basse priorite"))))</f>
        <v/>
      </c>
      <c r="AQ23" t="inlineStr">
        <is>
          <t>IA_BUDGET_A_VERIFIER</t>
        </is>
      </c>
      <c r="AR23" t="inlineStr">
        <is>
          <t>Verifier le budget dans l'avis source ou le DCE avant decision commerciale.</t>
        </is>
      </c>
      <c r="AS23" t="inlineStr">
        <is>
          <t>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26-62559. Objet: Achat et livraison de produits, matériels  et consommables d'entretien pour la ville  de Villeneuve Saint Georges. Acheteur: MAIRIE DE VILLENEUVE-SAINT-GEORGES. Lien: https://www.boamp.fr/pages/avis/?q=idweb:26-62559.</t>
        </is>
      </c>
      <c r="AU23" t="inlineStr">
        <is>
          <t>Verifier url_avis et DCE si disponible</t>
        </is>
      </c>
      <c r="AV23" t="inlineStr"/>
      <c r="AW23" t="inlineStr"/>
      <c r="AX23" t="inlineStr"/>
      <c r="AY23" t="inlineStr"/>
      <c r="AZ23" t="inlineStr"/>
      <c r="BA23" t="inlineStr"/>
      <c r="BB23" t="inlineStr">
        <is>
          <t>+30 mots-cles nettoyage forts | +10 budget non affiche (a verifier) | +10 secteur cible Mairie | +10 delai confortable 24j</t>
        </is>
      </c>
      <c r="BC23" t="inlineStr">
        <is>
          <t>MAIRIE DE VILLENEUVE-SAINT-GEORGES publie un AO potentiellement pertinent pour CHRUTH : Achat et livraison de produits, matériels  et consommables d'entretien pour la ville  de Villeneuve Saint Georges. Zone : 94,75,91. Budget a verifier. Verifier le lien source avant contact.</t>
        </is>
      </c>
      <c r="BD23" t="inlineStr">
        <is>
          <t>Bonjour,
Je me permets de vous contacter au sujet de votre appel d'offres : Achat et livraison de produits, matériels  et consommables d'entretien pour la ville  de Villeneuve Saint Georges.
CHRUTH accompagne les structures publiques et privées sur les besoins de nettoyage, d'entretien des locaux et d'organisation de prestations de service.
Serait-il possible d'échanger rapidement afin de vérifier les modalités de réponse et les attentes de MAIRIE DE VILLENEUVE-SAINT-GEORGES ?
Cordialement,</t>
        </is>
      </c>
      <c r="BE23" t="inlineStr">
        <is>
          <t>Bonjour, je vous appelle concernant un appel d'offres publié par MAIRIE DE VILLENEUVE-SAINT-GEORGES.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2026-W26</t>
        </is>
      </c>
    </row>
    <row r="24">
      <c r="A24" t="inlineStr">
        <is>
          <t>BOAMP</t>
        </is>
      </c>
      <c r="B24" t="inlineStr">
        <is>
          <t>26-58404</t>
        </is>
      </c>
      <c r="C24" t="inlineStr">
        <is>
          <t>Concession de service public portant sur la gestion et l'exploitation du Marché Saint-Louis pour le compte de la ville de Fontainebleau</t>
        </is>
      </c>
      <c r="D24" t="inlineStr">
        <is>
          <t>Ville De Fontainebleau</t>
        </is>
      </c>
      <c r="E24" t="inlineStr"/>
      <c r="F24" t="inlineStr">
        <is>
          <t>160746464</t>
        </is>
      </c>
      <c r="G24" t="inlineStr">
        <is>
          <t>Le Maire</t>
        </is>
      </c>
      <c r="H24" t="inlineStr"/>
      <c r="I24" t="inlineStr">
        <is>
          <t>catherine.durbecq@fontainebleau.fr</t>
        </is>
      </c>
      <c r="J24" t="inlineStr">
        <is>
          <t>+33 160746464</t>
        </is>
      </c>
      <c r="K24" t="inlineStr"/>
      <c r="L24" t="inlineStr">
        <is>
          <t>77303</t>
        </is>
      </c>
      <c r="M24" t="inlineStr">
        <is>
          <t>Fontainebleau</t>
        </is>
      </c>
      <c r="N24" t="inlineStr">
        <is>
          <t>77</t>
        </is>
      </c>
      <c r="O24" t="inlineStr"/>
      <c r="P24" t="inlineStr">
        <is>
          <t>Ile-de-France</t>
        </is>
      </c>
      <c r="Q24" s="15" t="n">
        <v>46185</v>
      </c>
      <c r="R24" s="15" t="n">
        <v>46234</v>
      </c>
      <c r="S24" t="inlineStr"/>
      <c r="T24" t="inlineStr">
        <is>
          <t>A_VERIFIER_BUDGET</t>
        </is>
      </c>
      <c r="U24" t="inlineStr"/>
      <c r="V24" t="inlineStr">
        <is>
          <t>non</t>
        </is>
      </c>
      <c r="W24" t="inlineStr">
        <is>
          <t>Mixte/Autre</t>
        </is>
      </c>
      <c r="X24" t="inlineStr">
        <is>
          <t>Mairie</t>
        </is>
      </c>
      <c r="Y24" t="inlineStr">
        <is>
          <t>SERVICES</t>
        </is>
      </c>
      <c r="Z24" t="inlineStr">
        <is>
          <t>Procédure NC</t>
        </is>
      </c>
      <c r="AA24" t="inlineStr">
        <is>
          <t>Avis de marché</t>
        </is>
      </c>
      <c r="AB24" t="inlineStr">
        <is>
          <t>Délégation de service public</t>
        </is>
      </c>
      <c r="AC24" t="inlineStr">
        <is>
          <t>['sociaux', 'environnementaux']</t>
        </is>
      </c>
      <c r="AD24" s="11" t="inlineStr">
        <is>
          <t>https://www.boamp.fr/pages/avis/?q=idweb:26-58404</t>
        </is>
      </c>
      <c r="AE24" t="inlineStr">
        <is>
          <t>http://www.fontainebleau.fr</t>
        </is>
      </c>
      <c r="AF24" t="inlineStr"/>
      <c r="AG24" t="inlineStr">
        <is>
          <t>nettoyage</t>
        </is>
      </c>
      <c r="AH24" t="inlineStr">
        <is>
          <t>4</t>
        </is>
      </c>
      <c r="AI24" t="inlineStr">
        <is>
          <t>78</t>
        </is>
      </c>
      <c r="AJ24" t="inlineStr">
        <is>
          <t>INFO_PARTIELLE</t>
        </is>
      </c>
      <c r="AK24" t="inlineStr">
        <is>
          <t>60</t>
        </is>
      </c>
      <c r="AL24" t="inlineStr">
        <is>
          <t>TIEDE</t>
        </is>
      </c>
      <c r="AM24">
        <f>MIN(100,MAX(0,IF(OR(ISNUMBER(SEARCH("nettoyage",C24)),ISNUMBER(SEARCH("proprete",C24)),ISNUMBER(SEARCH("entretien",C24)),ISNUMBER(SEARCH("hygiene",C24))),35,0)+IF(SUM(--(N24="75")+--(O24="75"),--(N24="77")+--(O24="77"),--(N24="78")+--(O24="78"),--(N24="91")+--(O24="91"),--(N24="92")+--(O24="92"),--(N24="93")+--(O24="93"),--(N24="94")+--(O24="94"),--(N24="95")+--(O24="95"))&gt;0,25,4)+IF(S24="",10,IF(S24&lt;=50000,25,IF(S24&lt;=100000,20,IF(S24&lt;=200000,5,IF(S24&lt;=500000,-10,-20)))))+IF(I24&lt;&gt;"",4,0)+IF(J24&lt;&gt;"",4,0)+IF(E24&lt;&gt;"",3,0)+IF(K24&lt;&gt;"",2,0)+IF(M24&lt;&gt;"",1,0)+IF(AD24&lt;&gt;"",1,0)+IF(R24="",0,IF(R24&lt;TODAY(),-30,IF(R24&lt;TODAY()+5,-15,IF(R24&lt;=TODAY()+15,5,10))))))</f>
        <v/>
      </c>
      <c r="AN24">
        <f>IF(AM24&gt;=65,"CHAUD",IF(AM24&gt;=40,"TIEDE","FROID"))</f>
        <v/>
      </c>
      <c r="AO24">
        <f>IF((IF(I24&lt;&gt;"",1,0)+IF(J24&lt;&gt;"",1,0)+IF(E24&lt;&gt;"",1,0)+IF(K24&lt;&gt;"",1,0))&gt;=4,"Complet",IF((IF(I24&lt;&gt;"",1,0)+IF(J24&lt;&gt;"",1,0)+IF(E24&lt;&gt;"",1,0)+IF(K24&lt;&gt;"",1,0))&gt;=2,"Partiel","Vide"))</f>
        <v/>
      </c>
      <c r="AP24">
        <f>IF(AJ24="DCE_A_TELECHARGER","Telecharger DCE",IF(T24="A_VERIFIER_BUDGET","Verifier budget",IF(AN24="CHAUD","Contacter maintenant",IF(AN24="TIEDE","Surveiller / relancer","Basse priorite"))))</f>
        <v/>
      </c>
      <c r="AQ24" t="inlineStr">
        <is>
          <t>IA_BUDGET_A_VERIFIER</t>
        </is>
      </c>
      <c r="AR24" t="inlineStr">
        <is>
          <t>Verifier le budget dans l'avis source ou le DCE avant decision commerciale.</t>
        </is>
      </c>
      <c r="AS24" t="inlineStr">
        <is>
          <t>SIRET, adresse,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26-58404. Objet: Concession de service public portant sur la gestion et l'exploitation du Marché Saint-Louis pour le compte de la ville de Fontainebleau. Acheteur: Ville De Fontainebleau. Lien: https://www.boamp.fr/pages/avis/?q=idweb:26-58404.</t>
        </is>
      </c>
      <c r="AU24" t="inlineStr">
        <is>
          <t>Verifier url_avis et DCE si disponible</t>
        </is>
      </c>
      <c r="AV24" t="inlineStr">
        <is>
          <t>LIEN_SEUL</t>
        </is>
      </c>
      <c r="AW24" t="inlineStr"/>
      <c r="AX24" t="inlineStr"/>
      <c r="AY24" t="inlineStr"/>
      <c r="AZ24" t="inlineStr"/>
      <c r="BA24" t="inlineStr"/>
      <c r="BB24" t="inlineStr">
        <is>
          <t>+30 mots-cles nettoyage forts | +10 budget non affiche (a verifier) | +10 secteur cible Mairie | +10 delai confortable 39j</t>
        </is>
      </c>
      <c r="BC24" t="inlineStr">
        <is>
          <t>Ville De Fontainebleau publie un AO potentiellement pertinent pour CHRUTH : Concession de service public portant sur la gestion et l'exploitation du Marché Saint-Louis pour le compte de la ville de Fontainebleau. Zone : Fontainebleau. Budget a verifier. Verifier le lien source avant contact.</t>
        </is>
      </c>
      <c r="BD24" t="inlineStr">
        <is>
          <t>Bonjour,
Je me permets de vous contacter au sujet de votre appel d'offres : Concession de service public portant sur la gestion et l'exploitation du Marché Saint-Louis pour le compte de la ville de Fontainebleau.
CHRUTH accompagne les structures publiques et privees sur les besoins de nettoyage, d'entretien des locaux et d'organisation de prestations de service.
Serait-il possible d'echanger rapidement afin de verifier les modalites de reponse et les attentes de Ville De Fontainebleau ?
Cordialement,</t>
        </is>
      </c>
      <c r="BE24" t="inlineStr">
        <is>
          <t>Bonjour, je vous appelle concernant un appel d'offres publie par Ville De Fontainebleau. Je souhaite verifier les informations pratiques : perimetre des prestations, date limite, modalites de visite, contact technique et pieces attendues. Pouvez-vous m'indiquer la bonne personne a contacter ?</t>
        </is>
      </c>
      <c r="BF24" t="inlineStr"/>
      <c r="BG24" t="inlineStr"/>
      <c r="BH24" t="inlineStr"/>
      <c r="BI24" t="inlineStr"/>
      <c r="BJ24" t="inlineStr"/>
      <c r="BK24" t="inlineStr"/>
      <c r="BL24" t="inlineStr"/>
      <c r="BM24" t="inlineStr">
        <is>
          <t>2026-W24</t>
        </is>
      </c>
    </row>
    <row r="25">
      <c r="A25" t="inlineStr">
        <is>
          <t>BOAMP</t>
        </is>
      </c>
      <c r="B25" t="inlineStr">
        <is>
          <t>26-55484</t>
        </is>
      </c>
      <c r="C25" t="inlineStr">
        <is>
          <t>Nettoyage Courant Et Remise En Etat De Locaux Sociaux Et Administratifs (sur tout le territoire Sitreva : département 27, 28 et 78)</t>
        </is>
      </c>
      <c r="D25" t="inlineStr">
        <is>
          <t>Sitreva</t>
        </is>
      </c>
      <c r="E25" t="inlineStr">
        <is>
          <t>25280334100236</t>
        </is>
      </c>
      <c r="F25" t="inlineStr">
        <is>
          <t>252803341</t>
        </is>
      </c>
      <c r="G25" t="inlineStr">
        <is>
          <t>Nathalie corniaux</t>
        </is>
      </c>
      <c r="H25" t="inlineStr"/>
      <c r="I25" t="inlineStr"/>
      <c r="J25" t="inlineStr">
        <is>
          <t>0334100236</t>
        </is>
      </c>
      <c r="K25" t="inlineStr">
        <is>
          <t>19 rue Gustave Eiffel 78120 - Rambouillet</t>
        </is>
      </c>
      <c r="L25" t="inlineStr">
        <is>
          <t>78120</t>
        </is>
      </c>
      <c r="M25" t="inlineStr">
        <is>
          <t>Rambouillet</t>
        </is>
      </c>
      <c r="N25" t="inlineStr">
        <is>
          <t>78,28</t>
        </is>
      </c>
      <c r="O25" t="inlineStr"/>
      <c r="P25" t="inlineStr">
        <is>
          <t>Ile-de-France</t>
        </is>
      </c>
      <c r="Q25" s="15" t="n">
        <v>46178</v>
      </c>
      <c r="R25" s="15" t="n">
        <v>46206</v>
      </c>
      <c r="S25" s="14" t="n">
        <v>78120</v>
      </c>
      <c r="T25" t="inlineStr">
        <is>
          <t>BUDGET_SOUS_SEUIL</t>
        </is>
      </c>
      <c r="U25" t="inlineStr">
        <is>
          <t>78120</t>
        </is>
      </c>
      <c r="V25" t="inlineStr">
        <is>
          <t>oui</t>
        </is>
      </c>
      <c r="W25" t="inlineStr">
        <is>
          <t>Batiments</t>
        </is>
      </c>
      <c r="X25" t="inlineStr">
        <is>
          <t>Autre</t>
        </is>
      </c>
      <c r="Y25" t="inlineStr">
        <is>
          <t>SERVICES</t>
        </is>
      </c>
      <c r="Z25" t="inlineStr">
        <is>
          <t>Procédure Ouverte</t>
        </is>
      </c>
      <c r="AA25" t="inlineStr">
        <is>
          <t>Avis de marché</t>
        </is>
      </c>
      <c r="AB25" t="inlineStr">
        <is>
          <t>Nettoyage de locaux, Prestations de services</t>
        </is>
      </c>
      <c r="AC25" t="inlineStr">
        <is>
          <t>['sociaux', 'environnementaux']</t>
        </is>
      </c>
      <c r="AD25" s="11" t="inlineStr">
        <is>
          <t>https://www.boamp.fr/pages/avis/?q=idweb:26-55484</t>
        </is>
      </c>
      <c r="AE25" t="inlineStr">
        <is>
          <t>https://www.marches-publics.info/mpiaws/index.cfm?fuseaction=dematent.login&amp;type=Dce&amp;Idm=1831542</t>
        </is>
      </c>
      <c r="AF25" t="inlineStr">
        <is>
          <t>https://www.marches-publics.info/mpiaws/index.cfm?fuseaction=dematent.login&amp;type=Dce&amp;Idm=1831542</t>
        </is>
      </c>
      <c r="AG25" t="inlineStr">
        <is>
          <t>nettoyage, proprete</t>
        </is>
      </c>
      <c r="AH25" t="inlineStr">
        <is>
          <t>5</t>
        </is>
      </c>
      <c r="AI25" t="inlineStr">
        <is>
          <t>96</t>
        </is>
      </c>
      <c r="AJ25" t="inlineStr">
        <is>
          <t>INFO_PARTIELLE</t>
        </is>
      </c>
      <c r="AK25" t="inlineStr">
        <is>
          <t>60</t>
        </is>
      </c>
      <c r="AL25" t="inlineStr">
        <is>
          <t>TIEDE</t>
        </is>
      </c>
      <c r="AM25">
        <f>MIN(100,MAX(0,IF(OR(ISNUMBER(SEARCH("nettoyage",C25)),ISNUMBER(SEARCH("proprete",C25)),ISNUMBER(SEARCH("entretien",C25)),ISNUMBER(SEARCH("hygiene",C25))),35,0)+IF(SUM(--(N25="75")+--(O25="75"),--(N25="77")+--(O25="77"),--(N25="78")+--(O25="78"),--(N25="91")+--(O25="91"),--(N25="92")+--(O25="92"),--(N25="93")+--(O25="93"),--(N25="94")+--(O25="94"),--(N25="95")+--(O25="95"))&gt;0,25,4)+IF(S25="",10,IF(S25&lt;=50000,25,IF(S25&lt;=100000,20,IF(S25&lt;=200000,5,IF(S25&lt;=500000,-10,-20)))))+IF(I25&lt;&gt;"",4,0)+IF(J25&lt;&gt;"",4,0)+IF(E25&lt;&gt;"",3,0)+IF(K25&lt;&gt;"",2,0)+IF(M25&lt;&gt;"",1,0)+IF(AD25&lt;&gt;"",1,0)+IF(R25="",0,IF(R25&lt;TODAY(),-30,IF(R25&lt;TODAY()+5,-15,IF(R25&lt;=TODAY()+15,5,10))))))</f>
        <v/>
      </c>
      <c r="AN25">
        <f>IF(AM25&gt;=65,"CHAUD",IF(AM25&gt;=40,"TIEDE","FROID"))</f>
        <v/>
      </c>
      <c r="AO25">
        <f>IF((IF(I25&lt;&gt;"",1,0)+IF(J25&lt;&gt;"",1,0)+IF(E25&lt;&gt;"",1,0)+IF(K25&lt;&gt;"",1,0))&gt;=4,"Complet",IF((IF(I25&lt;&gt;"",1,0)+IF(J25&lt;&gt;"",1,0)+IF(E25&lt;&gt;"",1,0)+IF(K25&lt;&gt;"",1,0))&gt;=2,"Partiel","Vide"))</f>
        <v/>
      </c>
      <c r="AP25">
        <f>IF(AJ25="DCE_A_TELECHARGER","Telecharger DCE",IF(T25="A_VERIFIER_BUDGET","Verifier budget",IF(AN25="CHAUD","Contacter maintenant",IF(AN25="TIEDE","Surveiller / relancer","Basse priorite"))))</f>
        <v/>
      </c>
      <c r="AQ25" t="inlineStr">
        <is>
          <t>IA_CONTACT_A_COMPLETER</t>
        </is>
      </c>
      <c r="AR25" t="inlineStr">
        <is>
          <t>Completer les champs manquants depuis l'avis source, le site acheteur ou le DCE.</t>
        </is>
      </c>
      <c r="AS25" t="inlineStr">
        <is>
          <t>email</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26-55484. Objet: Nettoyage Courant Et Remise En Etat De Locaux Sociaux Et Administratifs (sur tout le territoire Sitreva : département 27, 28 et 78). Acheteur: Sitreva. Lien: https://www.boamp.fr/pages/avis/?q=idweb:26-55484.</t>
        </is>
      </c>
      <c r="AU25" t="inlineStr">
        <is>
          <t>Verifier url_avis et DCE si disponible</t>
        </is>
      </c>
      <c r="AV25" t="inlineStr">
        <is>
          <t>LIEN_SEUL</t>
        </is>
      </c>
      <c r="AW25" t="inlineStr"/>
      <c r="AX25" t="inlineStr"/>
      <c r="AY25" t="inlineStr"/>
      <c r="AZ25" t="inlineStr"/>
      <c r="BA25" t="inlineStr"/>
      <c r="BB25" t="inlineStr">
        <is>
          <t>+35 nettoyage + categorie claire | +20 budget annualise &lt;= 100 000 EUR | +5 delai court 14j</t>
        </is>
      </c>
      <c r="BC25" t="inlineStr">
        <is>
          <t>Sitreva publie un AO potentiellement pertinent pour CHRUTH : Nettoyage Courant Et Remise En Etat De Locaux Sociaux Et Administratifs (sur tout le territoire Sitreva : département 27, 28 et 78). Zone : Rambouillet. Budget detecte environ 78 120 EUR. Verifier le lien source avant contact.</t>
        </is>
      </c>
      <c r="BD25" t="inlineStr">
        <is>
          <t>Bonjour,
Je me permets de vous contacter au sujet de votre appel d'offres : Nettoyage Courant Et Remise En Etat De Locaux Sociaux Et Administratifs (sur tout le territoire Sitreva : département 27, 28 et 78).
CHRUTH accompagne les structures publiques et privees sur les besoins de nettoyage, d'entretien des locaux et d'organisation de prestations de service.
Serait-il possible d'echanger rapidement afin de verifier les modalites de reponse et les attentes de Sitreva ?
Cordialement,</t>
        </is>
      </c>
      <c r="BE25" t="inlineStr">
        <is>
          <t>Bonjour, je vous appelle concernant un appel d'offres publie par Sitreva. Je souhaite verifier les informations pratiques : perimetre des prestations, date limite, modalites de visite, contact technique et pieces attendues. Pouvez-vous m'indiquer la bonne personne a contacter ?</t>
        </is>
      </c>
      <c r="BF25" t="inlineStr"/>
      <c r="BG25" t="inlineStr"/>
      <c r="BH25" t="inlineStr"/>
      <c r="BI25" t="inlineStr"/>
      <c r="BJ25" t="inlineStr"/>
      <c r="BK25" t="inlineStr"/>
      <c r="BL25" t="inlineStr"/>
      <c r="BM25" t="inlineStr">
        <is>
          <t>2026-W23</t>
        </is>
      </c>
    </row>
    <row r="26">
      <c r="A26" t="inlineStr">
        <is>
          <t>BOAMP</t>
        </is>
      </c>
      <c r="B26" t="inlineStr">
        <is>
          <t>26-54754</t>
        </is>
      </c>
      <c r="C26" t="inlineStr">
        <is>
          <t>Nettoyage et entretien courant des locaux de la commune de Combs-la-Ville</t>
        </is>
      </c>
      <c r="D26" t="inlineStr">
        <is>
          <t>Mairie de Combs-la-Ville</t>
        </is>
      </c>
      <c r="E26" t="inlineStr">
        <is>
          <t>17770704900017</t>
        </is>
      </c>
      <c r="F26" t="inlineStr">
        <is>
          <t>177707049</t>
        </is>
      </c>
      <c r="G26" t="inlineStr"/>
      <c r="H26" t="inlineStr"/>
      <c r="I26" t="inlineStr">
        <is>
          <t>nantene.diallo@mairie-combs-la-ville.fr</t>
        </is>
      </c>
      <c r="J26" t="inlineStr">
        <is>
          <t>+33 164131684</t>
        </is>
      </c>
      <c r="K26" t="inlineStr"/>
      <c r="L26" t="inlineStr"/>
      <c r="M26" t="inlineStr"/>
      <c r="N26" t="inlineStr">
        <is>
          <t>77,91,92,93,94,95,75</t>
        </is>
      </c>
      <c r="O26" t="inlineStr"/>
      <c r="P26" t="inlineStr">
        <is>
          <t>Ile-de-France</t>
        </is>
      </c>
      <c r="Q26" s="15" t="n">
        <v>46178</v>
      </c>
      <c r="R26" s="15" t="n">
        <v>46220</v>
      </c>
      <c r="S26" s="14" t="n">
        <v>150000</v>
      </c>
      <c r="T26" t="inlineStr">
        <is>
          <t>BUDGET_EXPLICITE_OK</t>
        </is>
      </c>
      <c r="U26" t="inlineStr">
        <is>
          <t>150000</t>
        </is>
      </c>
      <c r="V26" t="inlineStr">
        <is>
          <t>oui</t>
        </is>
      </c>
      <c r="W26" t="inlineStr">
        <is>
          <t>Batiments</t>
        </is>
      </c>
      <c r="X26" t="inlineStr">
        <is>
          <t>Mairie</t>
        </is>
      </c>
      <c r="Y26" t="inlineStr">
        <is>
          <t>SERVICES</t>
        </is>
      </c>
      <c r="Z26" t="inlineStr">
        <is>
          <t>Procédure Ouverte</t>
        </is>
      </c>
      <c r="AA26" t="inlineStr">
        <is>
          <t>Avis de marché</t>
        </is>
      </c>
      <c r="AB26" t="inlineStr">
        <is>
          <t>Prestations de services, Nettoyage de locaux</t>
        </is>
      </c>
      <c r="AC26" t="inlineStr">
        <is>
          <t>['sociaux', 'environnementaux']</t>
        </is>
      </c>
      <c r="AD26" s="11" t="inlineStr">
        <is>
          <t>https://www.boamp.fr/pages/avis/?q=idweb:26-54754</t>
        </is>
      </c>
      <c r="AE26" t="inlineStr">
        <is>
          <t>https://www.e-marchespublics.com/appel-offre/1164729</t>
        </is>
      </c>
      <c r="AF26" t="inlineStr">
        <is>
          <t>https://www.e-marchespublics.com/appel-offre/1164729</t>
        </is>
      </c>
      <c r="AG26" t="inlineStr">
        <is>
          <t>nettoyage</t>
        </is>
      </c>
      <c r="AH26" t="inlineStr">
        <is>
          <t>3</t>
        </is>
      </c>
      <c r="AI26" t="inlineStr">
        <is>
          <t>68</t>
        </is>
      </c>
      <c r="AJ26" t="inlineStr">
        <is>
          <t>INFO_PARTIELLE</t>
        </is>
      </c>
      <c r="AK26" t="inlineStr">
        <is>
          <t>60</t>
        </is>
      </c>
      <c r="AL26" t="inlineStr">
        <is>
          <t>TIEDE</t>
        </is>
      </c>
      <c r="AM26">
        <f>MIN(100,MAX(0,IF(OR(ISNUMBER(SEARCH("nettoyage",C26)),ISNUMBER(SEARCH("proprete",C26)),ISNUMBER(SEARCH("entretien",C26)),ISNUMBER(SEARCH("hygiene",C26))),35,0)+IF(SUM(--(N26="75")+--(O26="75"),--(N26="77")+--(O26="77"),--(N26="78")+--(O26="78"),--(N26="91")+--(O26="91"),--(N26="92")+--(O26="92"),--(N26="93")+--(O26="93"),--(N26="94")+--(O26="94"),--(N26="95")+--(O26="95"))&gt;0,25,4)+IF(S26="",10,IF(S26&lt;=50000,25,IF(S26&lt;=100000,20,IF(S26&lt;=200000,5,IF(S26&lt;=500000,-10,-20)))))+IF(I26&lt;&gt;"",4,0)+IF(J26&lt;&gt;"",4,0)+IF(E26&lt;&gt;"",3,0)+IF(K26&lt;&gt;"",2,0)+IF(M26&lt;&gt;"",1,0)+IF(AD26&lt;&gt;"",1,0)+IF(R26="",0,IF(R26&lt;TODAY(),-30,IF(R26&lt;TODAY()+5,-15,IF(R26&lt;=TODAY()+15,5,10))))))</f>
        <v/>
      </c>
      <c r="AN26">
        <f>IF(AM26&gt;=65,"CHAUD",IF(AM26&gt;=40,"TIEDE","FROID"))</f>
        <v/>
      </c>
      <c r="AO26">
        <f>IF((IF(I26&lt;&gt;"",1,0)+IF(J26&lt;&gt;"",1,0)+IF(E26&lt;&gt;"",1,0)+IF(K26&lt;&gt;"",1,0))&gt;=4,"Complet",IF((IF(I26&lt;&gt;"",1,0)+IF(J26&lt;&gt;"",1,0)+IF(E26&lt;&gt;"",1,0)+IF(K26&lt;&gt;"",1,0))&gt;=2,"Partiel","Vide"))</f>
        <v/>
      </c>
      <c r="AP26">
        <f>IF(AJ26="DCE_A_TELECHARGER","Telecharger DCE",IF(T26="A_VERIFIER_BUDGET","Verifier budget",IF(AN26="CHAUD","Contacter maintenant",IF(AN26="TIEDE","Surveiller / relancer","Basse priorite"))))</f>
        <v/>
      </c>
      <c r="AQ26" t="inlineStr">
        <is>
          <t>IA_CONTACT_A_COMPLETER</t>
        </is>
      </c>
      <c r="AR26" t="inlineStr">
        <is>
          <t>Completer les champs manquants depuis l'avis source, le site acheteur ou le DCE.</t>
        </is>
      </c>
      <c r="AS26" t="inlineStr">
        <is>
          <t>adresse, ville</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26-54754. Objet: Nettoyage et entretien courant des locaux de la commune de Combs-la-Ville. Acheteur: Mairie de Combs-la-Ville. Lien: https://www.boamp.fr/pages/avis/?q=idweb:26-54754.</t>
        </is>
      </c>
      <c r="AU26" t="inlineStr">
        <is>
          <t>Verifier url_avis et DCE si disponible</t>
        </is>
      </c>
      <c r="AV26" t="inlineStr"/>
      <c r="AW26" t="inlineStr"/>
      <c r="AX26" t="inlineStr"/>
      <c r="AY26" t="inlineStr"/>
      <c r="AZ26" t="inlineStr"/>
      <c r="BA26" t="inlineStr"/>
      <c r="BB26" t="inlineStr">
        <is>
          <t>+35 nettoyage + categorie claire | +5 budget annualise &lt;= 200 000 EUR | +10 secteur cible Mairie | +10 delai confortable 28j</t>
        </is>
      </c>
      <c r="BC26" t="inlineStr">
        <is>
          <t>Mairie de Combs-la-Ville publie un AO potentiellement pertinent pour CHRUTH : Nettoyage et entretien courant des locaux de la commune de Combs-la-Ville. Zone : 77,91,92,93,94,95,75. Budget detecte environ 150 000 EUR. Verifier le lien source avant contact.</t>
        </is>
      </c>
      <c r="BD26" t="inlineStr">
        <is>
          <t>Bonjour,
Je me permets de vous contacter au sujet de votre appel d'offres : Nettoyage et entretien courant des locaux de la commune de Combs-la-Ville.
CHRUTH accompagne les structures publiques et privees sur les besoins de nettoyage, d'entretien des locaux et d'organisation de prestations de service.
Serait-il possible d'echanger rapidement afin de verifier les modalites de reponse et les attentes de Mairie de Combs-la-Ville ?
Cordialement,</t>
        </is>
      </c>
      <c r="BE26" t="inlineStr">
        <is>
          <t>Bonjour, je vous appelle concernant un appel d'offres publie par Mairie de Combs-la-Ville. Je souhaite verifier les informations pratiques : perimetre des prestations, date limite, modalites de visite, contact technique et pieces attendues. Pouvez-vous m'indiquer la bonne personne a contacter ?</t>
        </is>
      </c>
      <c r="BF26" t="inlineStr"/>
      <c r="BG26" t="inlineStr"/>
      <c r="BH26" t="inlineStr"/>
      <c r="BI26" t="inlineStr"/>
      <c r="BJ26" t="inlineStr"/>
      <c r="BK26" t="inlineStr"/>
      <c r="BL26" t="inlineStr"/>
      <c r="BM26" t="inlineStr">
        <is>
          <t>2026-W23</t>
        </is>
      </c>
    </row>
    <row r="27">
      <c r="A27" t="inlineStr">
        <is>
          <t>BOAMP</t>
        </is>
      </c>
      <c r="B27" t="inlineStr">
        <is>
          <t>26-66211</t>
        </is>
      </c>
      <c r="C27" t="inlineStr">
        <is>
          <t>Accord-cadre de prestations de nettoyage des bâtiments du Département de la Seine-Saint-Denis</t>
        </is>
      </c>
      <c r="D27" t="inlineStr">
        <is>
          <t>Département de la Seine-Saint-Denis</t>
        </is>
      </c>
      <c r="E27" t="inlineStr"/>
      <c r="F27" t="inlineStr"/>
      <c r="G27" t="inlineStr"/>
      <c r="H27" t="inlineStr"/>
      <c r="I27" t="inlineStr">
        <is>
          <t>publications-joue@aws-france.com</t>
        </is>
      </c>
      <c r="J27" t="inlineStr">
        <is>
          <t>+33480041260</t>
        </is>
      </c>
      <c r="K27" t="inlineStr"/>
      <c r="L27" t="inlineStr"/>
      <c r="M27" t="inlineStr"/>
      <c r="N27" t="inlineStr">
        <is>
          <t>93</t>
        </is>
      </c>
      <c r="O27" t="inlineStr"/>
      <c r="P27" t="inlineStr">
        <is>
          <t>Ile-de-France</t>
        </is>
      </c>
      <c r="Q27" s="15" t="n">
        <v>46208</v>
      </c>
      <c r="R27" s="15" t="n">
        <v>46237</v>
      </c>
      <c r="S27" t="inlineStr"/>
      <c r="T27" t="inlineStr">
        <is>
          <t>A_VERIFIER_BUDGET</t>
        </is>
      </c>
      <c r="U27" t="inlineStr"/>
      <c r="V27" t="inlineStr">
        <is>
          <t>non</t>
        </is>
      </c>
      <c r="W27" t="inlineStr">
        <is>
          <t>Vitres</t>
        </is>
      </c>
      <c r="X27" t="inlineStr">
        <is>
          <t>Autre</t>
        </is>
      </c>
      <c r="Y27" t="inlineStr">
        <is>
          <t>SERVICES</t>
        </is>
      </c>
      <c r="Z27" t="inlineStr">
        <is>
          <t>Procédure Ouverte</t>
        </is>
      </c>
      <c r="AA27" t="inlineStr">
        <is>
          <t>Avis de marché</t>
        </is>
      </c>
      <c r="AB27" t="inlineStr">
        <is>
          <t>Nettoyage de locaux</t>
        </is>
      </c>
      <c r="AC27" t="inlineStr">
        <is>
          <t>['sociaux', 'environnementaux']</t>
        </is>
      </c>
      <c r="AD27" s="11" t="inlineStr">
        <is>
          <t>https://www.boamp.fr/pages/avis/?q=idweb:26-66211</t>
        </is>
      </c>
      <c r="AE27" t="inlineStr">
        <is>
          <t>https://www.marches-publics.info/mpiaws/index.cfm?fuseaction=dematEnt.login&amp;amp;type=DCE&amp;amp;IDM=1845738</t>
        </is>
      </c>
      <c r="AF27" t="inlineStr">
        <is>
          <t>https://www.marches-publics.info/mpiaws/index.cfm?fuseaction=dematEnt.login&amp;amp;type=DCE&amp;amp;IDM=1845738</t>
        </is>
      </c>
      <c r="AG27" t="inlineStr">
        <is>
          <t>nettoyage, proprete, proprete des locaux</t>
        </is>
      </c>
      <c r="AH27" t="inlineStr">
        <is>
          <t>2</t>
        </is>
      </c>
      <c r="AI27" t="inlineStr">
        <is>
          <t>70</t>
        </is>
      </c>
      <c r="AJ27" t="inlineStr">
        <is>
          <t>INFO_PARTIELLE</t>
        </is>
      </c>
      <c r="AK27" t="inlineStr">
        <is>
          <t>55</t>
        </is>
      </c>
      <c r="AL27" t="inlineStr">
        <is>
          <t>TIEDE</t>
        </is>
      </c>
      <c r="AM27">
        <f>MIN(100,MAX(0,IF(OR(ISNUMBER(SEARCH("nettoyage",C27)),ISNUMBER(SEARCH("proprete",C27)),ISNUMBER(SEARCH("entretien",C27)),ISNUMBER(SEARCH("hygiene",C27))),35,0)+IF(SUM(--(N27="75")+--(O27="75"),--(N27="77")+--(O27="77"),--(N27="78")+--(O27="78"),--(N27="91")+--(O27="91"),--(N27="92")+--(O27="92"),--(N27="93")+--(O27="93"),--(N27="94")+--(O27="94"),--(N27="95")+--(O27="95"))&gt;0,25,4)+IF(S27="",10,IF(S27&lt;=50000,25,IF(S27&lt;=100000,20,IF(S27&lt;=200000,5,IF(S27&lt;=500000,-10,-20)))))+IF(I27&lt;&gt;"",4,0)+IF(J27&lt;&gt;"",4,0)+IF(E27&lt;&gt;"",3,0)+IF(K27&lt;&gt;"",2,0)+IF(M27&lt;&gt;"",1,0)+IF(AD27&lt;&gt;"",1,0)+IF(R27="",0,IF(R27&lt;TODAY(),-30,IF(R27&lt;TODAY()+5,-15,IF(R27&lt;=TODAY()+15,5,10))))))</f>
        <v/>
      </c>
      <c r="AN27">
        <f>IF(AM27&gt;=65,"CHAUD",IF(AM27&gt;=40,"TIEDE","FROID"))</f>
        <v/>
      </c>
      <c r="AO27">
        <f>IF((IF(I27&lt;&gt;"",1,0)+IF(J27&lt;&gt;"",1,0)+IF(E27&lt;&gt;"",1,0)+IF(K27&lt;&gt;"",1,0))&gt;=4,"Complet",IF((IF(I27&lt;&gt;"",1,0)+IF(J27&lt;&gt;"",1,0)+IF(E27&lt;&gt;"",1,0)+IF(K27&lt;&gt;"",1,0))&gt;=2,"Partiel","Vide"))</f>
        <v/>
      </c>
      <c r="AP27">
        <f>IF(AJ27="DCE_A_TELECHARGER","Telecharger DCE",IF(T27="A_VERIFIER_BUDGET","Verifier budget",IF(AN27="CHAUD","Contacter maintenant",IF(AN27="TIEDE","Surveiller / relancer","Basse priorite"))))</f>
        <v/>
      </c>
      <c r="AQ27" t="inlineStr">
        <is>
          <t>IA_BUDGET_A_VERIFIER</t>
        </is>
      </c>
      <c r="AR27" t="inlineStr">
        <is>
          <t>Verifier le budget dans l'avis source ou le DCE avant decision commerciale.</t>
        </is>
      </c>
      <c r="AS27" t="inlineStr">
        <is>
          <t>SIRET, 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26-66211. Objet: Accord-cadre de prestations de nettoyage des bâtiments du Département de la Seine-Saint-Denis. Acheteur: Département de la Seine-Saint-Denis. Lien: https://www.boamp.fr/pages/avis/?q=idweb:26-66211.</t>
        </is>
      </c>
      <c r="AU27" t="inlineStr">
        <is>
          <t>Verifier url_avis et DCE si disponible</t>
        </is>
      </c>
      <c r="AV27" t="inlineStr"/>
      <c r="AW27" t="inlineStr"/>
      <c r="AX27" t="inlineStr"/>
      <c r="AY27" t="inlineStr"/>
      <c r="AZ27" t="inlineStr"/>
      <c r="BA27" t="inlineStr"/>
      <c r="BB27" t="inlineStr">
        <is>
          <t>+35 nettoyage + categorie claire | +10 budget non affiche (a verifier) | +10 delai confortable 28j</t>
        </is>
      </c>
      <c r="BC27" t="inlineStr">
        <is>
          <t>Département de la Seine-Saint-Denis publie un AO potentiellement pertinent pour CHRUTH : Accord-cadre de prestations de nettoyage des bâtiments du Département de la Seine-Saint-Denis. Zone : 93. Budget a verifier. Verifier le lien source avant contact.</t>
        </is>
      </c>
      <c r="BD27" t="inlineStr">
        <is>
          <t>Bonjour,
Je me permets de vous contacter au sujet de votre appel d'offres : Accord-cadre de prestations de nettoyage des bâtiments du Département de la Seine-Saint-Denis.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27"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2026-W27</t>
        </is>
      </c>
    </row>
    <row r="28">
      <c r="A28" t="inlineStr">
        <is>
          <t>BOAMP</t>
        </is>
      </c>
      <c r="B28" t="inlineStr">
        <is>
          <t>26-66164</t>
        </is>
      </c>
      <c r="C28" t="inlineStr">
        <is>
          <t>PRESTATIONS DE NETTOYAGE CAF77</t>
        </is>
      </c>
      <c r="D28" t="inlineStr">
        <is>
          <t>CAF77</t>
        </is>
      </c>
      <c r="E28" t="inlineStr">
        <is>
          <t>17750111100476</t>
        </is>
      </c>
      <c r="F28" t="inlineStr">
        <is>
          <t>177501111</t>
        </is>
      </c>
      <c r="G28" t="inlineStr"/>
      <c r="H28" t="inlineStr"/>
      <c r="I28" t="inlineStr">
        <is>
          <t>achatsmarches@caf77.caf.fr</t>
        </is>
      </c>
      <c r="J28" t="inlineStr">
        <is>
          <t>0670576838</t>
        </is>
      </c>
      <c r="K28" t="inlineStr"/>
      <c r="L28" t="inlineStr"/>
      <c r="M28" t="inlineStr"/>
      <c r="N28" t="inlineStr">
        <is>
          <t>75,77,91,94</t>
        </is>
      </c>
      <c r="O28" t="inlineStr"/>
      <c r="P28" t="inlineStr">
        <is>
          <t>Ile-de-France</t>
        </is>
      </c>
      <c r="Q28" s="15" t="n">
        <v>46208</v>
      </c>
      <c r="R28" s="15" t="n">
        <v>46255</v>
      </c>
      <c r="S28" t="inlineStr"/>
      <c r="T28" t="inlineStr">
        <is>
          <t>A_VERIFIER_BUDGET</t>
        </is>
      </c>
      <c r="U28" t="inlineStr"/>
      <c r="V28" t="inlineStr">
        <is>
          <t>non</t>
        </is>
      </c>
      <c r="W28" t="inlineStr">
        <is>
          <t>Vitres</t>
        </is>
      </c>
      <c r="X28" t="inlineStr">
        <is>
          <t>Autre</t>
        </is>
      </c>
      <c r="Y28" t="inlineStr">
        <is>
          <t>SERVICES</t>
        </is>
      </c>
      <c r="Z28" t="inlineStr">
        <is>
          <t>Procédure Ouverte</t>
        </is>
      </c>
      <c r="AA28" t="inlineStr">
        <is>
          <t>Avis de marché</t>
        </is>
      </c>
      <c r="AB28" t="inlineStr">
        <is>
          <t>Nettoyage de locaux, Vitrerie</t>
        </is>
      </c>
      <c r="AC28" t="inlineStr">
        <is>
          <t>['sociaux', 'environnementaux']</t>
        </is>
      </c>
      <c r="AD28" s="11" t="inlineStr">
        <is>
          <t>https://www.boamp.fr/pages/avis/?q=idweb:26-66164</t>
        </is>
      </c>
      <c r="AE28" t="inlineStr">
        <is>
          <t>https://www.marches-publics.gouv.fr/entreprise</t>
        </is>
      </c>
      <c r="AF28" t="inlineStr">
        <is>
          <t>https://www.marches-publics.gouv.fr/entreprise</t>
        </is>
      </c>
      <c r="AG28" t="inlineStr">
        <is>
          <t>nettoyage, menage</t>
        </is>
      </c>
      <c r="AH28" t="inlineStr">
        <is>
          <t>3</t>
        </is>
      </c>
      <c r="AI28" t="inlineStr">
        <is>
          <t>76</t>
        </is>
      </c>
      <c r="AJ28" t="inlineStr">
        <is>
          <t>INFO_PARTIELLE</t>
        </is>
      </c>
      <c r="AK28" t="inlineStr">
        <is>
          <t>55</t>
        </is>
      </c>
      <c r="AL28" t="inlineStr">
        <is>
          <t>TIEDE</t>
        </is>
      </c>
      <c r="AM28">
        <f>MIN(100,MAX(0,IF(OR(ISNUMBER(SEARCH("nettoyage",C28)),ISNUMBER(SEARCH("proprete",C28)),ISNUMBER(SEARCH("entretien",C28)),ISNUMBER(SEARCH("hygiene",C28))),35,0)+IF(SUM(--(N28="75")+--(O28="75"),--(N28="77")+--(O28="77"),--(N28="78")+--(O28="78"),--(N28="91")+--(O28="91"),--(N28="92")+--(O28="92"),--(N28="93")+--(O28="93"),--(N28="94")+--(O28="94"),--(N28="95")+--(O28="95"))&gt;0,25,4)+IF(S28="",10,IF(S28&lt;=50000,25,IF(S28&lt;=100000,20,IF(S28&lt;=200000,5,IF(S28&lt;=500000,-10,-20)))))+IF(I28&lt;&gt;"",4,0)+IF(J28&lt;&gt;"",4,0)+IF(E28&lt;&gt;"",3,0)+IF(K28&lt;&gt;"",2,0)+IF(M28&lt;&gt;"",1,0)+IF(AD28&lt;&gt;"",1,0)+IF(R28="",0,IF(R28&lt;TODAY(),-30,IF(R28&lt;TODAY()+5,-15,IF(R28&lt;=TODAY()+15,5,10))))))</f>
        <v/>
      </c>
      <c r="AN28">
        <f>IF(AM28&gt;=65,"CHAUD",IF(AM28&gt;=40,"TIEDE","FROID"))</f>
        <v/>
      </c>
      <c r="AO28">
        <f>IF((IF(I28&lt;&gt;"",1,0)+IF(J28&lt;&gt;"",1,0)+IF(E28&lt;&gt;"",1,0)+IF(K28&lt;&gt;"",1,0))&gt;=4,"Complet",IF((IF(I28&lt;&gt;"",1,0)+IF(J28&lt;&gt;"",1,0)+IF(E28&lt;&gt;"",1,0)+IF(K28&lt;&gt;"",1,0))&gt;=2,"Partiel","Vide"))</f>
        <v/>
      </c>
      <c r="AP28">
        <f>IF(AJ28="DCE_A_TELECHARGER","Telecharger DCE",IF(T28="A_VERIFIER_BUDGET","Verifier budget",IF(AN28="CHAUD","Contacter maintenant",IF(AN28="TIEDE","Surveiller / relancer","Basse priorite"))))</f>
        <v/>
      </c>
      <c r="AQ28" t="inlineStr">
        <is>
          <t>IA_BUDGET_A_VERIFIER</t>
        </is>
      </c>
      <c r="AR28" t="inlineStr">
        <is>
          <t>Verifier le budget dans l'avis source ou le DCE avant decision commerciale.</t>
        </is>
      </c>
      <c r="AS28" t="inlineStr">
        <is>
          <t>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26-66164. Objet: PRESTATIONS DE NETTOYAGE CAF77. Acheteur: CAF77. Lien: https://www.boamp.fr/pages/avis/?q=idweb:26-66164.</t>
        </is>
      </c>
      <c r="AU28" t="inlineStr">
        <is>
          <t>Verifier url_avis et DCE si disponible</t>
        </is>
      </c>
      <c r="AV28" t="inlineStr"/>
      <c r="AW28" t="inlineStr"/>
      <c r="AX28" t="inlineStr"/>
      <c r="AY28" t="inlineStr"/>
      <c r="AZ28" t="inlineStr"/>
      <c r="BA28" t="inlineStr"/>
      <c r="BB28" t="inlineStr">
        <is>
          <t>+35 nettoyage + categorie claire | +10 budget non affiche (a verifier) | +10 delai confortable 46j</t>
        </is>
      </c>
      <c r="BC28" t="inlineStr">
        <is>
          <t>CAF77 publie un AO potentiellement pertinent pour CHRUTH : PRESTATIONS DE NETTOYAGE CAF77. Zone : 75,77,91,94. Budget a verifier. Verifier le lien source avant contact.</t>
        </is>
      </c>
      <c r="BD28" t="inlineStr">
        <is>
          <t>Bonjour,
Je me permets de vous contacter au sujet de votre appel d'offres : PRESTATIONS DE NETTOYAGE CAF77.
CHRUTH accompagne les structures publiques et privées sur les besoins de nettoyage, d'entretien des locaux et d'organisation de prestations de service.
Serait-il possible d'échanger rapidement afin de vérifier les modalités de réponse et les attentes de CAF77 ?
Cordialement,</t>
        </is>
      </c>
      <c r="BE28" t="inlineStr">
        <is>
          <t>Bonjour, je vous appelle concernant un appel d'offres publié par CAF77.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2026-W27</t>
        </is>
      </c>
    </row>
    <row r="29">
      <c r="A29" t="inlineStr">
        <is>
          <t>BOAMP</t>
        </is>
      </c>
      <c r="B29" t="inlineStr">
        <is>
          <t>26-66494</t>
        </is>
      </c>
      <c r="C29" t="inlineStr">
        <is>
          <t>ENTRETIEN DES LOCAUX POUR LES BESOINS DE L’EPMS DE LA FONDATION HARDY</t>
        </is>
      </c>
      <c r="D29" t="inlineStr">
        <is>
          <t>EPMS FONDATION HARDY</t>
        </is>
      </c>
      <c r="E29" t="inlineStr">
        <is>
          <t>26770033400019</t>
        </is>
      </c>
      <c r="F29" t="inlineStr">
        <is>
          <t>267700334</t>
        </is>
      </c>
      <c r="G29" t="inlineStr"/>
      <c r="H29" t="inlineStr"/>
      <c r="I29" t="inlineStr">
        <is>
          <t>service.depenses@epms-hardy.fr</t>
        </is>
      </c>
      <c r="J29" t="inlineStr">
        <is>
          <t>+33 164252034</t>
        </is>
      </c>
      <c r="K29" t="inlineStr"/>
      <c r="L29" t="inlineStr"/>
      <c r="M29" t="inlineStr"/>
      <c r="N29" t="inlineStr">
        <is>
          <t>77</t>
        </is>
      </c>
      <c r="O29" t="inlineStr"/>
      <c r="P29" t="inlineStr">
        <is>
          <t>Ile-de-France</t>
        </is>
      </c>
      <c r="Q29" s="15" t="n">
        <v>46208</v>
      </c>
      <c r="R29" s="15" t="n">
        <v>46241</v>
      </c>
      <c r="S29" t="inlineStr"/>
      <c r="T29" t="inlineStr">
        <is>
          <t>A_VERIFIER_BUDGET</t>
        </is>
      </c>
      <c r="U29" t="inlineStr"/>
      <c r="V29" t="inlineStr">
        <is>
          <t>non</t>
        </is>
      </c>
      <c r="W29" t="inlineStr">
        <is>
          <t>Batiments</t>
        </is>
      </c>
      <c r="X29" t="inlineStr">
        <is>
          <t>Autre</t>
        </is>
      </c>
      <c r="Y29" t="inlineStr">
        <is>
          <t>SERVICES</t>
        </is>
      </c>
      <c r="Z29" t="inlineStr">
        <is>
          <t>Procédure Ouverte</t>
        </is>
      </c>
      <c r="AA29" t="inlineStr">
        <is>
          <t>Avis de marché</t>
        </is>
      </c>
      <c r="AB29" t="inlineStr">
        <is>
          <t>Nettoyage de locaux</t>
        </is>
      </c>
      <c r="AC29" t="inlineStr"/>
      <c r="AD29" s="11" t="inlineStr">
        <is>
          <t>https://www.boamp.fr/pages/avis/?q=idweb:26-66494</t>
        </is>
      </c>
      <c r="AE29" t="inlineStr">
        <is>
          <t>https://marches.maximilien.fr/entreprise/consultation/942574?orgAcronyme=a1i</t>
        </is>
      </c>
      <c r="AF29" t="inlineStr">
        <is>
          <t>https://marches.maximilien.fr/entreprise/consultation/942574?orgAcronyme=a1i</t>
        </is>
      </c>
      <c r="AG29" t="inlineStr">
        <is>
          <t>nettoyage, entretien des locaux</t>
        </is>
      </c>
      <c r="AH29" t="inlineStr">
        <is>
          <t>3</t>
        </is>
      </c>
      <c r="AI29" t="inlineStr">
        <is>
          <t>76</t>
        </is>
      </c>
      <c r="AJ29" t="inlineStr">
        <is>
          <t>INFO_PARTIELLE</t>
        </is>
      </c>
      <c r="AK29" t="inlineStr">
        <is>
          <t>55</t>
        </is>
      </c>
      <c r="AL29" t="inlineStr">
        <is>
          <t>TIEDE</t>
        </is>
      </c>
      <c r="AM29">
        <f>MIN(100,MAX(0,IF(OR(ISNUMBER(SEARCH("nettoyage",C29)),ISNUMBER(SEARCH("proprete",C29)),ISNUMBER(SEARCH("entretien",C29)),ISNUMBER(SEARCH("hygiene",C29))),35,0)+IF(SUM(--(N29="75")+--(O29="75"),--(N29="77")+--(O29="77"),--(N29="78")+--(O29="78"),--(N29="91")+--(O29="91"),--(N29="92")+--(O29="92"),--(N29="93")+--(O29="93"),--(N29="94")+--(O29="94"),--(N29="95")+--(O29="95"))&gt;0,25,4)+IF(S29="",10,IF(S29&lt;=50000,25,IF(S29&lt;=100000,20,IF(S29&lt;=200000,5,IF(S29&lt;=500000,-10,-20)))))+IF(I29&lt;&gt;"",4,0)+IF(J29&lt;&gt;"",4,0)+IF(E29&lt;&gt;"",3,0)+IF(K29&lt;&gt;"",2,0)+IF(M29&lt;&gt;"",1,0)+IF(AD29&lt;&gt;"",1,0)+IF(R29="",0,IF(R29&lt;TODAY(),-30,IF(R29&lt;TODAY()+5,-15,IF(R29&lt;=TODAY()+15,5,10))))))</f>
        <v/>
      </c>
      <c r="AN29">
        <f>IF(AM29&gt;=65,"CHAUD",IF(AM29&gt;=40,"TIEDE","FROID"))</f>
        <v/>
      </c>
      <c r="AO29">
        <f>IF((IF(I29&lt;&gt;"",1,0)+IF(J29&lt;&gt;"",1,0)+IF(E29&lt;&gt;"",1,0)+IF(K29&lt;&gt;"",1,0))&gt;=4,"Complet",IF((IF(I29&lt;&gt;"",1,0)+IF(J29&lt;&gt;"",1,0)+IF(E29&lt;&gt;"",1,0)+IF(K29&lt;&gt;"",1,0))&gt;=2,"Partiel","Vide"))</f>
        <v/>
      </c>
      <c r="AP29">
        <f>IF(AJ29="DCE_A_TELECHARGER","Telecharger DCE",IF(T29="A_VERIFIER_BUDGET","Verifier budget",IF(AN29="CHAUD","Contacter maintenant",IF(AN29="TIEDE","Surveiller / relancer","Basse priorite"))))</f>
        <v/>
      </c>
      <c r="AQ29" t="inlineStr">
        <is>
          <t>IA_BUDGET_A_VERIFIER</t>
        </is>
      </c>
      <c r="AR29" t="inlineStr">
        <is>
          <t>Verifier le budget dans l'avis source ou le DCE avant decision commerciale.</t>
        </is>
      </c>
      <c r="AS29" t="inlineStr">
        <is>
          <t>adresse, ville, budget</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26-66494. Objet: ENTRETIEN DES LOCAUX POUR LES BESOINS DE L’EPMS DE LA FONDATION HARDY. Acheteur: EPMS FONDATION HARDY. Lien: https://www.boamp.fr/pages/avis/?q=idweb:26-66494.</t>
        </is>
      </c>
      <c r="AU29" t="inlineStr">
        <is>
          <t>Verifier url_avis et DCE si disponible</t>
        </is>
      </c>
      <c r="AV29" t="inlineStr"/>
      <c r="AW29" t="inlineStr"/>
      <c r="AX29" t="inlineStr"/>
      <c r="AY29" t="inlineStr"/>
      <c r="AZ29" t="inlineStr"/>
      <c r="BA29" t="inlineStr"/>
      <c r="BB29" t="inlineStr">
        <is>
          <t>+35 nettoyage + categorie claire | +10 budget non affiche (a verifier) | +10 delai confortable 32j</t>
        </is>
      </c>
      <c r="BC29" t="inlineStr">
        <is>
          <t>EPMS FONDATION HARDY publie un AO potentiellement pertinent pour CHRUTH : ENTRETIEN DES LOCAUX POUR LES BESOINS DE L’EPMS DE LA FONDATION HARDY. Zone : 77. Budget a verifier. Verifier le lien source avant contact.</t>
        </is>
      </c>
      <c r="BD29" t="inlineStr">
        <is>
          <t>Bonjour,
Je me permets de vous contacter au sujet de votre appel d'offres : ENTRETIEN DES LOCAUX POUR LES BESOINS DE L’EPMS DE LA FONDATION HARDY.
CHRUTH accompagne les structures publiques et privées sur les besoins de nettoyage, d'entretien des locaux et d'organisation de prestations de service.
Serait-il possible d'échanger rapidement afin de vérifier les modalités de réponse et les attentes de EPMS FONDATION HARDY ?
Cordialement,</t>
        </is>
      </c>
      <c r="BE29" t="inlineStr">
        <is>
          <t>Bonjour, je vous appelle concernant un appel d'offres publié par EPMS FONDATION HARDY.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2026-W27</t>
        </is>
      </c>
    </row>
    <row r="30">
      <c r="A30" t="inlineStr">
        <is>
          <t>MAXIMILIEN</t>
        </is>
      </c>
      <c r="B30" t="inlineStr">
        <is>
          <t>MX-7858fdfde0f2</t>
        </is>
      </c>
      <c r="C30" t="inlineStr">
        <is>
          <t>CHRUTH - 3 nouveaux AO nettoyage IDF =?utf-8?q?=28apr=C3=A8s-midi?=
 03/07)</t>
        </is>
      </c>
      <c r="D30" t="inlineStr">
        <is>
          <t>Ville De Paris - Dfa - Sda</t>
        </is>
      </c>
      <c r="E30" t="inlineStr"/>
      <c r="F30" t="inlineStr"/>
      <c r="G30" t="inlineStr"/>
      <c r="H30" t="inlineStr"/>
      <c r="I30" t="inlineStr"/>
      <c r="J30" t="inlineStr"/>
      <c r="K30" t="inlineStr"/>
      <c r="L30" t="inlineStr"/>
      <c r="M30" t="inlineStr"/>
      <c r="N30" t="inlineStr"/>
      <c r="O30" t="inlineStr"/>
      <c r="P30" t="inlineStr"/>
      <c r="Q30" s="15" t="n">
        <v>46207</v>
      </c>
      <c r="R30" t="inlineStr"/>
      <c r="S30" t="inlineStr"/>
      <c r="T30" t="inlineStr">
        <is>
          <t>A_VERIFIER_BUDGET</t>
        </is>
      </c>
      <c r="U30" t="inlineStr"/>
      <c r="V30" t="inlineStr"/>
      <c r="W30" t="inlineStr">
        <is>
          <t>Batiments/Locaux</t>
        </is>
      </c>
      <c r="X30" t="inlineStr">
        <is>
          <t>Mairie</t>
        </is>
      </c>
      <c r="Y30" t="inlineStr"/>
      <c r="Z30" t="inlineStr"/>
      <c r="AA30" t="inlineStr"/>
      <c r="AB30" t="inlineStr"/>
      <c r="AC30" t="inlineStr"/>
      <c r="AD30" s="11" t="inlineStr">
        <is>
          <t>https://marches.maximilien.fr/entreprise/consultation/939575?orgAcronyme=r8t</t>
        </is>
      </c>
      <c r="AE30" t="inlineStr">
        <is>
          <t>https://marches.maximilien.fr/entreprise/consultation/939575?orgAcronyme=r8t</t>
        </is>
      </c>
      <c r="AF30" t="inlineStr"/>
      <c r="AG30" t="inlineStr">
        <is>
          <t>nettoyage</t>
        </is>
      </c>
      <c r="AH30" t="inlineStr"/>
      <c r="AI30" t="inlineStr">
        <is>
          <t>30</t>
        </is>
      </c>
      <c r="AJ30" t="inlineStr">
        <is>
          <t>DCE_A_TELECHARGER</t>
        </is>
      </c>
      <c r="AK30" t="inlineStr">
        <is>
          <t>55</t>
        </is>
      </c>
      <c r="AL30" s="16" t="inlineStr">
        <is>
          <t>A_VERIFIER</t>
        </is>
      </c>
      <c r="AM30">
        <f>MIN(100,MAX(0,IF(OR(ISNUMBER(SEARCH("nettoyage",C30)),ISNUMBER(SEARCH("proprete",C30)),ISNUMBER(SEARCH("entretien",C30)),ISNUMBER(SEARCH("hygiene",C30))),35,0)+IF(SUM(--(N30="75")+--(O30="75"),--(N30="77")+--(O30="77"),--(N30="78")+--(O30="78"),--(N30="91")+--(O30="91"),--(N30="92")+--(O30="92"),--(N30="93")+--(O30="93"),--(N30="94")+--(O30="94"),--(N30="95")+--(O30="95"))&gt;0,25,4)+IF(S30="",10,IF(S30&lt;=50000,25,IF(S30&lt;=100000,20,IF(S30&lt;=200000,5,IF(S30&lt;=500000,-10,-20)))))+IF(I30&lt;&gt;"",4,0)+IF(J30&lt;&gt;"",4,0)+IF(E30&lt;&gt;"",3,0)+IF(K30&lt;&gt;"",2,0)+IF(M30&lt;&gt;"",1,0)+IF(AD30&lt;&gt;"",1,0)+IF(R30="",0,IF(R30&lt;TODAY(),-30,IF(R30&lt;TODAY()+5,-15,IF(R30&lt;=TODAY()+15,5,10))))))</f>
        <v/>
      </c>
      <c r="AN30">
        <f>IF(AM30&gt;=65,"CHAUD",IF(AM30&gt;=40,"TIEDE","FROID"))</f>
        <v/>
      </c>
      <c r="AO30">
        <f>IF((IF(I30&lt;&gt;"",1,0)+IF(J30&lt;&gt;"",1,0)+IF(E30&lt;&gt;"",1,0)+IF(K30&lt;&gt;"",1,0))&gt;=4,"Complet",IF((IF(I30&lt;&gt;"",1,0)+IF(J30&lt;&gt;"",1,0)+IF(E30&lt;&gt;"",1,0)+IF(K30&lt;&gt;"",1,0))&gt;=2,"Partiel","Vide"))</f>
        <v/>
      </c>
      <c r="AP30">
        <f>IF(AJ30="DCE_A_TELECHARGER","Telecharger DCE",IF(T30="A_VERIFIER_BUDGET","Verifier budget",IF(AN30="CHAUD","Contacter maintenant",IF(AN30="TIEDE","Surveiller / relancer","Basse priorite"))))</f>
        <v/>
      </c>
      <c r="AQ30" t="inlineStr">
        <is>
          <t>IA_DCE_REQUISE</t>
        </is>
      </c>
      <c r="AR30" t="inlineStr">
        <is>
          <t>Telecharger ou ouvrir le DCE, puis extraire contact, budget, perimetre et contraintes.</t>
        </is>
      </c>
      <c r="AS30" t="inlineStr">
        <is>
          <t>SIRET, email, telephone,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MX-7858fdfde0f2. Objet: CHRUTH - 3 nouveaux AO nettoyage IDF =?utf-8?q?=28apr=C3=A8s-midi?=
 03/07). Acheteur: Ville De Paris - Dfa - Sda. Lien: https://marches.maximilien.fr/entreprise/consultation/939575?orgAcronyme=r8t.</t>
        </is>
      </c>
      <c r="AU30" t="inlineStr">
        <is>
          <t>Verifier url_avis et DCE si disponible</t>
        </is>
      </c>
      <c r="AV30" t="inlineStr">
        <is>
          <t>LIEN_SEUL</t>
        </is>
      </c>
      <c r="AW30" t="inlineStr"/>
      <c r="AX30" t="inlineStr"/>
      <c r="AY30" t="inlineStr"/>
      <c r="AZ30" t="inlineStr"/>
      <c r="BA30" t="inlineStr"/>
      <c r="BB30" t="inlineStr">
        <is>
          <t>+35 nettoyage + categorie claire | +10 budget non affiche (a verifier) | +10 secteur cible Mairie | 0 date limite absente</t>
        </is>
      </c>
      <c r="BC30" t="inlineStr"/>
      <c r="BD30" t="inlineStr"/>
      <c r="BE30" t="inlineStr"/>
      <c r="BF30" t="inlineStr"/>
      <c r="BG30" t="inlineStr"/>
      <c r="BH30" t="inlineStr"/>
      <c r="BI30" t="inlineStr"/>
      <c r="BJ30" t="inlineStr"/>
      <c r="BK30" t="inlineStr"/>
      <c r="BL30" t="inlineStr"/>
      <c r="BM30" t="inlineStr">
        <is>
          <t>2026-W27</t>
        </is>
      </c>
    </row>
    <row r="31">
      <c r="A31" t="inlineStr">
        <is>
          <t>BOAMP</t>
        </is>
      </c>
      <c r="B31" t="inlineStr">
        <is>
          <t>26-64372</t>
        </is>
      </c>
      <c r="C31" t="inlineStr">
        <is>
          <t>Marché public de prestations de services relatif au nettoyage des locaux administratifs du SIAH.</t>
        </is>
      </c>
      <c r="D31" t="inlineStr">
        <is>
          <t>SIAH (Syndicat Mixte d’Aménagement Hydraulique du Croult et du Petit Rosne)</t>
        </is>
      </c>
      <c r="E31" t="inlineStr">
        <is>
          <t>20004931000010</t>
        </is>
      </c>
      <c r="F31" t="inlineStr">
        <is>
          <t>200049310</t>
        </is>
      </c>
      <c r="G31" t="inlineStr"/>
      <c r="H31" t="inlineStr"/>
      <c r="I31" t="inlineStr">
        <is>
          <t>dce@siah-croult.org</t>
        </is>
      </c>
      <c r="J31" t="inlineStr">
        <is>
          <t>0493100001</t>
        </is>
      </c>
      <c r="K31" t="inlineStr"/>
      <c r="L31" t="inlineStr"/>
      <c r="M31" t="inlineStr"/>
      <c r="N31" t="inlineStr">
        <is>
          <t>95</t>
        </is>
      </c>
      <c r="O31" t="inlineStr"/>
      <c r="P31" t="inlineStr">
        <is>
          <t>Ile-de-France</t>
        </is>
      </c>
      <c r="Q31" s="15" t="n">
        <v>46204</v>
      </c>
      <c r="R31" s="15" t="n">
        <v>46234</v>
      </c>
      <c r="S31" t="inlineStr"/>
      <c r="T31" t="inlineStr">
        <is>
          <t>A_VERIFIER_BUDGET</t>
        </is>
      </c>
      <c r="U31" t="inlineStr"/>
      <c r="V31" t="inlineStr">
        <is>
          <t>non</t>
        </is>
      </c>
      <c r="W31" t="inlineStr">
        <is>
          <t>Batiments</t>
        </is>
      </c>
      <c r="X31" t="inlineStr">
        <is>
          <t>Autre</t>
        </is>
      </c>
      <c r="Y31" t="inlineStr">
        <is>
          <t>SERVICES</t>
        </is>
      </c>
      <c r="Z31" t="inlineStr">
        <is>
          <t>Procédure Ouverte</t>
        </is>
      </c>
      <c r="AA31" t="inlineStr">
        <is>
          <t>Avis de marché</t>
        </is>
      </c>
      <c r="AB31" t="inlineStr">
        <is>
          <t>Nettoyage de locaux</t>
        </is>
      </c>
      <c r="AC31" t="inlineStr"/>
      <c r="AD31" s="11" t="inlineStr">
        <is>
          <t>https://www.boamp.fr/pages/avis/?q=idweb:26-64372</t>
        </is>
      </c>
      <c r="AE31" t="inlineStr">
        <is>
          <t>https://www.achatpublic.com/sdm/ent/gen/ent_detail.do?PCSLID=CSL_2026_Pbs6BRZ3AV</t>
        </is>
      </c>
      <c r="AF31" t="inlineStr">
        <is>
          <t>https://www.achatpublic.com/sdm/ent/gen/ent_detail.do?PCSLID=CSL_2026_Pbs6BRZ3AV</t>
        </is>
      </c>
      <c r="AG31" t="inlineStr">
        <is>
          <t>nettoyage</t>
        </is>
      </c>
      <c r="AH31" t="inlineStr">
        <is>
          <t>3</t>
        </is>
      </c>
      <c r="AI31" t="inlineStr">
        <is>
          <t>68</t>
        </is>
      </c>
      <c r="AJ31" t="inlineStr">
        <is>
          <t>INFO_PARTIELLE</t>
        </is>
      </c>
      <c r="AK31" t="inlineStr">
        <is>
          <t>55</t>
        </is>
      </c>
      <c r="AL31" t="inlineStr">
        <is>
          <t>TIEDE</t>
        </is>
      </c>
      <c r="AM31">
        <f>MIN(100,MAX(0,IF(OR(ISNUMBER(SEARCH("nettoyage",C31)),ISNUMBER(SEARCH("proprete",C31)),ISNUMBER(SEARCH("entretien",C31)),ISNUMBER(SEARCH("hygiene",C31))),35,0)+IF(SUM(--(N31="75")+--(O31="75"),--(N31="77")+--(O31="77"),--(N31="78")+--(O31="78"),--(N31="91")+--(O31="91"),--(N31="92")+--(O31="92"),--(N31="93")+--(O31="93"),--(N31="94")+--(O31="94"),--(N31="95")+--(O31="95"))&gt;0,25,4)+IF(S31="",10,IF(S31&lt;=50000,25,IF(S31&lt;=100000,20,IF(S31&lt;=200000,5,IF(S31&lt;=500000,-10,-20)))))+IF(I31&lt;&gt;"",4,0)+IF(J31&lt;&gt;"",4,0)+IF(E31&lt;&gt;"",3,0)+IF(K31&lt;&gt;"",2,0)+IF(M31&lt;&gt;"",1,0)+IF(AD31&lt;&gt;"",1,0)+IF(R31="",0,IF(R31&lt;TODAY(),-30,IF(R31&lt;TODAY()+5,-15,IF(R31&lt;=TODAY()+15,5,10))))))</f>
        <v/>
      </c>
      <c r="AN31">
        <f>IF(AM31&gt;=65,"CHAUD",IF(AM31&gt;=40,"TIEDE","FROID"))</f>
        <v/>
      </c>
      <c r="AO31">
        <f>IF((IF(I31&lt;&gt;"",1,0)+IF(J31&lt;&gt;"",1,0)+IF(E31&lt;&gt;"",1,0)+IF(K31&lt;&gt;"",1,0))&gt;=4,"Complet",IF((IF(I31&lt;&gt;"",1,0)+IF(J31&lt;&gt;"",1,0)+IF(E31&lt;&gt;"",1,0)+IF(K31&lt;&gt;"",1,0))&gt;=2,"Partiel","Vide"))</f>
        <v/>
      </c>
      <c r="AP31">
        <f>IF(AJ31="DCE_A_TELECHARGER","Telecharger DCE",IF(T31="A_VERIFIER_BUDGET","Verifier budget",IF(AN31="CHAUD","Contacter maintenant",IF(AN31="TIEDE","Surveiller / relancer","Basse priorite"))))</f>
        <v/>
      </c>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26-64372. Objet: Marché public de prestations de services relatif au nettoyage des locaux administratifs du SIAH.. Acheteur: SIAH (Syndicat Mixte d’Aménagement Hydraulique du Croult et du Petit Rosne). Lien: https://www.boamp.fr/pages/avis/?q=idweb:26-64372.</t>
        </is>
      </c>
      <c r="AU31" t="inlineStr">
        <is>
          <t>Verifier url_avis et DCE si disponible</t>
        </is>
      </c>
      <c r="AV31" t="inlineStr"/>
      <c r="AW31" t="inlineStr"/>
      <c r="AX31" t="inlineStr"/>
      <c r="AY31" t="inlineStr"/>
      <c r="AZ31" t="inlineStr"/>
      <c r="BA31" t="inlineStr"/>
      <c r="BB31" t="inlineStr">
        <is>
          <t>+35 nettoyage + categorie claire | +10 budget non affiche (a verifier) | +10 delai confortable 25j</t>
        </is>
      </c>
      <c r="BC31" t="inlineStr">
        <is>
          <t>SIAH (Syndicat Mixte d’Aménagement Hydraulique du Croult et du Petit Rosne) publie un AO potentiellement pertinent pour CHRUTH : Marché public de prestations de services relatif au nettoyage des locaux administratifs du SIAH.. Zone : 95. Budget a verifier. Verifier le lien source avant contact.</t>
        </is>
      </c>
      <c r="BD31" t="inlineStr">
        <is>
          <t>Bonjour,
Je me permets de vous contacter au sujet de votre appel d'offres : Marché public de prestations de services relatif au nettoyage des locaux administratifs du SIAH..
CHRUTH accompagne les structures publiques et privées sur les besoins de nettoyage, d'entretien des locaux et d'organisation de prestations de service.
Serait-il possible d'échanger rapidement afin de vérifier les modalités de réponse et les attentes de SIAH (Syndicat Mixte d’Aménagement Hydraulique du Croult et du Petit Rosne) ?
Cordialement,</t>
        </is>
      </c>
      <c r="BE31" t="inlineStr">
        <is>
          <t>Bonjour, je vous appelle concernant un appel d'offres publié par SIAH (Syndicat Mixte d’Aménagement Hydraulique du Croult et du Petit Rosne).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2026-W27</t>
        </is>
      </c>
    </row>
    <row r="32">
      <c r="A32" t="inlineStr">
        <is>
          <t>BOAMP</t>
        </is>
      </c>
      <c r="B32" t="inlineStr">
        <is>
          <t>26-63717</t>
        </is>
      </c>
      <c r="C32" t="inlineStr">
        <is>
          <t>Nettoyage des locaux et des vitres des sites de la délégation Nouvelle Aquitaine du CNFPT</t>
        </is>
      </c>
      <c r="D32" t="inlineStr">
        <is>
          <t>CNFPT - Direction de l'achat public</t>
        </is>
      </c>
      <c r="E32" t="inlineStr"/>
      <c r="F32" t="inlineStr"/>
      <c r="G32" t="inlineStr"/>
      <c r="H32" t="inlineStr"/>
      <c r="I32" t="inlineStr">
        <is>
          <t>publications-joue@aws-france.com</t>
        </is>
      </c>
      <c r="J32" t="inlineStr">
        <is>
          <t>+33480041260</t>
        </is>
      </c>
      <c r="K32" t="inlineStr"/>
      <c r="L32" t="inlineStr"/>
      <c r="M32" t="inlineStr"/>
      <c r="N32" t="inlineStr">
        <is>
          <t>75</t>
        </is>
      </c>
      <c r="O32" t="inlineStr"/>
      <c r="P32" t="inlineStr">
        <is>
          <t>Ile-de-France</t>
        </is>
      </c>
      <c r="Q32" s="15" t="n">
        <v>46201</v>
      </c>
      <c r="R32" s="15" t="n">
        <v>46276</v>
      </c>
      <c r="S32" t="inlineStr"/>
      <c r="T32" t="inlineStr">
        <is>
          <t>A_VERIFIER_BUDGET</t>
        </is>
      </c>
      <c r="U32" t="inlineStr"/>
      <c r="V32" t="inlineStr">
        <is>
          <t>non</t>
        </is>
      </c>
      <c r="W32" t="inlineStr">
        <is>
          <t>Vitres</t>
        </is>
      </c>
      <c r="X32" t="inlineStr">
        <is>
          <t>Autre</t>
        </is>
      </c>
      <c r="Y32" t="inlineStr">
        <is>
          <t>SERVICES</t>
        </is>
      </c>
      <c r="Z32" t="inlineStr">
        <is>
          <t>Procédure Ouverte</t>
        </is>
      </c>
      <c r="AA32" t="inlineStr">
        <is>
          <t>Avis de marché</t>
        </is>
      </c>
      <c r="AB32" t="inlineStr">
        <is>
          <t>Nettoyage de locaux</t>
        </is>
      </c>
      <c r="AC32" t="inlineStr">
        <is>
          <t>['sociaux', 'environnementaux']</t>
        </is>
      </c>
      <c r="AD32" s="11" t="inlineStr">
        <is>
          <t>https://www.boamp.fr/pages/avis/?q=idweb:26-63717</t>
        </is>
      </c>
      <c r="AE32" t="inlineStr">
        <is>
          <t>https://cnfpt.marches-publics.info/</t>
        </is>
      </c>
      <c r="AF32" t="inlineStr">
        <is>
          <t>https://cnfpt.marches-publics.info/</t>
        </is>
      </c>
      <c r="AG32" t="inlineStr">
        <is>
          <t>nettoyage</t>
        </is>
      </c>
      <c r="AH32" t="inlineStr">
        <is>
          <t>2</t>
        </is>
      </c>
      <c r="AI32" t="inlineStr">
        <is>
          <t>58</t>
        </is>
      </c>
      <c r="AJ32" t="inlineStr">
        <is>
          <t>INFO_PARTIELLE</t>
        </is>
      </c>
      <c r="AK32" t="inlineStr">
        <is>
          <t>55</t>
        </is>
      </c>
      <c r="AL32" t="inlineStr">
        <is>
          <t>TIEDE</t>
        </is>
      </c>
      <c r="AM32">
        <f>MIN(100,MAX(0,IF(OR(ISNUMBER(SEARCH("nettoyage",C32)),ISNUMBER(SEARCH("proprete",C32)),ISNUMBER(SEARCH("entretien",C32)),ISNUMBER(SEARCH("hygiene",C32))),35,0)+IF(SUM(--(N32="75")+--(O32="75"),--(N32="77")+--(O32="77"),--(N32="78")+--(O32="78"),--(N32="91")+--(O32="91"),--(N32="92")+--(O32="92"),--(N32="93")+--(O32="93"),--(N32="94")+--(O32="94"),--(N32="95")+--(O32="95"))&gt;0,25,4)+IF(S32="",10,IF(S32&lt;=50000,25,IF(S32&lt;=100000,20,IF(S32&lt;=200000,5,IF(S32&lt;=500000,-10,-20)))))+IF(I32&lt;&gt;"",4,0)+IF(J32&lt;&gt;"",4,0)+IF(E32&lt;&gt;"",3,0)+IF(K32&lt;&gt;"",2,0)+IF(M32&lt;&gt;"",1,0)+IF(AD32&lt;&gt;"",1,0)+IF(R32="",0,IF(R32&lt;TODAY(),-30,IF(R32&lt;TODAY()+5,-15,IF(R32&lt;=TODAY()+15,5,10))))))</f>
        <v/>
      </c>
      <c r="AN32">
        <f>IF(AM32&gt;=65,"CHAUD",IF(AM32&gt;=40,"TIEDE","FROID"))</f>
        <v/>
      </c>
      <c r="AO32">
        <f>IF((IF(I32&lt;&gt;"",1,0)+IF(J32&lt;&gt;"",1,0)+IF(E32&lt;&gt;"",1,0)+IF(K32&lt;&gt;"",1,0))&gt;=4,"Complet",IF((IF(I32&lt;&gt;"",1,0)+IF(J32&lt;&gt;"",1,0)+IF(E32&lt;&gt;"",1,0)+IF(K32&lt;&gt;"",1,0))&gt;=2,"Partiel","Vide"))</f>
        <v/>
      </c>
      <c r="AP32">
        <f>IF(AJ32="DCE_A_TELECHARGER","Telecharger DCE",IF(T32="A_VERIFIER_BUDGET","Verifier budget",IF(AN32="CHAUD","Contacter maintenant",IF(AN32="TIEDE","Surveiller / relancer","Basse priorite"))))</f>
        <v/>
      </c>
      <c r="AQ32" t="inlineStr">
        <is>
          <t>IA_BUDGET_A_VERIFIER</t>
        </is>
      </c>
      <c r="AR32" t="inlineStr">
        <is>
          <t>Verifier le budget dans l'avis source ou le DCE avant decision commerciale.</t>
        </is>
      </c>
      <c r="AS32" t="inlineStr">
        <is>
          <t>SIRET, 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26-63717. Objet: Nettoyage des locaux et des vitres des sites de la délégation Nouvelle Aquitaine du CNFPT. Acheteur: CNFPT - Direction de l'achat public. Lien: https://www.boamp.fr/pages/avis/?q=idweb:26-63717.</t>
        </is>
      </c>
      <c r="AU32" t="inlineStr">
        <is>
          <t>Verifier url_avis et DCE si disponible</t>
        </is>
      </c>
      <c r="AV32" t="inlineStr"/>
      <c r="AW32" t="inlineStr"/>
      <c r="AX32" t="inlineStr"/>
      <c r="AY32" t="inlineStr"/>
      <c r="AZ32" t="inlineStr"/>
      <c r="BA32" t="inlineStr"/>
      <c r="BB32" t="inlineStr">
        <is>
          <t>+35 nettoyage + categorie claire | +10 budget non affiche (a verifier) | +10 delai confortable 67j</t>
        </is>
      </c>
      <c r="BC32" t="inlineStr">
        <is>
          <t>CNFPT - Direction de l'achat public publie un AO potentiellement pertinent pour CHRUTH : Nettoyage des locaux et des vitres des sites de la délégation Nouvelle Aquitaine du CNFPT. Zone : 75. Budget a verifier. Verifier le lien source avant contact.</t>
        </is>
      </c>
      <c r="BD32" t="inlineStr">
        <is>
          <t>Bonjour,
Je me permets de vous contacter au sujet de votre appel d'offres : Nettoyage des locaux et des vitres des sites de la délégation Nouvelle Aquitaine du CNFPT.
CHRUTH accompagne les structures publiques et privées sur les besoins de nettoyage, d'entretien des locaux et d'organisation de prestations de service.
Serait-il possible d'échanger rapidement afin de vérifier les modalités de réponse et les attentes de CNFPT - Direction de l'achat public ?
Cordialement,</t>
        </is>
      </c>
      <c r="BE32" t="inlineStr">
        <is>
          <t>Bonjour, je vous appelle concernant un appel d'offres publié par CNFPT - Direction de l'achat public.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2026-W26</t>
        </is>
      </c>
    </row>
    <row r="33">
      <c r="A33" t="inlineStr">
        <is>
          <t>BOAMP</t>
        </is>
      </c>
      <c r="B33" t="inlineStr">
        <is>
          <t>26-59151</t>
        </is>
      </c>
      <c r="C33" t="inlineStr">
        <is>
          <t>Prestations de nettoyage des surfaces vitrées, vitrines, baies vitrées, verrières et éléments assimilés des bâtiments de l’Université Paris 8 ainsi que de ses sites rattachés</t>
        </is>
      </c>
      <c r="D33" t="inlineStr">
        <is>
          <t>UNIVERSITE PARIS 8</t>
        </is>
      </c>
      <c r="E33" t="inlineStr">
        <is>
          <t>19931827000014</t>
        </is>
      </c>
      <c r="F33" t="inlineStr">
        <is>
          <t>199318270</t>
        </is>
      </c>
      <c r="G33" t="inlineStr"/>
      <c r="H33" t="inlineStr"/>
      <c r="I33" t="inlineStr">
        <is>
          <t>nicolas.luczak@univ-paris8.fr</t>
        </is>
      </c>
      <c r="J33" t="inlineStr">
        <is>
          <t>+33149406761</t>
        </is>
      </c>
      <c r="K33" t="inlineStr"/>
      <c r="L33" t="inlineStr"/>
      <c r="M33" t="inlineStr"/>
      <c r="N33" t="inlineStr">
        <is>
          <t>93</t>
        </is>
      </c>
      <c r="O33" t="inlineStr"/>
      <c r="P33" t="inlineStr">
        <is>
          <t>Ile-de-France</t>
        </is>
      </c>
      <c r="Q33" s="15" t="n">
        <v>46190</v>
      </c>
      <c r="R33" s="15" t="n">
        <v>46213</v>
      </c>
      <c r="S33" t="inlineStr"/>
      <c r="T33" t="inlineStr">
        <is>
          <t>A_VERIFIER_BUDGET</t>
        </is>
      </c>
      <c r="U33" t="inlineStr"/>
      <c r="V33" t="inlineStr">
        <is>
          <t>non</t>
        </is>
      </c>
      <c r="W33" t="inlineStr">
        <is>
          <t>Vitres</t>
        </is>
      </c>
      <c r="X33" t="inlineStr">
        <is>
          <t>Autre</t>
        </is>
      </c>
      <c r="Y33" t="inlineStr">
        <is>
          <t>SERVICES</t>
        </is>
      </c>
      <c r="Z33" t="inlineStr">
        <is>
          <t>Procédure Ouverte</t>
        </is>
      </c>
      <c r="AA33" t="inlineStr">
        <is>
          <t>Avis de marché</t>
        </is>
      </c>
      <c r="AB33" t="inlineStr">
        <is>
          <t>Vitrerie, Nettoyage de locaux</t>
        </is>
      </c>
      <c r="AC33" t="inlineStr"/>
      <c r="AD33" s="11" t="inlineStr">
        <is>
          <t>https://www.boamp.fr/pages/avis/?q=idweb:26-59151</t>
        </is>
      </c>
      <c r="AE33" t="inlineStr">
        <is>
          <t>https://www.marches-publics.gouv.fr/entreprise</t>
        </is>
      </c>
      <c r="AF33" t="inlineStr">
        <is>
          <t>https://www.marches-publics.gouv.fr/entreprise</t>
        </is>
      </c>
      <c r="AG33" t="inlineStr">
        <is>
          <t>nettoyage</t>
        </is>
      </c>
      <c r="AH33" t="inlineStr">
        <is>
          <t>3</t>
        </is>
      </c>
      <c r="AI33" t="inlineStr">
        <is>
          <t>68</t>
        </is>
      </c>
      <c r="AJ33" t="inlineStr">
        <is>
          <t>INFO_PARTIELLE</t>
        </is>
      </c>
      <c r="AK33" t="inlineStr">
        <is>
          <t>55</t>
        </is>
      </c>
      <c r="AL33" t="inlineStr">
        <is>
          <t>TIEDE</t>
        </is>
      </c>
      <c r="AM33">
        <f>MIN(100,MAX(0,IF(OR(ISNUMBER(SEARCH("nettoyage",C33)),ISNUMBER(SEARCH("proprete",C33)),ISNUMBER(SEARCH("entretien",C33)),ISNUMBER(SEARCH("hygiene",C33))),35,0)+IF(SUM(--(N33="75")+--(O33="75"),--(N33="77")+--(O33="77"),--(N33="78")+--(O33="78"),--(N33="91")+--(O33="91"),--(N33="92")+--(O33="92"),--(N33="93")+--(O33="93"),--(N33="94")+--(O33="94"),--(N33="95")+--(O33="95"))&gt;0,25,4)+IF(S33="",10,IF(S33&lt;=50000,25,IF(S33&lt;=100000,20,IF(S33&lt;=200000,5,IF(S33&lt;=500000,-10,-20)))))+IF(I33&lt;&gt;"",4,0)+IF(J33&lt;&gt;"",4,0)+IF(E33&lt;&gt;"",3,0)+IF(K33&lt;&gt;"",2,0)+IF(M33&lt;&gt;"",1,0)+IF(AD33&lt;&gt;"",1,0)+IF(R33="",0,IF(R33&lt;TODAY(),-30,IF(R33&lt;TODAY()+5,-15,IF(R33&lt;=TODAY()+15,5,10))))))</f>
        <v/>
      </c>
      <c r="AN33">
        <f>IF(AM33&gt;=65,"CHAUD",IF(AM33&gt;=40,"TIEDE","FROID"))</f>
        <v/>
      </c>
      <c r="AO33">
        <f>IF((IF(I33&lt;&gt;"",1,0)+IF(J33&lt;&gt;"",1,0)+IF(E33&lt;&gt;"",1,0)+IF(K33&lt;&gt;"",1,0))&gt;=4,"Complet",IF((IF(I33&lt;&gt;"",1,0)+IF(J33&lt;&gt;"",1,0)+IF(E33&lt;&gt;"",1,0)+IF(K33&lt;&gt;"",1,0))&gt;=2,"Partiel","Vide"))</f>
        <v/>
      </c>
      <c r="AP33">
        <f>IF(AJ33="DCE_A_TELECHARGER","Telecharger DCE",IF(T33="A_VERIFIER_BUDGET","Verifier budget",IF(AN33="CHAUD","Contacter maintenant",IF(AN33="TIEDE","Surveiller / relancer","Basse priorite"))))</f>
        <v/>
      </c>
      <c r="AQ33" t="inlineStr">
        <is>
          <t>IA_BUDGET_A_VERIFIER</t>
        </is>
      </c>
      <c r="AR33" t="inlineStr">
        <is>
          <t>Verifier le budget dans l'avis source ou le DCE avant decision commerciale.</t>
        </is>
      </c>
      <c r="AS33" t="inlineStr">
        <is>
          <t>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26-59151. Objet: Prestations de nettoyage des surfaces vitrées, vitrines, baies vitrées, verrières et éléments assimilés des bâtiments de l’Université Paris 8 ainsi que de ses sites rattachés. Acheteur: UNIVERSITE PARIS 8. Lien: https://www.boamp.fr/pages/avis/?q=idweb:26-59151.</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delai confortable 18j</t>
        </is>
      </c>
      <c r="BC33"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3"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3"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3" t="inlineStr"/>
      <c r="BG33" t="inlineStr"/>
      <c r="BH33" t="inlineStr"/>
      <c r="BI33" t="inlineStr"/>
      <c r="BJ33" t="inlineStr"/>
      <c r="BK33" t="inlineStr"/>
      <c r="BL33" t="inlineStr"/>
      <c r="BM33" t="inlineStr">
        <is>
          <t>2026-W25</t>
        </is>
      </c>
    </row>
    <row r="34">
      <c r="A34" t="inlineStr">
        <is>
          <t>BOAMP</t>
        </is>
      </c>
      <c r="B34" t="inlineStr">
        <is>
          <t>26-57705</t>
        </is>
      </c>
      <c r="C34" t="inlineStr">
        <is>
          <t>MARCHE PUBLIC RELATIF AU NETTOYAGE DES LOCAUX DE LA MISSION LOCALE DE PARIS</t>
        </is>
      </c>
      <c r="D34" t="inlineStr">
        <is>
          <t>MISSION LOCALE DE PARIS</t>
        </is>
      </c>
      <c r="E34" t="inlineStr">
        <is>
          <t>53132862300149</t>
        </is>
      </c>
      <c r="F34" t="inlineStr">
        <is>
          <t>531328623</t>
        </is>
      </c>
      <c r="G34" t="inlineStr"/>
      <c r="H34" t="inlineStr"/>
      <c r="I34" t="inlineStr">
        <is>
          <t>achats@missionlocaledeparis.fr</t>
        </is>
      </c>
      <c r="J34" t="inlineStr">
        <is>
          <t>0149 076467</t>
        </is>
      </c>
      <c r="K34" t="inlineStr"/>
      <c r="L34" t="inlineStr"/>
      <c r="M34" t="inlineStr"/>
      <c r="N34" t="inlineStr">
        <is>
          <t>75</t>
        </is>
      </c>
      <c r="O34" t="inlineStr"/>
      <c r="P34" t="inlineStr">
        <is>
          <t>Ile-de-France</t>
        </is>
      </c>
      <c r="Q34" s="15" t="n">
        <v>46185</v>
      </c>
      <c r="R34" s="15" t="n">
        <v>46213</v>
      </c>
      <c r="S34" t="inlineStr"/>
      <c r="T34" t="inlineStr">
        <is>
          <t>A_VERIFIER_BUDGET</t>
        </is>
      </c>
      <c r="U34" t="inlineStr"/>
      <c r="V34" t="inlineStr">
        <is>
          <t>non</t>
        </is>
      </c>
      <c r="W34" t="inlineStr">
        <is>
          <t>Vitres</t>
        </is>
      </c>
      <c r="X34" t="inlineStr">
        <is>
          <t>Autre</t>
        </is>
      </c>
      <c r="Y34" t="inlineStr">
        <is>
          <t>SERVICES</t>
        </is>
      </c>
      <c r="Z34" t="inlineStr">
        <is>
          <t>Procédure Ouverte</t>
        </is>
      </c>
      <c r="AA34" t="inlineStr">
        <is>
          <t>Avis de marché</t>
        </is>
      </c>
      <c r="AB34" t="inlineStr">
        <is>
          <t>Nettoyage de locaux</t>
        </is>
      </c>
      <c r="AC34" t="inlineStr"/>
      <c r="AD34" s="11" t="inlineStr">
        <is>
          <t>https://www.boamp.fr/pages/avis/?q=idweb:26-57705</t>
        </is>
      </c>
      <c r="AE34" t="inlineStr">
        <is>
          <t>https://www.achatpublic.com/sdm/ent/gen/ent_detail.do?PCSLID=CSL_2026_GODJdYpugJ</t>
        </is>
      </c>
      <c r="AF34" t="inlineStr">
        <is>
          <t>https://www.achatpublic.com/sdm/ent/gen/ent_detail.do?PCSLID=CSL_2026_GODJdYpugJ</t>
        </is>
      </c>
      <c r="AG34" t="inlineStr">
        <is>
          <t>nettoyage, proprete</t>
        </is>
      </c>
      <c r="AH34" t="inlineStr">
        <is>
          <t>3</t>
        </is>
      </c>
      <c r="AI34" t="inlineStr">
        <is>
          <t>76</t>
        </is>
      </c>
      <c r="AJ34" t="inlineStr">
        <is>
          <t>INFO_PARTIELLE</t>
        </is>
      </c>
      <c r="AK34" t="inlineStr">
        <is>
          <t>55</t>
        </is>
      </c>
      <c r="AL34" t="inlineStr">
        <is>
          <t>TIEDE</t>
        </is>
      </c>
      <c r="AM34">
        <f>MIN(100,MAX(0,IF(OR(ISNUMBER(SEARCH("nettoyage",C34)),ISNUMBER(SEARCH("proprete",C34)),ISNUMBER(SEARCH("entretien",C34)),ISNUMBER(SEARCH("hygiene",C34))),35,0)+IF(SUM(--(N34="75")+--(O34="75"),--(N34="77")+--(O34="77"),--(N34="78")+--(O34="78"),--(N34="91")+--(O34="91"),--(N34="92")+--(O34="92"),--(N34="93")+--(O34="93"),--(N34="94")+--(O34="94"),--(N34="95")+--(O34="95"))&gt;0,25,4)+IF(S34="",10,IF(S34&lt;=50000,25,IF(S34&lt;=100000,20,IF(S34&lt;=200000,5,IF(S34&lt;=500000,-10,-20)))))+IF(I34&lt;&gt;"",4,0)+IF(J34&lt;&gt;"",4,0)+IF(E34&lt;&gt;"",3,0)+IF(K34&lt;&gt;"",2,0)+IF(M34&lt;&gt;"",1,0)+IF(AD34&lt;&gt;"",1,0)+IF(R34="",0,IF(R34&lt;TODAY(),-30,IF(R34&lt;TODAY()+5,-15,IF(R34&lt;=TODAY()+15,5,10))))))</f>
        <v/>
      </c>
      <c r="AN34">
        <f>IF(AM34&gt;=65,"CHAUD",IF(AM34&gt;=40,"TIEDE","FROID"))</f>
        <v/>
      </c>
      <c r="AO34">
        <f>IF((IF(I34&lt;&gt;"",1,0)+IF(J34&lt;&gt;"",1,0)+IF(E34&lt;&gt;"",1,0)+IF(K34&lt;&gt;"",1,0))&gt;=4,"Complet",IF((IF(I34&lt;&gt;"",1,0)+IF(J34&lt;&gt;"",1,0)+IF(E34&lt;&gt;"",1,0)+IF(K34&lt;&gt;"",1,0))&gt;=2,"Partiel","Vide"))</f>
        <v/>
      </c>
      <c r="AP34">
        <f>IF(AJ34="DCE_A_TELECHARGER","Telecharger DCE",IF(T34="A_VERIFIER_BUDGET","Verifier budget",IF(AN34="CHAUD","Contacter maintenant",IF(AN34="TIEDE","Surveiller / relancer","Basse priorite"))))</f>
        <v/>
      </c>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26-57705. Objet: MARCHE PUBLIC RELATIF AU NETTOYAGE DES LOCAUX DE LA MISSION LOCALE DE PARIS. Acheteur: MISSION LOCALE DE PARIS. Lien: https://www.boamp.fr/pages/avis/?q=idweb:26-57705.</t>
        </is>
      </c>
      <c r="AU34" t="inlineStr">
        <is>
          <t>Verifier url_avis et DCE si disponible</t>
        </is>
      </c>
      <c r="AV34" t="inlineStr">
        <is>
          <t>LIEN_SEUL</t>
        </is>
      </c>
      <c r="AW34" t="inlineStr"/>
      <c r="AX34" t="inlineStr"/>
      <c r="AY34" t="inlineStr"/>
      <c r="AZ34" t="inlineStr"/>
      <c r="BA34" t="inlineStr"/>
      <c r="BB34" t="inlineStr">
        <is>
          <t>+35 nettoyage + categorie claire | +10 budget non affiche (a verifier) | +10 delai confortable 18j</t>
        </is>
      </c>
      <c r="BC34" t="inlineStr">
        <is>
          <t>MISSION LOCALE DE PARIS publie un AO potentiellement pertinent pour CHRUTH : MARCHE PUBLIC RELATIF AU NETTOYAGE DES LOCAUX DE LA MISSION LOCALE DE PARIS. Zone : 75. Budget a verifier. Verifier le lien source avant contact.</t>
        </is>
      </c>
      <c r="BD34" t="inlineStr">
        <is>
          <t>Bonjour,
Je me permets de vous contacter au sujet de votre appel d'offres : MARCHE PUBLIC RELATIF AU NETTOYAGE DES LOCAUX DE LA MISSION LOCALE DE PARIS.
CHRUTH accompagne les structures publiques et privees sur les besoins de nettoyage, d'entretien des locaux et d'organisation de prestations de service.
Serait-il possible d'echanger rapidement afin de verifier les modalites de reponse et les attentes de MISSION LOCALE DE PARIS ?
Cordialement,</t>
        </is>
      </c>
      <c r="BE34" t="inlineStr">
        <is>
          <t>Bonjour, je vous appelle concernant un appel d'offres publie par MISSION LOCALE DE PARIS. Je souhaite verifier les informations pratiques : perimetre des prestations, date limite, modalites de visite, contact technique et pieces attendues. Pouvez-vous m'indiquer la bonne personne a contacter ?</t>
        </is>
      </c>
      <c r="BF34" t="inlineStr"/>
      <c r="BG34" t="inlineStr"/>
      <c r="BH34" t="inlineStr"/>
      <c r="BI34" t="inlineStr"/>
      <c r="BJ34" t="inlineStr"/>
      <c r="BK34" t="inlineStr"/>
      <c r="BL34" t="inlineStr"/>
      <c r="BM34" t="inlineStr">
        <is>
          <t>2026-W24</t>
        </is>
      </c>
    </row>
    <row r="35">
      <c r="A35" t="inlineStr">
        <is>
          <t>BOAMP</t>
        </is>
      </c>
      <c r="B35" t="inlineStr">
        <is>
          <t>26-57778</t>
        </is>
      </c>
      <c r="C35" t="inlineStr">
        <is>
          <t>Prestations de nettoyage des surfaces vitrées, vitrines, baies vitrées, verrières et éléments assimilés des bâtiments de l’Université Paris 8 ainsi que de ses sites rattachés</t>
        </is>
      </c>
      <c r="D35" t="inlineStr">
        <is>
          <t>UNIVERSITE PARIS 8</t>
        </is>
      </c>
      <c r="E35" t="inlineStr">
        <is>
          <t>19931827000014</t>
        </is>
      </c>
      <c r="F35" t="inlineStr">
        <is>
          <t>199318270</t>
        </is>
      </c>
      <c r="G35" t="inlineStr"/>
      <c r="H35" t="inlineStr"/>
      <c r="I35" t="inlineStr">
        <is>
          <t>nicolas.luczak@univ-paris8.fr</t>
        </is>
      </c>
      <c r="J35" t="inlineStr">
        <is>
          <t>+33149406761</t>
        </is>
      </c>
      <c r="K35" t="inlineStr"/>
      <c r="L35" t="inlineStr"/>
      <c r="M35" t="inlineStr"/>
      <c r="N35" t="inlineStr">
        <is>
          <t>93</t>
        </is>
      </c>
      <c r="O35" t="inlineStr"/>
      <c r="P35" t="inlineStr">
        <is>
          <t>Ile-de-France</t>
        </is>
      </c>
      <c r="Q35" s="15" t="n">
        <v>46185</v>
      </c>
      <c r="R35" s="15" t="n">
        <v>46213</v>
      </c>
      <c r="S35" t="inlineStr"/>
      <c r="T35" t="inlineStr">
        <is>
          <t>A_VERIFIER_BUDGET</t>
        </is>
      </c>
      <c r="U35" t="inlineStr"/>
      <c r="V35" t="inlineStr">
        <is>
          <t>non</t>
        </is>
      </c>
      <c r="W35" t="inlineStr">
        <is>
          <t>Vitres</t>
        </is>
      </c>
      <c r="X35" t="inlineStr">
        <is>
          <t>Autre</t>
        </is>
      </c>
      <c r="Y35" t="inlineStr">
        <is>
          <t>SERVICES</t>
        </is>
      </c>
      <c r="Z35" t="inlineStr">
        <is>
          <t>Procédure Ouverte</t>
        </is>
      </c>
      <c r="AA35" t="inlineStr">
        <is>
          <t>Avis de marché</t>
        </is>
      </c>
      <c r="AB35" t="inlineStr">
        <is>
          <t>Vitrerie, Nettoyage de locaux</t>
        </is>
      </c>
      <c r="AC35" t="inlineStr">
        <is>
          <t>['sociaux']</t>
        </is>
      </c>
      <c r="AD35" s="11" t="inlineStr">
        <is>
          <t>https://www.boamp.fr/pages/avis/?q=idweb:26-57778</t>
        </is>
      </c>
      <c r="AE35" t="inlineStr">
        <is>
          <t>https://www.marches-publics.gouv.fr/entreprise</t>
        </is>
      </c>
      <c r="AF35" t="inlineStr">
        <is>
          <t>https://www.marches-publics.gouv.fr/entreprise</t>
        </is>
      </c>
      <c r="AG35" t="inlineStr">
        <is>
          <t>nettoyage</t>
        </is>
      </c>
      <c r="AH35" t="inlineStr">
        <is>
          <t>3</t>
        </is>
      </c>
      <c r="AI35" t="inlineStr">
        <is>
          <t>68</t>
        </is>
      </c>
      <c r="AJ35" t="inlineStr">
        <is>
          <t>INFO_PARTIELLE</t>
        </is>
      </c>
      <c r="AK35" t="inlineStr">
        <is>
          <t>55</t>
        </is>
      </c>
      <c r="AL35" t="inlineStr">
        <is>
          <t>TIEDE</t>
        </is>
      </c>
      <c r="AM35">
        <f>MIN(100,MAX(0,IF(OR(ISNUMBER(SEARCH("nettoyage",C35)),ISNUMBER(SEARCH("proprete",C35)),ISNUMBER(SEARCH("entretien",C35)),ISNUMBER(SEARCH("hygiene",C35))),35,0)+IF(SUM(--(N35="75")+--(O35="75"),--(N35="77")+--(O35="77"),--(N35="78")+--(O35="78"),--(N35="91")+--(O35="91"),--(N35="92")+--(O35="92"),--(N35="93")+--(O35="93"),--(N35="94")+--(O35="94"),--(N35="95")+--(O35="95"))&gt;0,25,4)+IF(S35="",10,IF(S35&lt;=50000,25,IF(S35&lt;=100000,20,IF(S35&lt;=200000,5,IF(S35&lt;=500000,-10,-20)))))+IF(I35&lt;&gt;"",4,0)+IF(J35&lt;&gt;"",4,0)+IF(E35&lt;&gt;"",3,0)+IF(K35&lt;&gt;"",2,0)+IF(M35&lt;&gt;"",1,0)+IF(AD35&lt;&gt;"",1,0)+IF(R35="",0,IF(R35&lt;TODAY(),-30,IF(R35&lt;TODAY()+5,-15,IF(R35&lt;=TODAY()+15,5,10))))))</f>
        <v/>
      </c>
      <c r="AN35">
        <f>IF(AM35&gt;=65,"CHAUD",IF(AM35&gt;=40,"TIEDE","FROID"))</f>
        <v/>
      </c>
      <c r="AO35">
        <f>IF((IF(I35&lt;&gt;"",1,0)+IF(J35&lt;&gt;"",1,0)+IF(E35&lt;&gt;"",1,0)+IF(K35&lt;&gt;"",1,0))&gt;=4,"Complet",IF((IF(I35&lt;&gt;"",1,0)+IF(J35&lt;&gt;"",1,0)+IF(E35&lt;&gt;"",1,0)+IF(K35&lt;&gt;"",1,0))&gt;=2,"Partiel","Vide"))</f>
        <v/>
      </c>
      <c r="AP35">
        <f>IF(AJ35="DCE_A_TELECHARGER","Telecharger DCE",IF(T35="A_VERIFIER_BUDGET","Verifier budget",IF(AN35="CHAUD","Contacter maintenant",IF(AN35="TIEDE","Surveiller / relancer","Basse priorite"))))</f>
        <v/>
      </c>
      <c r="AQ35" t="inlineStr">
        <is>
          <t>IA_BUDGET_A_VERIFIER</t>
        </is>
      </c>
      <c r="AR35" t="inlineStr">
        <is>
          <t>Verifier le budget dans l'avis source ou le DCE avant decision commerciale.</t>
        </is>
      </c>
      <c r="AS35" t="inlineStr">
        <is>
          <t>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26-57778. Objet: Prestations de nettoyage des surfaces vitrées, vitrines, baies vitrées, verrières et éléments assimilés des bâtiments de l’Université Paris 8 ainsi que de ses sites rattachés. Acheteur: UNIVERSITE PARIS 8. Lien: https://www.boamp.fr/pages/avis/?q=idweb:26-57778.</t>
        </is>
      </c>
      <c r="AU35" t="inlineStr">
        <is>
          <t>Verifier url_avis et DCE si disponible</t>
        </is>
      </c>
      <c r="AV35" t="inlineStr">
        <is>
          <t>LIEN_SEUL</t>
        </is>
      </c>
      <c r="AW35" t="inlineStr"/>
      <c r="AX35" t="inlineStr"/>
      <c r="AY35" t="inlineStr"/>
      <c r="AZ35" t="inlineStr"/>
      <c r="BA35" t="inlineStr"/>
      <c r="BB35" t="inlineStr">
        <is>
          <t>+35 nettoyage + categorie claire | +10 budget non affiche (a verifier) | +10 delai confortable 18j</t>
        </is>
      </c>
      <c r="BC35"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5"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5"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5" t="inlineStr"/>
      <c r="BG35" t="inlineStr"/>
      <c r="BH35" t="inlineStr"/>
      <c r="BI35" t="inlineStr"/>
      <c r="BJ35" t="inlineStr"/>
      <c r="BK35" t="inlineStr"/>
      <c r="BL35" t="inlineStr"/>
      <c r="BM35" t="inlineStr">
        <is>
          <t>2026-W24</t>
        </is>
      </c>
    </row>
    <row r="36">
      <c r="A36" t="inlineStr">
        <is>
          <t>BOAMP</t>
        </is>
      </c>
      <c r="B36" t="inlineStr">
        <is>
          <t>26-57678</t>
        </is>
      </c>
      <c r="C36" t="inlineStr">
        <is>
          <t>Prestations d'entretien ménager, de fourniture de consommables pour sanitaires et de nettoyage des vitres des locaux de la délégation Auvergne Rhône-Alpes du CNFPT</t>
        </is>
      </c>
      <c r="D36" t="inlineStr">
        <is>
          <t>CNFPT - Direction de l'achat public</t>
        </is>
      </c>
      <c r="E36" t="inlineStr"/>
      <c r="F36" t="inlineStr"/>
      <c r="G36" t="inlineStr"/>
      <c r="H36" t="inlineStr"/>
      <c r="I36" t="inlineStr">
        <is>
          <t>publications-joue@aws-france.com</t>
        </is>
      </c>
      <c r="J36" t="inlineStr">
        <is>
          <t>+33480041260</t>
        </is>
      </c>
      <c r="K36" t="inlineStr"/>
      <c r="L36" t="inlineStr"/>
      <c r="M36" t="inlineStr"/>
      <c r="N36" t="inlineStr">
        <is>
          <t>75</t>
        </is>
      </c>
      <c r="O36" t="inlineStr"/>
      <c r="P36" t="inlineStr">
        <is>
          <t>Ile-de-France</t>
        </is>
      </c>
      <c r="Q36" s="15" t="n">
        <v>46185</v>
      </c>
      <c r="R36" s="15" t="n">
        <v>46218</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Nettoyage de locaux</t>
        </is>
      </c>
      <c r="AC36" t="inlineStr">
        <is>
          <t>['sociaux', 'environnementaux']</t>
        </is>
      </c>
      <c r="AD36" s="11" t="inlineStr">
        <is>
          <t>https://www.boamp.fr/pages/avis/?q=idweb:26-57678</t>
        </is>
      </c>
      <c r="AE36" t="inlineStr">
        <is>
          <t>https://cnfpt.marches-publics.info/</t>
        </is>
      </c>
      <c r="AF36" t="inlineStr">
        <is>
          <t>https://cnfpt.marches-publics.info/</t>
        </is>
      </c>
      <c r="AG36" t="inlineStr">
        <is>
          <t>nettoyage, entretien menager</t>
        </is>
      </c>
      <c r="AH36" t="inlineStr">
        <is>
          <t>2</t>
        </is>
      </c>
      <c r="AI36" t="inlineStr">
        <is>
          <t>62</t>
        </is>
      </c>
      <c r="AJ36" t="inlineStr">
        <is>
          <t>INFO_PARTIELLE</t>
        </is>
      </c>
      <c r="AK36" t="inlineStr">
        <is>
          <t>55</t>
        </is>
      </c>
      <c r="AL36" t="inlineStr">
        <is>
          <t>TIEDE</t>
        </is>
      </c>
      <c r="AM36">
        <f>MIN(100,MAX(0,IF(OR(ISNUMBER(SEARCH("nettoyage",C36)),ISNUMBER(SEARCH("proprete",C36)),ISNUMBER(SEARCH("entretien",C36)),ISNUMBER(SEARCH("hygiene",C36))),35,0)+IF(SUM(--(N36="75")+--(O36="75"),--(N36="77")+--(O36="77"),--(N36="78")+--(O36="78"),--(N36="91")+--(O36="91"),--(N36="92")+--(O36="92"),--(N36="93")+--(O36="93"),--(N36="94")+--(O36="94"),--(N36="95")+--(O36="95"))&gt;0,25,4)+IF(S36="",10,IF(S36&lt;=50000,25,IF(S36&lt;=100000,20,IF(S36&lt;=200000,5,IF(S36&lt;=500000,-10,-20)))))+IF(I36&lt;&gt;"",4,0)+IF(J36&lt;&gt;"",4,0)+IF(E36&lt;&gt;"",3,0)+IF(K36&lt;&gt;"",2,0)+IF(M36&lt;&gt;"",1,0)+IF(AD36&lt;&gt;"",1,0)+IF(R36="",0,IF(R36&lt;TODAY(),-30,IF(R36&lt;TODAY()+5,-15,IF(R36&lt;=TODAY()+15,5,10))))))</f>
        <v/>
      </c>
      <c r="AN36">
        <f>IF(AM36&gt;=65,"CHAUD",IF(AM36&gt;=40,"TIEDE","FROID"))</f>
        <v/>
      </c>
      <c r="AO36">
        <f>IF((IF(I36&lt;&gt;"",1,0)+IF(J36&lt;&gt;"",1,0)+IF(E36&lt;&gt;"",1,0)+IF(K36&lt;&gt;"",1,0))&gt;=4,"Complet",IF((IF(I36&lt;&gt;"",1,0)+IF(J36&lt;&gt;"",1,0)+IF(E36&lt;&gt;"",1,0)+IF(K36&lt;&gt;"",1,0))&gt;=2,"Partiel","Vide"))</f>
        <v/>
      </c>
      <c r="AP36">
        <f>IF(AJ36="DCE_A_TELECHARGER","Telecharger DCE",IF(T36="A_VERIFIER_BUDGET","Verifier budget",IF(AN36="CHAUD","Contacter maintenant",IF(AN36="TIEDE","Surveiller / relancer","Basse priorite"))))</f>
        <v/>
      </c>
      <c r="AQ36" t="inlineStr">
        <is>
          <t>IA_BUDGET_A_VERIFIER</t>
        </is>
      </c>
      <c r="AR36" t="inlineStr">
        <is>
          <t>Verifier le budget dans l'avis source ou le DCE avant decision commerciale.</t>
        </is>
      </c>
      <c r="AS36" t="inlineStr">
        <is>
          <t>SIRET, 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26-57678. Objet: Prestations d'entretien ménager, de fourniture de consommables pour sanitaires et de nettoyage des vitres des locaux de la délégation Auvergne Rhône-Alpes du CNFPT. Acheteur: CNFPT - Direction de l'achat public. Lien: https://www.boamp.fr/pages/avis/?q=idweb:26-57678.</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23j</t>
        </is>
      </c>
      <c r="BC36" t="inlineStr">
        <is>
          <t>CNFPT - Direction de l'achat public publie un AO potentiellement pertinent pour CHRUTH : Prestations d'entretien ménager, de fourniture de consommables pour sanitaires et de nettoyage des vitres des locaux de la délégation Auvergne Rhône-Alpes du CNFPT. Zone : 75. Budget a verifier. Verifier le lien source avant contact.</t>
        </is>
      </c>
      <c r="BD36" t="inlineStr">
        <is>
          <t>Bonjour,
Je me permets de vous contacter au sujet de votre appel d'offres : Prestations d'entretien ménager, de fourniture de consommables pour sanitaires et de nettoyage des vitres des locaux de la délégation Auvergne Rhône-Alpes du CNFPT.
CHRUTH accompagne les structures publiques et privees sur les besoins de nettoyage, d'entretien des locaux et d'organisation de prestations de service.
Serait-il possible d'echanger rapidement afin de verifier les modalites de reponse et les attentes de CNFPT - Direction de l'achat public ?
Cordialement,</t>
        </is>
      </c>
      <c r="BE36" t="inlineStr">
        <is>
          <t>Bonjour, je vous appelle concernant un appel d'offres publie par CNFPT - Direction de l'achat public. Je souhaite verifier les informations pratiques : perimetre des prestations, date limite, modalites de visite, contact technique et pieces attendues. Pouvez-vous m'indiquer la bonne personne a contacter ?</t>
        </is>
      </c>
      <c r="BF36" t="inlineStr"/>
      <c r="BG36" t="inlineStr"/>
      <c r="BH36" t="inlineStr"/>
      <c r="BI36" t="inlineStr"/>
      <c r="BJ36" t="inlineStr"/>
      <c r="BK36" t="inlineStr"/>
      <c r="BL36" t="inlineStr"/>
      <c r="BM36" t="inlineStr">
        <is>
          <t>2026-W24</t>
        </is>
      </c>
    </row>
    <row r="37">
      <c r="A37" t="inlineStr">
        <is>
          <t>BOAMP</t>
        </is>
      </c>
      <c r="B37" t="inlineStr">
        <is>
          <t>26-57231</t>
        </is>
      </c>
      <c r="C37" t="inlineStr">
        <is>
          <t>Prestations de nettoyage des surfaces vitrées, vitrines, baies vitrées, verrières et éléments assimilés des bâtiments de l’Université Paris 8 ainsi que de ses sites rattachés</t>
        </is>
      </c>
      <c r="D37" t="inlineStr">
        <is>
          <t>UNIVERSITE PARIS 8</t>
        </is>
      </c>
      <c r="E37" t="inlineStr">
        <is>
          <t>19931827000014</t>
        </is>
      </c>
      <c r="F37" t="inlineStr">
        <is>
          <t>199318270</t>
        </is>
      </c>
      <c r="G37" t="inlineStr"/>
      <c r="H37" t="inlineStr"/>
      <c r="I37" t="inlineStr">
        <is>
          <t>nicolas.luczak@univ-paris8.fr</t>
        </is>
      </c>
      <c r="J37" t="inlineStr">
        <is>
          <t>+33149406761</t>
        </is>
      </c>
      <c r="K37" t="inlineStr"/>
      <c r="L37" t="inlineStr"/>
      <c r="M37" t="inlineStr"/>
      <c r="N37" t="inlineStr">
        <is>
          <t>93</t>
        </is>
      </c>
      <c r="O37" t="inlineStr"/>
      <c r="P37" t="inlineStr">
        <is>
          <t>Ile-de-France</t>
        </is>
      </c>
      <c r="Q37" s="15" t="n">
        <v>46184</v>
      </c>
      <c r="R37" s="15" t="n">
        <v>46213</v>
      </c>
      <c r="S37" t="inlineStr"/>
      <c r="T37" t="inlineStr">
        <is>
          <t>A_VERIFIER_BUDGET</t>
        </is>
      </c>
      <c r="U37" t="inlineStr"/>
      <c r="V37" t="inlineStr">
        <is>
          <t>non</t>
        </is>
      </c>
      <c r="W37" t="inlineStr">
        <is>
          <t>Vitres</t>
        </is>
      </c>
      <c r="X37" t="inlineStr">
        <is>
          <t>Autre</t>
        </is>
      </c>
      <c r="Y37" t="inlineStr">
        <is>
          <t>SERVICES</t>
        </is>
      </c>
      <c r="Z37" t="inlineStr">
        <is>
          <t>Procédure Ouverte</t>
        </is>
      </c>
      <c r="AA37" t="inlineStr">
        <is>
          <t>Avis de marché</t>
        </is>
      </c>
      <c r="AB37" t="inlineStr">
        <is>
          <t>Vitrerie, Nettoyage de locaux</t>
        </is>
      </c>
      <c r="AC37" t="inlineStr"/>
      <c r="AD37" s="11" t="inlineStr">
        <is>
          <t>https://www.boamp.fr/pages/avis/?q=idweb:26-57231</t>
        </is>
      </c>
      <c r="AE37" t="inlineStr">
        <is>
          <t>https://www.marches-publics.gouv.fr/entreprise</t>
        </is>
      </c>
      <c r="AF37" t="inlineStr">
        <is>
          <t>https://www.marches-publics.gouv.fr/entreprise</t>
        </is>
      </c>
      <c r="AG37" t="inlineStr">
        <is>
          <t>nettoyage</t>
        </is>
      </c>
      <c r="AH37" t="inlineStr">
        <is>
          <t>3</t>
        </is>
      </c>
      <c r="AI37" t="inlineStr">
        <is>
          <t>68</t>
        </is>
      </c>
      <c r="AJ37" t="inlineStr">
        <is>
          <t>INFO_PARTIELLE</t>
        </is>
      </c>
      <c r="AK37" t="inlineStr">
        <is>
          <t>55</t>
        </is>
      </c>
      <c r="AL37" t="inlineStr">
        <is>
          <t>TIEDE</t>
        </is>
      </c>
      <c r="AM37">
        <f>MIN(100,MAX(0,IF(OR(ISNUMBER(SEARCH("nettoyage",C37)),ISNUMBER(SEARCH("proprete",C37)),ISNUMBER(SEARCH("entretien",C37)),ISNUMBER(SEARCH("hygiene",C37))),35,0)+IF(SUM(--(N37="75")+--(O37="75"),--(N37="77")+--(O37="77"),--(N37="78")+--(O37="78"),--(N37="91")+--(O37="91"),--(N37="92")+--(O37="92"),--(N37="93")+--(O37="93"),--(N37="94")+--(O37="94"),--(N37="95")+--(O37="95"))&gt;0,25,4)+IF(S37="",10,IF(S37&lt;=50000,25,IF(S37&lt;=100000,20,IF(S37&lt;=200000,5,IF(S37&lt;=500000,-10,-20)))))+IF(I37&lt;&gt;"",4,0)+IF(J37&lt;&gt;"",4,0)+IF(E37&lt;&gt;"",3,0)+IF(K37&lt;&gt;"",2,0)+IF(M37&lt;&gt;"",1,0)+IF(AD37&lt;&gt;"",1,0)+IF(R37="",0,IF(R37&lt;TODAY(),-30,IF(R37&lt;TODAY()+5,-15,IF(R37&lt;=TODAY()+15,5,10))))))</f>
        <v/>
      </c>
      <c r="AN37">
        <f>IF(AM37&gt;=65,"CHAUD",IF(AM37&gt;=40,"TIEDE","FROID"))</f>
        <v/>
      </c>
      <c r="AO37">
        <f>IF((IF(I37&lt;&gt;"",1,0)+IF(J37&lt;&gt;"",1,0)+IF(E37&lt;&gt;"",1,0)+IF(K37&lt;&gt;"",1,0))&gt;=4,"Complet",IF((IF(I37&lt;&gt;"",1,0)+IF(J37&lt;&gt;"",1,0)+IF(E37&lt;&gt;"",1,0)+IF(K37&lt;&gt;"",1,0))&gt;=2,"Partiel","Vide"))</f>
        <v/>
      </c>
      <c r="AP37">
        <f>IF(AJ37="DCE_A_TELECHARGER","Telecharger DCE",IF(T37="A_VERIFIER_BUDGET","Verifier budget",IF(AN37="CHAUD","Contacter maintenant",IF(AN37="TIEDE","Surveiller / relancer","Basse priorite"))))</f>
        <v/>
      </c>
      <c r="AQ37" t="inlineStr">
        <is>
          <t>IA_BUDGET_A_VERIFIER</t>
        </is>
      </c>
      <c r="AR37" t="inlineStr">
        <is>
          <t>Verifier le budget dans l'avis source ou le DCE avant decision commerciale.</t>
        </is>
      </c>
      <c r="AS37" t="inlineStr">
        <is>
          <t>adresse, ville, budget</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26-57231. Objet: Prestations de nettoyage des surfaces vitrées, vitrines, baies vitrées, verrières et éléments assimilés des bâtiments de l’Université Paris 8 ainsi que de ses sites rattachés. Acheteur: UNIVERSITE PARIS 8. Lien: https://www.boamp.fr/pages/avis/?q=idweb:26-57231.</t>
        </is>
      </c>
      <c r="AU37" t="inlineStr">
        <is>
          <t>Verifier url_avis et DCE si disponible</t>
        </is>
      </c>
      <c r="AV37" t="inlineStr">
        <is>
          <t>LIEN_SEUL</t>
        </is>
      </c>
      <c r="AW37" t="inlineStr"/>
      <c r="AX37" t="inlineStr"/>
      <c r="AY37" t="inlineStr"/>
      <c r="AZ37" t="inlineStr"/>
      <c r="BA37" t="inlineStr"/>
      <c r="BB37" t="inlineStr">
        <is>
          <t>+35 nettoyage + categorie claire | +10 budget non affiche (a verifier) | +10 delai confortable 18j</t>
        </is>
      </c>
      <c r="BC37"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7"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7"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7" t="inlineStr"/>
      <c r="BG37" t="inlineStr"/>
      <c r="BH37" t="inlineStr"/>
      <c r="BI37" t="inlineStr"/>
      <c r="BJ37" t="inlineStr"/>
      <c r="BK37" t="inlineStr"/>
      <c r="BL37" t="inlineStr"/>
      <c r="BM37" t="inlineStr">
        <is>
          <t>2026-W24</t>
        </is>
      </c>
    </row>
    <row r="38">
      <c r="A38" t="inlineStr">
        <is>
          <t>BOAMP</t>
        </is>
      </c>
      <c r="B38" t="inlineStr">
        <is>
          <t>26-62297</t>
        </is>
      </c>
      <c r="C38" t="inlineStr">
        <is>
          <t>Nettoyage des locaux du siège du SIAAP</t>
        </is>
      </c>
      <c r="D38" t="inlineStr">
        <is>
          <t>Syndicat interdépartemental pour l'assainissement de l'agglomération parisienne (SIAAP)</t>
        </is>
      </c>
      <c r="E38" t="inlineStr"/>
      <c r="F38" t="inlineStr"/>
      <c r="G38" t="inlineStr"/>
      <c r="H38" t="inlineStr"/>
      <c r="I38" t="inlineStr">
        <is>
          <t>publications-joue@aws-france.com</t>
        </is>
      </c>
      <c r="J38" t="inlineStr">
        <is>
          <t>+33480041260</t>
        </is>
      </c>
      <c r="K38" t="inlineStr"/>
      <c r="L38" t="inlineStr"/>
      <c r="M38" t="inlineStr"/>
      <c r="N38" t="inlineStr">
        <is>
          <t>75</t>
        </is>
      </c>
      <c r="O38" t="inlineStr"/>
      <c r="P38" t="inlineStr">
        <is>
          <t>Ile-de-France</t>
        </is>
      </c>
      <c r="Q38" s="15" t="n">
        <v>46198</v>
      </c>
      <c r="R38" s="15" t="n">
        <v>46218</v>
      </c>
      <c r="S38" t="inlineStr"/>
      <c r="T38" t="inlineStr">
        <is>
          <t>A_VERIFIER_BUDGET</t>
        </is>
      </c>
      <c r="U38" t="inlineStr"/>
      <c r="V38" t="inlineStr">
        <is>
          <t>non</t>
        </is>
      </c>
      <c r="W38" t="inlineStr">
        <is>
          <t>Batiments</t>
        </is>
      </c>
      <c r="X38" t="inlineStr">
        <is>
          <t>Autre</t>
        </is>
      </c>
      <c r="Y38" t="inlineStr">
        <is>
          <t>SERVICES</t>
        </is>
      </c>
      <c r="Z38" t="inlineStr">
        <is>
          <t>Procédure Ouverte</t>
        </is>
      </c>
      <c r="AA38" t="inlineStr">
        <is>
          <t>Avis de marché</t>
        </is>
      </c>
      <c r="AB38" t="inlineStr">
        <is>
          <t>Nettoyage de locaux, Prestations de services</t>
        </is>
      </c>
      <c r="AC38" t="inlineStr"/>
      <c r="AD38" s="11" t="inlineStr">
        <is>
          <t>https://www.boamp.fr/pages/avis/?q=idweb:26-62297</t>
        </is>
      </c>
      <c r="AE38" t="inlineStr">
        <is>
          <t>https://www.marches-publics.info/mpiaws/index.cfm?fuseaction=dematEnt.login&amp;amp;type=DCE&amp;amp;IDM=1840671</t>
        </is>
      </c>
      <c r="AF38" t="inlineStr">
        <is>
          <t>https://www.marches-publics.info/mpiaws/index.cfm?fuseaction=dematEnt.login&amp;amp;type=DCE&amp;amp;IDM=1840671</t>
        </is>
      </c>
      <c r="AG38" t="inlineStr">
        <is>
          <t>nettoyage</t>
        </is>
      </c>
      <c r="AH38" t="inlineStr">
        <is>
          <t>2</t>
        </is>
      </c>
      <c r="AI38" t="inlineStr">
        <is>
          <t>58</t>
        </is>
      </c>
      <c r="AJ38" t="inlineStr">
        <is>
          <t>INFO_PARTIELLE</t>
        </is>
      </c>
      <c r="AK38" t="inlineStr">
        <is>
          <t>50</t>
        </is>
      </c>
      <c r="AL38" t="inlineStr">
        <is>
          <t>TIEDE</t>
        </is>
      </c>
      <c r="AM38">
        <f>MIN(100,MAX(0,IF(OR(ISNUMBER(SEARCH("nettoyage",C38)),ISNUMBER(SEARCH("proprete",C38)),ISNUMBER(SEARCH("entretien",C38)),ISNUMBER(SEARCH("hygiene",C38))),35,0)+IF(SUM(--(N38="75")+--(O38="75"),--(N38="77")+--(O38="77"),--(N38="78")+--(O38="78"),--(N38="91")+--(O38="91"),--(N38="92")+--(O38="92"),--(N38="93")+--(O38="93"),--(N38="94")+--(O38="94"),--(N38="95")+--(O38="95"))&gt;0,25,4)+IF(S38="",10,IF(S38&lt;=50000,25,IF(S38&lt;=100000,20,IF(S38&lt;=200000,5,IF(S38&lt;=500000,-10,-20)))))+IF(I38&lt;&gt;"",4,0)+IF(J38&lt;&gt;"",4,0)+IF(E38&lt;&gt;"",3,0)+IF(K38&lt;&gt;"",2,0)+IF(M38&lt;&gt;"",1,0)+IF(AD38&lt;&gt;"",1,0)+IF(R38="",0,IF(R38&lt;TODAY(),-30,IF(R38&lt;TODAY()+5,-15,IF(R38&lt;=TODAY()+15,5,10))))))</f>
        <v/>
      </c>
      <c r="AN38">
        <f>IF(AM38&gt;=65,"CHAUD",IF(AM38&gt;=40,"TIEDE","FROID"))</f>
        <v/>
      </c>
      <c r="AO38">
        <f>IF((IF(I38&lt;&gt;"",1,0)+IF(J38&lt;&gt;"",1,0)+IF(E38&lt;&gt;"",1,0)+IF(K38&lt;&gt;"",1,0))&gt;=4,"Complet",IF((IF(I38&lt;&gt;"",1,0)+IF(J38&lt;&gt;"",1,0)+IF(E38&lt;&gt;"",1,0)+IF(K38&lt;&gt;"",1,0))&gt;=2,"Partiel","Vide"))</f>
        <v/>
      </c>
      <c r="AP38">
        <f>IF(AJ38="DCE_A_TELECHARGER","Telecharger DCE",IF(T38="A_VERIFIER_BUDGET","Verifier budget",IF(AN38="CHAUD","Contacter maintenant",IF(AN38="TIEDE","Surveiller / relancer","Basse priorite"))))</f>
        <v/>
      </c>
      <c r="AQ38" t="inlineStr">
        <is>
          <t>IA_BUDGET_A_VERIFIER</t>
        </is>
      </c>
      <c r="AR38" t="inlineStr">
        <is>
          <t>Verifier le budget dans l'avis source ou le DCE avant decision commerciale.</t>
        </is>
      </c>
      <c r="AS38" t="inlineStr">
        <is>
          <t>SIRET, adresse, ville, budget</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26-62297. Objet: Nettoyage des locaux du siège du SIAAP. Acheteur: Syndicat interdépartemental pour l'assainissement de l'agglomération parisienne (SIAAP). Lien: https://www.boamp.fr/pages/avis/?q=idweb:26-62297.</t>
        </is>
      </c>
      <c r="AU38" t="inlineStr">
        <is>
          <t>Verifier url_avis et DCE si disponible</t>
        </is>
      </c>
      <c r="AV38" t="inlineStr">
        <is>
          <t>LIEN_SEUL</t>
        </is>
      </c>
      <c r="AW38" t="inlineStr"/>
      <c r="AX38" t="inlineStr"/>
      <c r="AY38" t="inlineStr"/>
      <c r="AZ38" t="inlineStr"/>
      <c r="BA38" t="inlineStr"/>
      <c r="BB38" t="inlineStr">
        <is>
          <t>+35 nettoyage + categorie claire | +10 budget non affiche (a verifier) | +5 delai court 12j</t>
        </is>
      </c>
      <c r="BC38" t="inlineStr">
        <is>
          <t>Syndicat interdépartemental pour l'assainissement de l'agglomération parisienne (SIAAP) publie un AO potentiellement pertinent pour CHRUTH : Nettoyage des locaux du siège du SIAAP. Zone : 75. Budget a verifier. Verifier le lien source avant contact.</t>
        </is>
      </c>
      <c r="BD38" t="inlineStr">
        <is>
          <t>Bonjour,
Je me permets de vous contacter au sujet de votre appel d'offres : Nettoyage des locaux du siège du SIAAP.
CHRUTH accompagne les structures publiques et privées sur les besoins de nettoyage, d'entretien des locaux et d'organisation de prestations de service.
Serait-il possible d'échanger rapidement afin de vérifier les modalités de réponse et les attentes de Syndicat interdépartemental pour l'assainissement de l'agglomération parisienne (SIAAP) ?
Cordialement,</t>
        </is>
      </c>
      <c r="BE38" t="inlineStr">
        <is>
          <t>Bonjour, je vous appelle concernant un appel d'offres publié par Syndicat interdépartemental pour l'assainissement de l'agglomération parisienne (SIAAP).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2026-W26</t>
        </is>
      </c>
    </row>
    <row r="39">
      <c r="A39" t="inlineStr">
        <is>
          <t>BOAMP</t>
        </is>
      </c>
      <c r="B39" t="inlineStr">
        <is>
          <t>26-61419</t>
        </is>
      </c>
      <c r="C39" t="inlineStr">
        <is>
          <t>Prestations de mise en propreté et la gestion des déchets du réseau routier national et de ses dépendances gérés par les 4 arrondissements de la DiRIF</t>
        </is>
      </c>
      <c r="D39" t="inlineStr">
        <is>
          <t>Direction régionale et interdépartementale de l'Environnement, de l'Aménagement et des Transports d'Ile-de-France (DRIEAT-IF)</t>
        </is>
      </c>
      <c r="E39" t="inlineStr">
        <is>
          <t>13002932500011</t>
        </is>
      </c>
      <c r="F39" t="inlineStr">
        <is>
          <t>130029325</t>
        </is>
      </c>
      <c r="G39" t="inlineStr"/>
      <c r="H39" t="inlineStr"/>
      <c r="I39" t="inlineStr">
        <is>
          <t>dcppa.sg.drieat-if@developpement-durable.gouv.fr</t>
        </is>
      </c>
      <c r="J39" t="inlineStr">
        <is>
          <t>0293250001</t>
        </is>
      </c>
      <c r="K39" t="inlineStr"/>
      <c r="L39" t="inlineStr"/>
      <c r="M39" t="inlineStr"/>
      <c r="N39" t="inlineStr">
        <is>
          <t>75,77,78,91,92,93,94,95</t>
        </is>
      </c>
      <c r="O39" t="inlineStr"/>
      <c r="P39" t="inlineStr">
        <is>
          <t>Ile-de-France</t>
        </is>
      </c>
      <c r="Q39" s="15" t="n">
        <v>46197</v>
      </c>
      <c r="R39" s="15" t="n">
        <v>46237</v>
      </c>
      <c r="S39" t="inlineStr"/>
      <c r="T39" t="inlineStr">
        <is>
          <t>A_VERIFIER_BUDGET</t>
        </is>
      </c>
      <c r="U39" t="inlineStr"/>
      <c r="V39" t="inlineStr">
        <is>
          <t>non</t>
        </is>
      </c>
      <c r="W39" t="inlineStr">
        <is>
          <t>Mixte/Autre</t>
        </is>
      </c>
      <c r="X39" t="inlineStr">
        <is>
          <t>Autre</t>
        </is>
      </c>
      <c r="Y39" t="inlineStr">
        <is>
          <t>SERVICES</t>
        </is>
      </c>
      <c r="Z39" t="inlineStr">
        <is>
          <t>Procédure Ouverte</t>
        </is>
      </c>
      <c r="AA39" t="inlineStr">
        <is>
          <t>Avis de marché</t>
        </is>
      </c>
      <c r="AB39" t="inlineStr">
        <is>
          <t>Déchets non ménagers (prestations), Prestations de services</t>
        </is>
      </c>
      <c r="AC39" t="inlineStr">
        <is>
          <t>['sociaux', 'environnementaux']</t>
        </is>
      </c>
      <c r="AD39" s="11" t="inlineStr">
        <is>
          <t>https://www.boamp.fr/pages/avis/?q=idweb:26-61419</t>
        </is>
      </c>
      <c r="AE39" t="inlineStr">
        <is>
          <t>https://www.marches-publics.gouv.fr/entreprise</t>
        </is>
      </c>
      <c r="AF39" t="inlineStr">
        <is>
          <t>https://www.marches-publics.gouv.fr/entreprise</t>
        </is>
      </c>
      <c r="AG39" t="inlineStr">
        <is>
          <t>nettoyage, proprete</t>
        </is>
      </c>
      <c r="AH39" t="inlineStr">
        <is>
          <t>3</t>
        </is>
      </c>
      <c r="AI39" t="inlineStr">
        <is>
          <t>76</t>
        </is>
      </c>
      <c r="AJ39" t="inlineStr">
        <is>
          <t>INFO_PARTIELLE</t>
        </is>
      </c>
      <c r="AK39" t="inlineStr">
        <is>
          <t>50</t>
        </is>
      </c>
      <c r="AL39" t="inlineStr">
        <is>
          <t>TIEDE</t>
        </is>
      </c>
      <c r="AM39">
        <f>MIN(100,MAX(0,IF(OR(ISNUMBER(SEARCH("nettoyage",C39)),ISNUMBER(SEARCH("proprete",C39)),ISNUMBER(SEARCH("entretien",C39)),ISNUMBER(SEARCH("hygiene",C39))),35,0)+IF(SUM(--(N39="75")+--(O39="75"),--(N39="77")+--(O39="77"),--(N39="78")+--(O39="78"),--(N39="91")+--(O39="91"),--(N39="92")+--(O39="92"),--(N39="93")+--(O39="93"),--(N39="94")+--(O39="94"),--(N39="95")+--(O39="95"))&gt;0,25,4)+IF(S39="",10,IF(S39&lt;=50000,25,IF(S39&lt;=100000,20,IF(S39&lt;=200000,5,IF(S39&lt;=500000,-10,-20)))))+IF(I39&lt;&gt;"",4,0)+IF(J39&lt;&gt;"",4,0)+IF(E39&lt;&gt;"",3,0)+IF(K39&lt;&gt;"",2,0)+IF(M39&lt;&gt;"",1,0)+IF(AD39&lt;&gt;"",1,0)+IF(R39="",0,IF(R39&lt;TODAY(),-30,IF(R39&lt;TODAY()+5,-15,IF(R39&lt;=TODAY()+15,5,10))))))</f>
        <v/>
      </c>
      <c r="AN39">
        <f>IF(AM39&gt;=65,"CHAUD",IF(AM39&gt;=40,"TIEDE","FROID"))</f>
        <v/>
      </c>
      <c r="AO39">
        <f>IF((IF(I39&lt;&gt;"",1,0)+IF(J39&lt;&gt;"",1,0)+IF(E39&lt;&gt;"",1,0)+IF(K39&lt;&gt;"",1,0))&gt;=4,"Complet",IF((IF(I39&lt;&gt;"",1,0)+IF(J39&lt;&gt;"",1,0)+IF(E39&lt;&gt;"",1,0)+IF(K39&lt;&gt;"",1,0))&gt;=2,"Partiel","Vide"))</f>
        <v/>
      </c>
      <c r="AP39">
        <f>IF(AJ39="DCE_A_TELECHARGER","Telecharger DCE",IF(T39="A_VERIFIER_BUDGET","Verifier budget",IF(AN39="CHAUD","Contacter maintenant",IF(AN39="TIEDE","Surveiller / relancer","Basse priorite"))))</f>
        <v/>
      </c>
      <c r="AQ39" t="inlineStr">
        <is>
          <t>IA_BUDGET_A_VERIFIER</t>
        </is>
      </c>
      <c r="AR39" t="inlineStr">
        <is>
          <t>Verifier le budget dans l'avis source ou le DCE avant decision commerciale.</t>
        </is>
      </c>
      <c r="AS39" t="inlineStr">
        <is>
          <t>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26-61419. Objet: Prestations de mise en propreté et la gestion des déchets du réseau routier national et de ses dépendances gérés par les 4 arrondissements de la DiRIF. Acheteur: Direction régionale et interdépartementale de l'Environnement, de l'Aménagement et des Transports d'Ile-de-France (DRIEAT-IF). Lien: https://www.boamp.fr/pages/avis/?q=idweb:26-61419.</t>
        </is>
      </c>
      <c r="AU39" t="inlineStr">
        <is>
          <t>Verifier url_avis et DCE si disponible</t>
        </is>
      </c>
      <c r="AV39" t="inlineStr"/>
      <c r="AW39" t="inlineStr"/>
      <c r="AX39" t="inlineStr"/>
      <c r="AY39" t="inlineStr"/>
      <c r="AZ39" t="inlineStr"/>
      <c r="BA39" t="inlineStr"/>
      <c r="BB39" t="inlineStr">
        <is>
          <t>+30 mots-cles nettoyage forts | +10 budget non affiche (a verifier) | +10 delai confortable 28j</t>
        </is>
      </c>
      <c r="BC39" t="inlineStr">
        <is>
          <t>Direction régionale et interdépartementale de l'Environnement, de l'Aménagement et des Transports d'Ile-de-France (DRIEAT-IF) publie un AO potentiellement pertinent pour CHRUTH : Prestations de mise en propreté et la gestion des déchets du réseau routier national et de ses dépendances gérés par les 4 arrondissements de la DiRIF. Zone : 75,77,78,91,92,93,94,95. Budget a verifier. Verifier le lien source avant contact.</t>
        </is>
      </c>
      <c r="BD39" t="inlineStr">
        <is>
          <t>Bonjour,
Je me permets de vous contacter au sujet de votre appel d'offres : Prestations de mise en propreté et la gestion des déchets du réseau routier national et de ses dépendances gérés par les 4 arrondissements de la DiRIF.
CHRUTH accompagne les structures publiques et privées sur les besoins de nettoyage, d'entretien des locaux et d'organisation de prestations de service.
Serait-il possible d'échanger rapidement afin de vérifier les modalités de réponse et les attentes de Direction régionale et interdépartementale de l'Environnement, de l'Aménagement et des Transports d'Ile-de-France (DRIEAT-IF) ?
Cordialement,</t>
        </is>
      </c>
      <c r="BE39" t="inlineStr">
        <is>
          <t>Bonjour, je vous appelle concernant un appel d'offres publié par Direction régionale et interdépartementale de l'Environnement, de l'Aménagement et des Transports d'Ile-de-France (DRIEAT-IF). Je souhaite vérifier les informations pratiques : périmètre des prestations, date limite, modalités de visite, contact technique et pièces attendues. Pouvez-vous m'indiquer la bonne personne à contacter ?</t>
        </is>
      </c>
      <c r="BF39" t="inlineStr"/>
      <c r="BG39" t="inlineStr"/>
      <c r="BH39" t="inlineStr"/>
      <c r="BI39" t="inlineStr"/>
      <c r="BJ39" t="inlineStr"/>
      <c r="BK39" t="inlineStr"/>
      <c r="BL39" t="inlineStr"/>
      <c r="BM39" t="inlineStr">
        <is>
          <t>2026-W26</t>
        </is>
      </c>
    </row>
    <row r="40">
      <c r="A40" t="inlineStr">
        <is>
          <t>BOAMP</t>
        </is>
      </c>
      <c r="B40" t="inlineStr">
        <is>
          <t>26-61287</t>
        </is>
      </c>
      <c r="C40" t="inlineStr">
        <is>
          <t>Gestion et entretien des trois aires d'accueil des gens du voyage communautaires</t>
        </is>
      </c>
      <c r="D40" t="inlineStr">
        <is>
          <t>Communauté d'agglomération Plaine Vallée</t>
        </is>
      </c>
      <c r="E40" t="inlineStr">
        <is>
          <t>20005638000013</t>
        </is>
      </c>
      <c r="F40" t="inlineStr">
        <is>
          <t>200056380</t>
        </is>
      </c>
      <c r="G40" t="inlineStr"/>
      <c r="H40" t="inlineStr"/>
      <c r="I40" t="inlineStr">
        <is>
          <t>contact@agglo-plainevallee.fr</t>
        </is>
      </c>
      <c r="J40" t="inlineStr">
        <is>
          <t>0563800001</t>
        </is>
      </c>
      <c r="K40" t="inlineStr"/>
      <c r="L40" t="inlineStr"/>
      <c r="M40" t="inlineStr"/>
      <c r="N40" t="inlineStr">
        <is>
          <t>95</t>
        </is>
      </c>
      <c r="O40" t="inlineStr"/>
      <c r="P40" t="inlineStr">
        <is>
          <t>Ile-de-France</t>
        </is>
      </c>
      <c r="Q40" s="15" t="n">
        <v>46194</v>
      </c>
      <c r="R40" s="15" t="n">
        <v>46225</v>
      </c>
      <c r="S40" t="inlineStr"/>
      <c r="T40" t="inlineStr">
        <is>
          <t>A_VERIFIER_BUDGET</t>
        </is>
      </c>
      <c r="U40" t="inlineStr"/>
      <c r="V40" t="inlineStr">
        <is>
          <t>non</t>
        </is>
      </c>
      <c r="W40" t="inlineStr">
        <is>
          <t>Mixte/Autre</t>
        </is>
      </c>
      <c r="X40" t="inlineStr">
        <is>
          <t>Autre</t>
        </is>
      </c>
      <c r="Y40" t="inlineStr">
        <is>
          <t>SERVICES</t>
        </is>
      </c>
      <c r="Z40" t="inlineStr">
        <is>
          <t>Procédure Ouverte</t>
        </is>
      </c>
      <c r="AA40" t="inlineStr">
        <is>
          <t>Avis de marché</t>
        </is>
      </c>
      <c r="AB40" t="inlineStr">
        <is>
          <t>Prestations de services</t>
        </is>
      </c>
      <c r="AC40" t="inlineStr"/>
      <c r="AD40" s="11" t="inlineStr">
        <is>
          <t>https://www.boamp.fr/pages/avis/?q=idweb:26-61287</t>
        </is>
      </c>
      <c r="AE40" t="inlineStr">
        <is>
          <t>https://www.achatpublic.com/sdm/ent/gen/ent_detail.do?PCSLID=CSL_2026_8zWAXknio-</t>
        </is>
      </c>
      <c r="AF40" t="inlineStr">
        <is>
          <t>https://www.achatpublic.com/sdm/ent/gen/ent_detail.do?PCSLID=CSL_2026_8zWAXknio-</t>
        </is>
      </c>
      <c r="AG40" t="inlineStr">
        <is>
          <t>nettoyage</t>
        </is>
      </c>
      <c r="AH40" t="inlineStr">
        <is>
          <t>3</t>
        </is>
      </c>
      <c r="AI40" t="inlineStr">
        <is>
          <t>68</t>
        </is>
      </c>
      <c r="AJ40" t="inlineStr">
        <is>
          <t>INFO_PARTIELLE</t>
        </is>
      </c>
      <c r="AK40" t="inlineStr">
        <is>
          <t>50</t>
        </is>
      </c>
      <c r="AL40" t="inlineStr">
        <is>
          <t>TIEDE</t>
        </is>
      </c>
      <c r="AM40">
        <f>MIN(100,MAX(0,IF(OR(ISNUMBER(SEARCH("nettoyage",C40)),ISNUMBER(SEARCH("proprete",C40)),ISNUMBER(SEARCH("entretien",C40)),ISNUMBER(SEARCH("hygiene",C40))),35,0)+IF(SUM(--(N40="75")+--(O40="75"),--(N40="77")+--(O40="77"),--(N40="78")+--(O40="78"),--(N40="91")+--(O40="91"),--(N40="92")+--(O40="92"),--(N40="93")+--(O40="93"),--(N40="94")+--(O40="94"),--(N40="95")+--(O40="95"))&gt;0,25,4)+IF(S40="",10,IF(S40&lt;=50000,25,IF(S40&lt;=100000,20,IF(S40&lt;=200000,5,IF(S40&lt;=500000,-10,-20)))))+IF(I40&lt;&gt;"",4,0)+IF(J40&lt;&gt;"",4,0)+IF(E40&lt;&gt;"",3,0)+IF(K40&lt;&gt;"",2,0)+IF(M40&lt;&gt;"",1,0)+IF(AD40&lt;&gt;"",1,0)+IF(R40="",0,IF(R40&lt;TODAY(),-30,IF(R40&lt;TODAY()+5,-15,IF(R40&lt;=TODAY()+15,5,10))))))</f>
        <v/>
      </c>
      <c r="AN40">
        <f>IF(AM40&gt;=65,"CHAUD",IF(AM40&gt;=40,"TIEDE","FROID"))</f>
        <v/>
      </c>
      <c r="AO40">
        <f>IF((IF(I40&lt;&gt;"",1,0)+IF(J40&lt;&gt;"",1,0)+IF(E40&lt;&gt;"",1,0)+IF(K40&lt;&gt;"",1,0))&gt;=4,"Complet",IF((IF(I40&lt;&gt;"",1,0)+IF(J40&lt;&gt;"",1,0)+IF(E40&lt;&gt;"",1,0)+IF(K40&lt;&gt;"",1,0))&gt;=2,"Partiel","Vide"))</f>
        <v/>
      </c>
      <c r="AP40">
        <f>IF(AJ40="DCE_A_TELECHARGER","Telecharger DCE",IF(T40="A_VERIFIER_BUDGET","Verifier budget",IF(AN40="CHAUD","Contacter maintenant",IF(AN40="TIEDE","Surveiller / relancer","Basse priorite"))))</f>
        <v/>
      </c>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26-61287. Objet: Gestion et entretien des trois aires d'accueil des gens du voyage communautaires. Acheteur: Communauté d'agglomération Plaine Vallée. Lien: https://www.boamp.fr/pages/avis/?q=idweb:26-61287.</t>
        </is>
      </c>
      <c r="AU40" t="inlineStr">
        <is>
          <t>Verifier url_avis et DCE si disponible</t>
        </is>
      </c>
      <c r="AV40" t="inlineStr">
        <is>
          <t>LIEN_SEUL</t>
        </is>
      </c>
      <c r="AW40" t="inlineStr"/>
      <c r="AX40" t="inlineStr"/>
      <c r="AY40" t="inlineStr"/>
      <c r="AZ40" t="inlineStr"/>
      <c r="BA40" t="inlineStr"/>
      <c r="BB40" t="inlineStr">
        <is>
          <t>+30 mots-cles nettoyage forts | +10 budget non affiche (a verifier) | +10 delai confortable 19j</t>
        </is>
      </c>
      <c r="BC40" t="inlineStr">
        <is>
          <t>Communauté d'agglomération Plaine Vallée publie un AO potentiellement pertinent pour CHRUTH : Gestion et entretien des trois aires d'accueil des gens du voyage communautaires. Zone : 95. Budget a verifier. Verifier le lien source avant contact.</t>
        </is>
      </c>
      <c r="BD40" t="inlineStr">
        <is>
          <t>Bonjour,
Je me permets de vous contacter au sujet de votre appel d'offres : Gestion et entretien des trois aires d'accueil des gens du voyage communautaires.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Plaine Vallée ?
Cordialement,</t>
        </is>
      </c>
      <c r="BE40" t="inlineStr">
        <is>
          <t>Bonjour, je vous appelle concernant un appel d'offres publié par Communauté d'agglomération Plaine Vallée. Je souhaite vérifier les informations pratiques : périmètre des prestations, date limite, modalités de visite, contact technique et pièces attendues. Pouvez-vous m'indiquer la bonne personne à contacter ?</t>
        </is>
      </c>
      <c r="BF40" t="inlineStr"/>
      <c r="BG40" t="inlineStr"/>
      <c r="BH40" t="inlineStr"/>
      <c r="BI40" t="inlineStr"/>
      <c r="BJ40" t="inlineStr"/>
      <c r="BK40" t="inlineStr"/>
      <c r="BL40" t="inlineStr"/>
      <c r="BM40" t="inlineStr">
        <is>
          <t>2026-W25</t>
        </is>
      </c>
    </row>
    <row r="41">
      <c r="A41" t="inlineStr">
        <is>
          <t>BOAMP</t>
        </is>
      </c>
      <c r="B41" t="inlineStr">
        <is>
          <t>26-57313</t>
        </is>
      </c>
      <c r="C41" t="inlineStr">
        <is>
          <t>Entretien des toitures et des terrasses des sites : H. MONDOR – A. CHENEVIER – E. ROUX – DUPUYTREN – G. CLEMENCEAU</t>
        </is>
      </c>
      <c r="D41" t="inlineStr">
        <is>
          <t>Hopitaux Universitaires Henri Mondor</t>
        </is>
      </c>
      <c r="E41" t="inlineStr">
        <is>
          <t>26750045200557</t>
        </is>
      </c>
      <c r="F41" t="inlineStr">
        <is>
          <t>267500452</t>
        </is>
      </c>
      <c r="G41" t="inlineStr"/>
      <c r="H41" t="inlineStr"/>
      <c r="I41" t="inlineStr">
        <is>
          <t>eddy-pierrick.nsana@aphp.fr</t>
        </is>
      </c>
      <c r="J41" t="inlineStr">
        <is>
          <t>0145178465</t>
        </is>
      </c>
      <c r="K41" t="inlineStr"/>
      <c r="L41" t="inlineStr"/>
      <c r="M41" t="inlineStr"/>
      <c r="N41" t="inlineStr">
        <is>
          <t>75,77,78,91,92,93,94,95</t>
        </is>
      </c>
      <c r="O41" t="inlineStr"/>
      <c r="P41" t="inlineStr">
        <is>
          <t>Ile-de-France</t>
        </is>
      </c>
      <c r="Q41" s="15" t="n">
        <v>46185</v>
      </c>
      <c r="R41" s="15" t="n">
        <v>46219</v>
      </c>
      <c r="S41" t="inlineStr"/>
      <c r="T41" t="inlineStr">
        <is>
          <t>A_VERIFIER_BUDGET</t>
        </is>
      </c>
      <c r="U41" t="inlineStr"/>
      <c r="V41" t="inlineStr">
        <is>
          <t>non</t>
        </is>
      </c>
      <c r="W41" t="inlineStr">
        <is>
          <t>Mixte/Autre</t>
        </is>
      </c>
      <c r="X41" t="inlineStr">
        <is>
          <t>Autre</t>
        </is>
      </c>
      <c r="Y41" t="inlineStr">
        <is>
          <t>SERVICES</t>
        </is>
      </c>
      <c r="Z41" t="inlineStr">
        <is>
          <t>Procédure Ouverte</t>
        </is>
      </c>
      <c r="AA41" t="inlineStr">
        <is>
          <t>Avis de marché</t>
        </is>
      </c>
      <c r="AB41" t="inlineStr">
        <is>
          <t>Terrasse</t>
        </is>
      </c>
      <c r="AC41" t="inlineStr">
        <is>
          <t>['environnementaux']</t>
        </is>
      </c>
      <c r="AD41" s="11" t="inlineStr">
        <is>
          <t>https://www.boamp.fr/pages/avis/?q=idweb:26-57313</t>
        </is>
      </c>
      <c r="AE41" t="inlineStr">
        <is>
          <t>https://www.marches-publics.gouv.fr/?page=Entreprise.EntrepriseAdvancedSearch&amp;AllCons&amp;id=3014984&amp;orgAcronyme=x7c</t>
        </is>
      </c>
      <c r="AF41" t="inlineStr">
        <is>
          <t>https://www.marches-publics.gouv.fr/?page=Entreprise.EntrepriseAdvancedSearch&amp;AllCons&amp;id=3014984&amp;orgAcronyme=x7c</t>
        </is>
      </c>
      <c r="AG41" t="inlineStr">
        <is>
          <t>nettoyage</t>
        </is>
      </c>
      <c r="AH41" t="inlineStr">
        <is>
          <t>3</t>
        </is>
      </c>
      <c r="AI41" t="inlineStr">
        <is>
          <t>68</t>
        </is>
      </c>
      <c r="AJ41" t="inlineStr">
        <is>
          <t>INFO_PARTIELLE</t>
        </is>
      </c>
      <c r="AK41" t="inlineStr">
        <is>
          <t>50</t>
        </is>
      </c>
      <c r="AL41" t="inlineStr">
        <is>
          <t>TIEDE</t>
        </is>
      </c>
      <c r="AM41">
        <f>MIN(100,MAX(0,IF(OR(ISNUMBER(SEARCH("nettoyage",C41)),ISNUMBER(SEARCH("proprete",C41)),ISNUMBER(SEARCH("entretien",C41)),ISNUMBER(SEARCH("hygiene",C41))),35,0)+IF(SUM(--(N41="75")+--(O41="75"),--(N41="77")+--(O41="77"),--(N41="78")+--(O41="78"),--(N41="91")+--(O41="91"),--(N41="92")+--(O41="92"),--(N41="93")+--(O41="93"),--(N41="94")+--(O41="94"),--(N41="95")+--(O41="95"))&gt;0,25,4)+IF(S41="",10,IF(S41&lt;=50000,25,IF(S41&lt;=100000,20,IF(S41&lt;=200000,5,IF(S41&lt;=500000,-10,-20)))))+IF(I41&lt;&gt;"",4,0)+IF(J41&lt;&gt;"",4,0)+IF(E41&lt;&gt;"",3,0)+IF(K41&lt;&gt;"",2,0)+IF(M41&lt;&gt;"",1,0)+IF(AD41&lt;&gt;"",1,0)+IF(R41="",0,IF(R41&lt;TODAY(),-30,IF(R41&lt;TODAY()+5,-15,IF(R41&lt;=TODAY()+15,5,10))))))</f>
        <v/>
      </c>
      <c r="AN41">
        <f>IF(AM41&gt;=65,"CHAUD",IF(AM41&gt;=40,"TIEDE","FROID"))</f>
        <v/>
      </c>
      <c r="AO41">
        <f>IF((IF(I41&lt;&gt;"",1,0)+IF(J41&lt;&gt;"",1,0)+IF(E41&lt;&gt;"",1,0)+IF(K41&lt;&gt;"",1,0))&gt;=4,"Complet",IF((IF(I41&lt;&gt;"",1,0)+IF(J41&lt;&gt;"",1,0)+IF(E41&lt;&gt;"",1,0)+IF(K41&lt;&gt;"",1,0))&gt;=2,"Partiel","Vide"))</f>
        <v/>
      </c>
      <c r="AP41">
        <f>IF(AJ41="DCE_A_TELECHARGER","Telecharger DCE",IF(T41="A_VERIFIER_BUDGET","Verifier budget",IF(AN41="CHAUD","Contacter maintenant",IF(AN41="TIEDE","Surveiller / relancer","Basse priorite"))))</f>
        <v/>
      </c>
      <c r="AQ41" t="inlineStr">
        <is>
          <t>IA_BUDGET_A_VERIFIER</t>
        </is>
      </c>
      <c r="AR41" t="inlineStr">
        <is>
          <t>Verifier le budget dans l'avis source ou le DCE avant decision commerciale.</t>
        </is>
      </c>
      <c r="AS41" t="inlineStr">
        <is>
          <t>adresse, ville, budget</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26-57313. Objet: Entretien des toitures et des terrasses des sites : H. MONDOR – A. CHENEVIER – E. ROUX – DUPUYTREN – G. CLEMENCEAU. Acheteur: Hopitaux Universitaires Henri Mondor. Lien: https://www.boamp.fr/pages/avis/?q=idweb:26-57313.</t>
        </is>
      </c>
      <c r="AU41" t="inlineStr">
        <is>
          <t>Verifier url_avis et DCE si disponible</t>
        </is>
      </c>
      <c r="AV41" t="inlineStr">
        <is>
          <t>LIEN_SEUL</t>
        </is>
      </c>
      <c r="AW41" t="inlineStr"/>
      <c r="AX41" t="inlineStr"/>
      <c r="AY41" t="inlineStr"/>
      <c r="AZ41" t="inlineStr"/>
      <c r="BA41" t="inlineStr"/>
      <c r="BB41" t="inlineStr">
        <is>
          <t>+30 mots-cles nettoyage forts | +10 budget non affiche (a verifier) | +10 delai confortable 24j</t>
        </is>
      </c>
      <c r="BC41" t="inlineStr">
        <is>
          <t>Hopitaux Universitaires Henri Mondor publie un AO potentiellement pertinent pour CHRUTH : Entretien des toitures et des terrasses des sites : H. MONDOR – A. CHENEVIER – E. ROUX – DUPUYTREN – G. CLEMENCEAU. Zone : 75,77,78,91,92,93,94,95. Budget a verifier. Verifier le lien source avant contact.</t>
        </is>
      </c>
      <c r="BD41" t="inlineStr">
        <is>
          <t>Bonjour,
Je me permets de vous contacter au sujet de votre appel d'offres : Entretien des toitures et des terrasses des sites : H. MONDOR – A. CHENEVIER – E. ROUX – DUPUYTREN – G. CLEMENCEAU.
CHRUTH accompagne les structures publiques et privees sur les besoins de nettoyage, d'entretien des locaux et d'organisation de prestations de service.
Serait-il possible d'echanger rapidement afin de verifier les modalites de reponse et les attentes de Hopitaux Universitaires Henri Mondor ?
Cordialement,</t>
        </is>
      </c>
      <c r="BE41" t="inlineStr">
        <is>
          <t>Bonjour, je vous appelle concernant un appel d'offres publie par Hopitaux Universitaires Henri Mondor. Je souhaite verifier les informations pratiques : perimetre des prestations, date limite, modalites de visite, contact technique et pieces attendues. Pouvez-vous m'indiquer la bonne personne a contacter ?</t>
        </is>
      </c>
      <c r="BF41" t="inlineStr"/>
      <c r="BG41" t="inlineStr"/>
      <c r="BH41" t="inlineStr"/>
      <c r="BI41" t="inlineStr"/>
      <c r="BJ41" t="inlineStr"/>
      <c r="BK41" t="inlineStr"/>
      <c r="BL41" t="inlineStr"/>
      <c r="BM41" t="inlineStr">
        <is>
          <t>2026-W24</t>
        </is>
      </c>
    </row>
    <row r="42">
      <c r="A42" t="inlineStr">
        <is>
          <t>BOAMP</t>
        </is>
      </c>
      <c r="B42" t="inlineStr">
        <is>
          <t>26-56245</t>
        </is>
      </c>
      <c r="C42" t="inlineStr">
        <is>
          <t>PRESTATION DE NETTOYAGE DES LOCAUX DU CREPS ÎLE-DE-FRANCE</t>
        </is>
      </c>
      <c r="D42" t="inlineStr">
        <is>
          <t>CREPS Île-de-France</t>
        </is>
      </c>
      <c r="E42" t="inlineStr">
        <is>
          <t>19921619300037</t>
        </is>
      </c>
      <c r="F42" t="inlineStr">
        <is>
          <t>199216193</t>
        </is>
      </c>
      <c r="G42" t="inlineStr"/>
      <c r="H42" t="inlineStr"/>
      <c r="I42" t="inlineStr">
        <is>
          <t>accueil@creps-idf.fr</t>
        </is>
      </c>
      <c r="J42" t="inlineStr">
        <is>
          <t>+33 141872030</t>
        </is>
      </c>
      <c r="K42" t="inlineStr"/>
      <c r="L42" t="inlineStr"/>
      <c r="M42" t="inlineStr"/>
      <c r="N42" t="inlineStr">
        <is>
          <t>92</t>
        </is>
      </c>
      <c r="O42" t="inlineStr"/>
      <c r="P42" t="inlineStr">
        <is>
          <t>Ile-de-France</t>
        </is>
      </c>
      <c r="Q42" s="15" t="n">
        <v>46182</v>
      </c>
      <c r="R42" s="15" t="n">
        <v>46205</v>
      </c>
      <c r="S42" t="inlineStr"/>
      <c r="T42" t="inlineStr">
        <is>
          <t>A_VERIFIER_BUDGET</t>
        </is>
      </c>
      <c r="U42" t="inlineStr"/>
      <c r="V42" t="inlineStr">
        <is>
          <t>non</t>
        </is>
      </c>
      <c r="W42" t="inlineStr">
        <is>
          <t>Vitres</t>
        </is>
      </c>
      <c r="X42" t="inlineStr">
        <is>
          <t>Autre</t>
        </is>
      </c>
      <c r="Y42" t="inlineStr">
        <is>
          <t>SERVICES</t>
        </is>
      </c>
      <c r="Z42" t="inlineStr">
        <is>
          <t>Procédure Ouverte</t>
        </is>
      </c>
      <c r="AA42" t="inlineStr">
        <is>
          <t>Avis de marché</t>
        </is>
      </c>
      <c r="AB42" t="inlineStr">
        <is>
          <t>Nettoyage de locaux</t>
        </is>
      </c>
      <c r="AC42" t="inlineStr"/>
      <c r="AD42" s="11" t="inlineStr">
        <is>
          <t>https://www.boamp.fr/pages/avis/?q=idweb:26-56245</t>
        </is>
      </c>
      <c r="AE42" t="inlineStr">
        <is>
          <t>https://marches.maximilien.fr/entreprise/consultation/940630?orgAcronyme=a0t</t>
        </is>
      </c>
      <c r="AF42" t="inlineStr">
        <is>
          <t>https://marches.maximilien.fr/entreprise/consultation/940630?orgAcronyme=a0t</t>
        </is>
      </c>
      <c r="AG42" t="inlineStr">
        <is>
          <t>nettoyage</t>
        </is>
      </c>
      <c r="AH42" t="inlineStr">
        <is>
          <t>3</t>
        </is>
      </c>
      <c r="AI42" t="inlineStr">
        <is>
          <t>68</t>
        </is>
      </c>
      <c r="AJ42" t="inlineStr">
        <is>
          <t>INFO_PARTIELLE</t>
        </is>
      </c>
      <c r="AK42" t="inlineStr">
        <is>
          <t>50</t>
        </is>
      </c>
      <c r="AL42" t="inlineStr">
        <is>
          <t>TIEDE</t>
        </is>
      </c>
      <c r="AM42">
        <f>MIN(100,MAX(0,IF(OR(ISNUMBER(SEARCH("nettoyage",C42)),ISNUMBER(SEARCH("proprete",C42)),ISNUMBER(SEARCH("entretien",C42)),ISNUMBER(SEARCH("hygiene",C42))),35,0)+IF(SUM(--(N42="75")+--(O42="75"),--(N42="77")+--(O42="77"),--(N42="78")+--(O42="78"),--(N42="91")+--(O42="91"),--(N42="92")+--(O42="92"),--(N42="93")+--(O42="93"),--(N42="94")+--(O42="94"),--(N42="95")+--(O42="95"))&gt;0,25,4)+IF(S42="",10,IF(S42&lt;=50000,25,IF(S42&lt;=100000,20,IF(S42&lt;=200000,5,IF(S42&lt;=500000,-10,-20)))))+IF(I42&lt;&gt;"",4,0)+IF(J42&lt;&gt;"",4,0)+IF(E42&lt;&gt;"",3,0)+IF(K42&lt;&gt;"",2,0)+IF(M42&lt;&gt;"",1,0)+IF(AD42&lt;&gt;"",1,0)+IF(R42="",0,IF(R42&lt;TODAY(),-30,IF(R42&lt;TODAY()+5,-15,IF(R42&lt;=TODAY()+15,5,10))))))</f>
        <v/>
      </c>
      <c r="AN42">
        <f>IF(AM42&gt;=65,"CHAUD",IF(AM42&gt;=40,"TIEDE","FROID"))</f>
        <v/>
      </c>
      <c r="AO42">
        <f>IF((IF(I42&lt;&gt;"",1,0)+IF(J42&lt;&gt;"",1,0)+IF(E42&lt;&gt;"",1,0)+IF(K42&lt;&gt;"",1,0))&gt;=4,"Complet",IF((IF(I42&lt;&gt;"",1,0)+IF(J42&lt;&gt;"",1,0)+IF(E42&lt;&gt;"",1,0)+IF(K42&lt;&gt;"",1,0))&gt;=2,"Partiel","Vide"))</f>
        <v/>
      </c>
      <c r="AP42">
        <f>IF(AJ42="DCE_A_TELECHARGER","Telecharger DCE",IF(T42="A_VERIFIER_BUDGET","Verifier budget",IF(AN42="CHAUD","Contacter maintenant",IF(AN42="TIEDE","Surveiller / relancer","Basse priorite"))))</f>
        <v/>
      </c>
      <c r="AQ42" t="inlineStr">
        <is>
          <t>IA_BUDGET_A_VERIFIER</t>
        </is>
      </c>
      <c r="AR42" t="inlineStr">
        <is>
          <t>Verifier le budget dans l'avis source ou le DCE avant decision commerciale.</t>
        </is>
      </c>
      <c r="AS42" t="inlineStr">
        <is>
          <t>adresse, ville, budget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26-56245. Objet: PRESTATION DE NETTOYAGE DES LOCAUX DU CREPS ÎLE-DE-FRANCE. Acheteur: CREPS Île-de-France. Lien: https://www.boamp.fr/pages/avis/?q=idweb:26-56245.</t>
        </is>
      </c>
      <c r="AU42" t="inlineStr">
        <is>
          <t>Verifier url_avis et DCE si disponible</t>
        </is>
      </c>
      <c r="AV42" t="inlineStr">
        <is>
          <t>LIEN_SEUL</t>
        </is>
      </c>
      <c r="AW42" t="inlineStr"/>
      <c r="AX42" t="inlineStr"/>
      <c r="AY42" t="inlineStr"/>
      <c r="AZ42" t="inlineStr"/>
      <c r="BA42" t="inlineStr"/>
      <c r="BB42" t="inlineStr">
        <is>
          <t>+35 nettoyage + categorie claire | +10 budget non affiche (a verifier) | +5 delai court 10j</t>
        </is>
      </c>
      <c r="BC42" t="inlineStr">
        <is>
          <t>CREPS Île-de-France publie un AO potentiellement pertinent pour CHRUTH : PRESTATION DE NETTOYAGE DES LOCAUX DU CREPS ÎLE-DE-FRANCE. Zone : 92. Budget a verifier. Verifier le lien source avant contact.</t>
        </is>
      </c>
      <c r="BD42" t="inlineStr">
        <is>
          <t>Bonjour,
Je me permets de vous contacter au sujet de votre appel d'offres : PRESTATION DE NETTOYAGE DES LOCAUX DU CREPS ÎLE-DE-FRANCE.
CHRUTH accompagne les structures publiques et privees sur les besoins de nettoyage, d'entretien des locaux et d'organisation de prestations de service.
Serait-il possible d'echanger rapidement afin de verifier les modalites de reponse et les attentes de CREPS Île-de-France ?
Cordialement,</t>
        </is>
      </c>
      <c r="BE42" t="inlineStr">
        <is>
          <t>Bonjour, je vous appelle concernant un appel d'offres publie par CREPS Île-de-France. Je souhaite verifier les informations pratiques : perimetre des prestations, date limite, modalites de visite, contact technique et pieces attendues. Pouvez-vous m'indiquer la bonne personne a contacter ?</t>
        </is>
      </c>
      <c r="BF42" t="inlineStr"/>
      <c r="BG42" t="inlineStr"/>
      <c r="BH42" t="inlineStr"/>
      <c r="BI42" t="inlineStr"/>
      <c r="BJ42" t="inlineStr"/>
      <c r="BK42" t="inlineStr"/>
      <c r="BL42" t="inlineStr"/>
      <c r="BM42" t="inlineStr">
        <is>
          <t>2026-W24</t>
        </is>
      </c>
    </row>
    <row r="43">
      <c r="A43" t="inlineStr">
        <is>
          <t>BOAMP</t>
        </is>
      </c>
      <c r="B43" t="inlineStr">
        <is>
          <t>26-55238</t>
        </is>
      </c>
      <c r="C43" t="inlineStr">
        <is>
          <t>Nettoyage des locaux et des vitres des bâtiments scolaires, communaux et sportifs de la Ville de Poissy (3 lots)</t>
        </is>
      </c>
      <c r="D43" t="inlineStr">
        <is>
          <t>Ville de Poissy</t>
        </is>
      </c>
      <c r="E43" t="inlineStr">
        <is>
          <t>17780005900012</t>
        </is>
      </c>
      <c r="F43" t="inlineStr">
        <is>
          <t>177800059</t>
        </is>
      </c>
      <c r="G43" t="inlineStr"/>
      <c r="H43" t="inlineStr"/>
      <c r="I43" t="inlineStr">
        <is>
          <t>greffe.ta-versailles@juradm.fr</t>
        </is>
      </c>
      <c r="J43" t="inlineStr">
        <is>
          <t>0139205400</t>
        </is>
      </c>
      <c r="K43" t="inlineStr"/>
      <c r="L43" t="inlineStr"/>
      <c r="M43" t="inlineStr"/>
      <c r="N43" t="inlineStr">
        <is>
          <t>78</t>
        </is>
      </c>
      <c r="O43" t="inlineStr"/>
      <c r="P43" t="inlineStr">
        <is>
          <t>Ile-de-France</t>
        </is>
      </c>
      <c r="Q43" s="15" t="n">
        <v>46179</v>
      </c>
      <c r="R43" s="15" t="n">
        <v>46209</v>
      </c>
      <c r="S43" s="14" t="n">
        <v>3000000</v>
      </c>
      <c r="T43" t="inlineStr">
        <is>
          <t>BUDGET_EXPLICITE_OK</t>
        </is>
      </c>
      <c r="U43" t="inlineStr">
        <is>
          <t>3000000</t>
        </is>
      </c>
      <c r="V43" t="inlineStr">
        <is>
          <t>oui</t>
        </is>
      </c>
      <c r="W43" t="inlineStr">
        <is>
          <t>Vitres</t>
        </is>
      </c>
      <c r="X43" t="inlineStr">
        <is>
          <t>Mairie</t>
        </is>
      </c>
      <c r="Y43" t="inlineStr">
        <is>
          <t>SERVICES</t>
        </is>
      </c>
      <c r="Z43" t="inlineStr">
        <is>
          <t>Procédure Ouverte</t>
        </is>
      </c>
      <c r="AA43" t="inlineStr">
        <is>
          <t>Avis de marché</t>
        </is>
      </c>
      <c r="AB43" t="inlineStr">
        <is>
          <t>Nettoyage de locaux</t>
        </is>
      </c>
      <c r="AC43" t="inlineStr">
        <is>
          <t>['sociaux', 'environnementaux']</t>
        </is>
      </c>
      <c r="AD43" s="11" t="inlineStr">
        <is>
          <t>https://www.boamp.fr/pages/avis/?q=idweb:26-55238</t>
        </is>
      </c>
      <c r="AE43" t="inlineStr">
        <is>
          <t>https://www.achatpublic.com/sdm/ent/gen/index.do</t>
        </is>
      </c>
      <c r="AF43" t="inlineStr">
        <is>
          <t>https://www.achatpublic.com/sdm/ent/gen/index.do</t>
        </is>
      </c>
      <c r="AG43" t="inlineStr">
        <is>
          <t>nettoyage</t>
        </is>
      </c>
      <c r="AH43" t="inlineStr">
        <is>
          <t>3</t>
        </is>
      </c>
      <c r="AI43" t="inlineStr">
        <is>
          <t>68</t>
        </is>
      </c>
      <c r="AJ43" t="inlineStr">
        <is>
          <t>INFO_PARTIELLE</t>
        </is>
      </c>
      <c r="AK43" t="inlineStr">
        <is>
          <t>50</t>
        </is>
      </c>
      <c r="AL43" t="inlineStr">
        <is>
          <t>TIEDE</t>
        </is>
      </c>
      <c r="AM43">
        <f>MIN(100,MAX(0,IF(OR(ISNUMBER(SEARCH("nettoyage",C43)),ISNUMBER(SEARCH("proprete",C43)),ISNUMBER(SEARCH("entretien",C43)),ISNUMBER(SEARCH("hygiene",C43))),35,0)+IF(SUM(--(N43="75")+--(O43="75"),--(N43="77")+--(O43="77"),--(N43="78")+--(O43="78"),--(N43="91")+--(O43="91"),--(N43="92")+--(O43="92"),--(N43="93")+--(O43="93"),--(N43="94")+--(O43="94"),--(N43="95")+--(O43="95"))&gt;0,25,4)+IF(S43="",10,IF(S43&lt;=50000,25,IF(S43&lt;=100000,20,IF(S43&lt;=200000,5,IF(S43&lt;=500000,-10,-20)))))+IF(I43&lt;&gt;"",4,0)+IF(J43&lt;&gt;"",4,0)+IF(E43&lt;&gt;"",3,0)+IF(K43&lt;&gt;"",2,0)+IF(M43&lt;&gt;"",1,0)+IF(AD43&lt;&gt;"",1,0)+IF(R43="",0,IF(R43&lt;TODAY(),-30,IF(R43&lt;TODAY()+5,-15,IF(R43&lt;=TODAY()+15,5,10))))))</f>
        <v/>
      </c>
      <c r="AN43">
        <f>IF(AM43&gt;=65,"CHAUD",IF(AM43&gt;=40,"TIEDE","FROID"))</f>
        <v/>
      </c>
      <c r="AO43">
        <f>IF((IF(I43&lt;&gt;"",1,0)+IF(J43&lt;&gt;"",1,0)+IF(E43&lt;&gt;"",1,0)+IF(K43&lt;&gt;"",1,0))&gt;=4,"Complet",IF((IF(I43&lt;&gt;"",1,0)+IF(J43&lt;&gt;"",1,0)+IF(E43&lt;&gt;"",1,0)+IF(K43&lt;&gt;"",1,0))&gt;=2,"Partiel","Vide"))</f>
        <v/>
      </c>
      <c r="AP43">
        <f>IF(AJ43="DCE_A_TELECHARGER","Telecharger DCE",IF(T43="A_VERIFIER_BUDGET","Verifier budget",IF(AN43="CHAUD","Contacter maintenant",IF(AN43="TIEDE","Surveiller / relancer","Basse priorite"))))</f>
        <v/>
      </c>
      <c r="AQ43" t="inlineStr">
        <is>
          <t>IA_CONTACT_A_COMPLETER</t>
        </is>
      </c>
      <c r="AR43" t="inlineStr">
        <is>
          <t>Completer les champs manquants depuis l'avis source, le site acheteur ou le DCE.</t>
        </is>
      </c>
      <c r="AS43" t="inlineStr">
        <is>
          <t>adresse, ville</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26-55238. Objet: Nettoyage des locaux et des vitres des bâtiments scolaires, communaux et sportifs de la Ville de Poissy (3 lots). Acheteur: Ville de Poissy. Lien: https://www.boamp.fr/pages/avis/?q=idweb:26-55238.</t>
        </is>
      </c>
      <c r="AU43" t="inlineStr">
        <is>
          <t>Verifier url_avis et DCE si disponible</t>
        </is>
      </c>
      <c r="AV43" t="inlineStr"/>
      <c r="AW43" t="inlineStr"/>
      <c r="AX43" t="inlineStr"/>
      <c r="AY43" t="inlineStr"/>
      <c r="AZ43" t="inlineStr"/>
      <c r="BA43" t="inlineStr"/>
      <c r="BB43" t="inlineStr">
        <is>
          <t>+35 nettoyage + categorie claire | -20 gros budget (&gt; 500 000 EUR) | +15 procedure adaptee / MAPA / allotissement | +10 secteur cible Mairie | +10 delai confortable 16j</t>
        </is>
      </c>
      <c r="BC43" t="inlineStr">
        <is>
          <t>Ville de Poissy publie un AO potentiellement pertinent pour CHRUTH : Nettoyage des locaux et des vitres des bâtiments scolaires, communaux et sportifs de la Ville de Poissy (3 lots). Zone : 78. Budget detecte environ 3 000 000 EUR. Verifier le lien source avant contact.</t>
        </is>
      </c>
      <c r="BD43" t="inlineStr">
        <is>
          <t>Bonjour,
Je me permets de vous contacter au sujet de votre appel d'offres : Nettoyage des locaux et des vitres des bâtiments scolaires, communaux et sportifs de la Ville de Poissy (3 lots).
CHRUTH accompagne les structures publiques et privees sur les besoins de nettoyage, d'entretien des locaux et d'organisation de prestations de service.
Serait-il possible d'echanger rapidement afin de verifier les modalites de reponse et les attentes de Ville de Poissy ?
Cordialement,</t>
        </is>
      </c>
      <c r="BE43" t="inlineStr">
        <is>
          <t>Bonjour, je vous appelle concernant un appel d'offres publie par Ville de Poissy. Je souhaite verifier les informations pratiques : perimetre des prestations, date limite, modalites de visite, contact technique et pieces attendues. Pouvez-vous m'indiquer la bonne personne a contacter ?</t>
        </is>
      </c>
      <c r="BF43" t="inlineStr"/>
      <c r="BG43" t="inlineStr"/>
      <c r="BH43" t="inlineStr"/>
      <c r="BI43" t="inlineStr"/>
      <c r="BJ43" t="inlineStr"/>
      <c r="BK43" t="inlineStr"/>
      <c r="BL43" t="inlineStr"/>
      <c r="BM43" t="inlineStr">
        <is>
          <t>2026-W23</t>
        </is>
      </c>
    </row>
    <row r="44">
      <c r="A44" t="inlineStr">
        <is>
          <t>MAXIMILIEN</t>
        </is>
      </c>
      <c r="B44" t="inlineStr">
        <is>
          <t>MX-b6801bdc5d3e</t>
        </is>
      </c>
      <c r="C44" t="inlineStr">
        <is>
          <t>CHRUTH - 1 nouveaux AO nettoyage IDF =?utf-8?q?=28apr=C3=A8s-midi?=
 05/07)</t>
        </is>
      </c>
      <c r="D44" t="inlineStr">
        <is>
          <t>Epms Fondation Hardy</t>
        </is>
      </c>
      <c r="E44" t="inlineStr"/>
      <c r="F44" t="inlineStr"/>
      <c r="G44" t="inlineStr"/>
      <c r="H44" t="inlineStr"/>
      <c r="I44" t="inlineStr"/>
      <c r="J44" t="inlineStr"/>
      <c r="K44" t="inlineStr"/>
      <c r="L44" t="inlineStr"/>
      <c r="M44" t="inlineStr"/>
      <c r="N44" t="inlineStr"/>
      <c r="O44" t="inlineStr"/>
      <c r="P44" t="inlineStr"/>
      <c r="Q44" s="15" t="n">
        <v>46208</v>
      </c>
      <c r="R44" t="inlineStr"/>
      <c r="S44" t="inlineStr"/>
      <c r="T44" t="inlineStr">
        <is>
          <t>A_VERIFIER_BUDGET</t>
        </is>
      </c>
      <c r="U44" t="inlineStr"/>
      <c r="V44" t="inlineStr"/>
      <c r="W44" t="inlineStr">
        <is>
          <t>Batiments/Locaux</t>
        </is>
      </c>
      <c r="X44" t="inlineStr">
        <is>
          <t>Autre</t>
        </is>
      </c>
      <c r="Y44" t="inlineStr"/>
      <c r="Z44" t="inlineStr"/>
      <c r="AA44" t="inlineStr"/>
      <c r="AB44" t="inlineStr"/>
      <c r="AC44" t="inlineStr"/>
      <c r="AD44" s="11" t="inlineStr">
        <is>
          <t>https://marches.maximilien.fr/entreprise/consultation/942574?orgAcronyme=a1i</t>
        </is>
      </c>
      <c r="AE44" t="inlineStr">
        <is>
          <t>https://marches.maximilien.fr/entreprise/consultation/942574?orgAcronyme=a1i</t>
        </is>
      </c>
      <c r="AF44" t="inlineStr"/>
      <c r="AG44" t="inlineStr">
        <is>
          <t>nettoyage</t>
        </is>
      </c>
      <c r="AH44" t="inlineStr"/>
      <c r="AI44" t="inlineStr">
        <is>
          <t>30</t>
        </is>
      </c>
      <c r="AJ44" t="inlineStr">
        <is>
          <t>DCE_A_TELECHARGER</t>
        </is>
      </c>
      <c r="AK44" t="inlineStr">
        <is>
          <t>45</t>
        </is>
      </c>
      <c r="AL44" s="16" t="inlineStr">
        <is>
          <t>A_VERIFIER</t>
        </is>
      </c>
      <c r="AM44">
        <f>MIN(100,MAX(0,IF(OR(ISNUMBER(SEARCH("nettoyage",C44)),ISNUMBER(SEARCH("proprete",C44)),ISNUMBER(SEARCH("entretien",C44)),ISNUMBER(SEARCH("hygiene",C44))),35,0)+IF(SUM(--(N44="75")+--(O44="75"),--(N44="77")+--(O44="77"),--(N44="78")+--(O44="78"),--(N44="91")+--(O44="91"),--(N44="92")+--(O44="92"),--(N44="93")+--(O44="93"),--(N44="94")+--(O44="94"),--(N44="95")+--(O44="95"))&gt;0,25,4)+IF(S44="",10,IF(S44&lt;=50000,25,IF(S44&lt;=100000,20,IF(S44&lt;=200000,5,IF(S44&lt;=500000,-10,-20)))))+IF(I44&lt;&gt;"",4,0)+IF(J44&lt;&gt;"",4,0)+IF(E44&lt;&gt;"",3,0)+IF(K44&lt;&gt;"",2,0)+IF(M44&lt;&gt;"",1,0)+IF(AD44&lt;&gt;"",1,0)+IF(R44="",0,IF(R44&lt;TODAY(),-30,IF(R44&lt;TODAY()+5,-15,IF(R44&lt;=TODAY()+15,5,10))))))</f>
        <v/>
      </c>
      <c r="AN44">
        <f>IF(AM44&gt;=65,"CHAUD",IF(AM44&gt;=40,"TIEDE","FROID"))</f>
        <v/>
      </c>
      <c r="AO44">
        <f>IF((IF(I44&lt;&gt;"",1,0)+IF(J44&lt;&gt;"",1,0)+IF(E44&lt;&gt;"",1,0)+IF(K44&lt;&gt;"",1,0))&gt;=4,"Complet",IF((IF(I44&lt;&gt;"",1,0)+IF(J44&lt;&gt;"",1,0)+IF(E44&lt;&gt;"",1,0)+IF(K44&lt;&gt;"",1,0))&gt;=2,"Partiel","Vide"))</f>
        <v/>
      </c>
      <c r="AP44">
        <f>IF(AJ44="DCE_A_TELECHARGER","Telecharger DCE",IF(T44="A_VERIFIER_BUDGET","Verifier budget",IF(AN44="CHAUD","Contacter maintenant",IF(AN44="TIEDE","Surveiller / relancer","Basse priorite"))))</f>
        <v/>
      </c>
      <c r="AQ44" t="inlineStr">
        <is>
          <t>IA_DCE_REQUISE</t>
        </is>
      </c>
      <c r="AR44" t="inlineStr">
        <is>
          <t>Telecharger ou ouvrir le DCE, puis extraire contact, budget, perimetre et contraintes.</t>
        </is>
      </c>
      <c r="AS44" t="inlineStr">
        <is>
          <t>SIRET, email, telephone, adresse, ville, budget</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MX-b6801bdc5d3e. Objet: CHRUTH - 1 nouveaux AO nettoyage IDF =?utf-8?q?=28apr=C3=A8s-midi?=
 05/07). Acheteur: Epms Fondation Hardy. Lien: https://marches.maximilien.fr/entreprise/consultation/942574?orgAcronyme=a1i.</t>
        </is>
      </c>
      <c r="AU44" t="inlineStr">
        <is>
          <t>Verifier url_avis et DCE si disponible</t>
        </is>
      </c>
      <c r="AV44" t="inlineStr">
        <is>
          <t>LIEN_SEUL</t>
        </is>
      </c>
      <c r="AW44" t="inlineStr"/>
      <c r="AX44" t="inlineStr"/>
      <c r="AY44" t="inlineStr"/>
      <c r="AZ44" t="inlineStr"/>
      <c r="BA44" t="inlineStr"/>
      <c r="BB44" t="inlineStr">
        <is>
          <t>+35 nettoyage + categorie claire | +10 budget non affiche (a verifier) | 0 date limite absente</t>
        </is>
      </c>
      <c r="BC44" t="inlineStr"/>
      <c r="BD44" t="inlineStr"/>
      <c r="BE44" t="inlineStr"/>
      <c r="BF44" t="inlineStr"/>
      <c r="BG44" t="inlineStr"/>
      <c r="BH44" t="inlineStr"/>
      <c r="BI44" t="inlineStr"/>
      <c r="BJ44" t="inlineStr"/>
      <c r="BK44" t="inlineStr"/>
      <c r="BL44" t="inlineStr"/>
      <c r="BM44" t="inlineStr">
        <is>
          <t>2026-W27</t>
        </is>
      </c>
    </row>
    <row r="45">
      <c r="A45" t="inlineStr">
        <is>
          <t>BOAMP</t>
        </is>
      </c>
      <c r="B45" t="inlineStr">
        <is>
          <t>26-60829</t>
        </is>
      </c>
      <c r="C45" t="inlineStr">
        <is>
          <t>Prestation de propreté des espaces verts de la ville d'Alfortville</t>
        </is>
      </c>
      <c r="D45" t="inlineStr">
        <is>
          <t>Commune d'Alfortville</t>
        </is>
      </c>
      <c r="E45" t="inlineStr">
        <is>
          <t>21940002500017</t>
        </is>
      </c>
      <c r="F45" t="inlineStr">
        <is>
          <t>219400025</t>
        </is>
      </c>
      <c r="G45" t="inlineStr"/>
      <c r="H45" t="inlineStr"/>
      <c r="I45" t="inlineStr">
        <is>
          <t>etienne.ouatiki@alfortville.fr</t>
        </is>
      </c>
      <c r="J45" t="inlineStr">
        <is>
          <t>0158732900</t>
        </is>
      </c>
      <c r="K45" t="inlineStr"/>
      <c r="L45" t="inlineStr"/>
      <c r="M45" t="inlineStr"/>
      <c r="N45" t="inlineStr">
        <is>
          <t>94</t>
        </is>
      </c>
      <c r="O45" t="inlineStr"/>
      <c r="P45" t="inlineStr">
        <is>
          <t>Ile-de-France</t>
        </is>
      </c>
      <c r="Q45" s="15" t="n">
        <v>46194</v>
      </c>
      <c r="R45" s="15" t="n">
        <v>46223</v>
      </c>
      <c r="S45" t="inlineStr"/>
      <c r="T45" t="inlineStr">
        <is>
          <t>A_VERIFIER_BUDGET</t>
        </is>
      </c>
      <c r="U45" t="inlineStr"/>
      <c r="V45" t="inlineStr">
        <is>
          <t>non</t>
        </is>
      </c>
      <c r="W45" t="inlineStr">
        <is>
          <t>Mixte/Autre</t>
        </is>
      </c>
      <c r="X45" t="inlineStr">
        <is>
          <t>Autre</t>
        </is>
      </c>
      <c r="Y45" t="inlineStr">
        <is>
          <t>SERVICES</t>
        </is>
      </c>
      <c r="Z45" t="inlineStr">
        <is>
          <t>Procédure Ouverte</t>
        </is>
      </c>
      <c r="AA45" t="inlineStr">
        <is>
          <t>Avis de marché</t>
        </is>
      </c>
      <c r="AB45" t="inlineStr">
        <is>
          <t>Espaces verts</t>
        </is>
      </c>
      <c r="AC45" t="inlineStr"/>
      <c r="AD45" s="11" t="inlineStr">
        <is>
          <t>https://www.boamp.fr/pages/avis/?q=idweb:26-60829</t>
        </is>
      </c>
      <c r="AE45" t="inlineStr">
        <is>
          <t>https://www.maximilien.fr/</t>
        </is>
      </c>
      <c r="AF45" t="inlineStr">
        <is>
          <t>https://www.maximilien.fr/</t>
        </is>
      </c>
      <c r="AG45" t="inlineStr">
        <is>
          <t>proprete</t>
        </is>
      </c>
      <c r="AH45" t="inlineStr">
        <is>
          <t>3</t>
        </is>
      </c>
      <c r="AI45" t="inlineStr">
        <is>
          <t>68</t>
        </is>
      </c>
      <c r="AJ45" t="inlineStr">
        <is>
          <t>INFO_PARTIELLE</t>
        </is>
      </c>
      <c r="AK45" t="inlineStr">
        <is>
          <t>45</t>
        </is>
      </c>
      <c r="AL45" t="inlineStr">
        <is>
          <t>TIEDE</t>
        </is>
      </c>
      <c r="AM45">
        <f>MIN(100,MAX(0,IF(OR(ISNUMBER(SEARCH("nettoyage",C45)),ISNUMBER(SEARCH("proprete",C45)),ISNUMBER(SEARCH("entretien",C45)),ISNUMBER(SEARCH("hygiene",C45))),35,0)+IF(SUM(--(N45="75")+--(O45="75"),--(N45="77")+--(O45="77"),--(N45="78")+--(O45="78"),--(N45="91")+--(O45="91"),--(N45="92")+--(O45="92"),--(N45="93")+--(O45="93"),--(N45="94")+--(O45="94"),--(N45="95")+--(O45="95"))&gt;0,25,4)+IF(S45="",10,IF(S45&lt;=50000,25,IF(S45&lt;=100000,20,IF(S45&lt;=200000,5,IF(S45&lt;=500000,-10,-20)))))+IF(I45&lt;&gt;"",4,0)+IF(J45&lt;&gt;"",4,0)+IF(E45&lt;&gt;"",3,0)+IF(K45&lt;&gt;"",2,0)+IF(M45&lt;&gt;"",1,0)+IF(AD45&lt;&gt;"",1,0)+IF(R45="",0,IF(R45&lt;TODAY(),-30,IF(R45&lt;TODAY()+5,-15,IF(R45&lt;=TODAY()+15,5,10))))))</f>
        <v/>
      </c>
      <c r="AN45">
        <f>IF(AM45&gt;=65,"CHAUD",IF(AM45&gt;=40,"TIEDE","FROID"))</f>
        <v/>
      </c>
      <c r="AO45">
        <f>IF((IF(I45&lt;&gt;"",1,0)+IF(J45&lt;&gt;"",1,0)+IF(E45&lt;&gt;"",1,0)+IF(K45&lt;&gt;"",1,0))&gt;=4,"Complet",IF((IF(I45&lt;&gt;"",1,0)+IF(J45&lt;&gt;"",1,0)+IF(E45&lt;&gt;"",1,0)+IF(K45&lt;&gt;"",1,0))&gt;=2,"Partiel","Vide"))</f>
        <v/>
      </c>
      <c r="AP45">
        <f>IF(AJ45="DCE_A_TELECHARGER","Telecharger DCE",IF(T45="A_VERIFIER_BUDGET","Verifier budget",IF(AN45="CHAUD","Contacter maintenant",IF(AN45="TIEDE","Surveiller / relancer","Basse priorite"))))</f>
        <v/>
      </c>
      <c r="AQ45" t="inlineStr">
        <is>
          <t>IA_BUDGET_A_VERIFIER</t>
        </is>
      </c>
      <c r="AR45" t="inlineStr">
        <is>
          <t>Verifier le budget dans l'avis source ou le DCE avant decision commerciale.</t>
        </is>
      </c>
      <c r="AS45" t="inlineStr">
        <is>
          <t>adresse, ville, budget</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26-60829. Objet: Prestation de propreté des espaces verts de la ville d'Alfortville. Acheteur: Commune d'Alfortville. Lien: https://www.boamp.fr/pages/avis/?q=idweb:26-60829.</t>
        </is>
      </c>
      <c r="AU45" t="inlineStr">
        <is>
          <t>Verifier url_avis et DCE si disponible</t>
        </is>
      </c>
      <c r="AV45" t="inlineStr">
        <is>
          <t>LIEN_SEUL</t>
        </is>
      </c>
      <c r="AW45" t="inlineStr"/>
      <c r="AX45" t="inlineStr"/>
      <c r="AY45" t="inlineStr"/>
      <c r="AZ45" t="inlineStr"/>
      <c r="BA45" t="inlineStr"/>
      <c r="BB45" t="inlineStr">
        <is>
          <t>+30 mots-cles nettoyage forts | +10 budget non affiche (a verifier) | +5 delai court 15j</t>
        </is>
      </c>
      <c r="BC45" t="inlineStr">
        <is>
          <t>Commune d'Alfortville publie un AO potentiellement pertinent pour CHRUTH : Prestation de propreté des espaces verts de la ville d'Alfortville. Zone : 94. Budget a verifier. Verifier le lien source avant contact.</t>
        </is>
      </c>
      <c r="BD45" t="inlineStr">
        <is>
          <t>Bonjour,
Je me permets de vous contacter au sujet de votre appel d'offres : Prestation de propreté des espaces verts de la ville d'Alfortville.
CHRUTH accompagne les structures publiques et privées sur les besoins de nettoyage, d'entretien des locaux et d'organisation de prestations de service.
Serait-il possible d'échanger rapidement afin de vérifier les modalités de réponse et les attentes de Commune d'Alfortville ?
Cordialement,</t>
        </is>
      </c>
      <c r="BE45" t="inlineStr">
        <is>
          <t>Bonjour, je vous appelle concernant un appel d'offres publié par Commune d'Alfortville. Je souhaite vérifier les informations pratiques : périmètre des prestations, date limite, modalités de visite, contact technique et pièces attendues. Pouvez-vous m'indiquer la bonne personne à contacter ?</t>
        </is>
      </c>
      <c r="BF45" t="inlineStr"/>
      <c r="BG45" t="inlineStr"/>
      <c r="BH45" t="inlineStr"/>
      <c r="BI45" t="inlineStr"/>
      <c r="BJ45" t="inlineStr"/>
      <c r="BK45" t="inlineStr"/>
      <c r="BL45" t="inlineStr"/>
      <c r="BM45" t="inlineStr">
        <is>
          <t>2026-W25</t>
        </is>
      </c>
    </row>
    <row r="46">
      <c r="A46" t="inlineStr">
        <is>
          <t>BOAMP</t>
        </is>
      </c>
      <c r="B46" t="inlineStr">
        <is>
          <t>26-61133</t>
        </is>
      </c>
      <c r="C46" t="inlineStr">
        <is>
          <t>Marché de nettoyage de fin de chantier</t>
        </is>
      </c>
      <c r="D46" t="inlineStr">
        <is>
          <t>OPPIC</t>
        </is>
      </c>
      <c r="E46" t="inlineStr">
        <is>
          <t>18009208200023</t>
        </is>
      </c>
      <c r="F46" t="inlineStr">
        <is>
          <t>180092082</t>
        </is>
      </c>
      <c r="G46" t="inlineStr"/>
      <c r="H46" t="inlineStr"/>
      <c r="I46" t="inlineStr">
        <is>
          <t>departement.marches@oppic.fr</t>
        </is>
      </c>
      <c r="J46" t="inlineStr">
        <is>
          <t>0920820002</t>
        </is>
      </c>
      <c r="K46" t="inlineStr"/>
      <c r="L46" t="inlineStr"/>
      <c r="M46" t="inlineStr"/>
      <c r="N46" t="inlineStr">
        <is>
          <t>75,77,78,91,92,93,94,95</t>
        </is>
      </c>
      <c r="O46" t="inlineStr"/>
      <c r="P46" t="inlineStr">
        <is>
          <t>Ile-de-France</t>
        </is>
      </c>
      <c r="Q46" s="15" t="n">
        <v>46194</v>
      </c>
      <c r="R46" s="15" t="n">
        <v>46216</v>
      </c>
      <c r="S46" s="14" t="n">
        <v>100000</v>
      </c>
      <c r="T46" t="inlineStr">
        <is>
          <t>BUDGET_EXPLICITE_OK</t>
        </is>
      </c>
      <c r="U46" t="inlineStr">
        <is>
          <t>200000</t>
        </is>
      </c>
      <c r="V46" t="inlineStr">
        <is>
          <t>oui</t>
        </is>
      </c>
      <c r="W46" t="inlineStr">
        <is>
          <t>Batiments</t>
        </is>
      </c>
      <c r="X46" t="inlineStr">
        <is>
          <t>Autre</t>
        </is>
      </c>
      <c r="Y46" t="inlineStr">
        <is>
          <t>SERVICES</t>
        </is>
      </c>
      <c r="Z46" t="inlineStr">
        <is>
          <t>Procédure Ouverte</t>
        </is>
      </c>
      <c r="AA46" t="inlineStr">
        <is>
          <t>Avis de marché</t>
        </is>
      </c>
      <c r="AB46" t="inlineStr">
        <is>
          <t>Bâtiment, Déchets non ménagers (prestations), Nettoyage de locaux</t>
        </is>
      </c>
      <c r="AC46" t="inlineStr"/>
      <c r="AD46" s="11" t="inlineStr">
        <is>
          <t>https://www.boamp.fr/pages/avis/?q=idweb:26-61133</t>
        </is>
      </c>
      <c r="AE46" t="inlineStr">
        <is>
          <t>https://www.marches-publics.gouv.fr</t>
        </is>
      </c>
      <c r="AF46" t="inlineStr">
        <is>
          <t>https://www.marches-publics.gouv.fr</t>
        </is>
      </c>
      <c r="AG46" t="inlineStr">
        <is>
          <t>nettoyage, menage</t>
        </is>
      </c>
      <c r="AH46" t="inlineStr">
        <is>
          <t>3</t>
        </is>
      </c>
      <c r="AI46" t="inlineStr">
        <is>
          <t>76</t>
        </is>
      </c>
      <c r="AJ46" t="inlineStr">
        <is>
          <t>INFO_PARTIELLE</t>
        </is>
      </c>
      <c r="AK46" t="inlineStr">
        <is>
          <t>45</t>
        </is>
      </c>
      <c r="AL46" t="inlineStr">
        <is>
          <t>TIEDE</t>
        </is>
      </c>
      <c r="AM46">
        <f>MIN(100,MAX(0,IF(OR(ISNUMBER(SEARCH("nettoyage",C46)),ISNUMBER(SEARCH("proprete",C46)),ISNUMBER(SEARCH("entretien",C46)),ISNUMBER(SEARCH("hygiene",C46))),35,0)+IF(SUM(--(N46="75")+--(O46="75"),--(N46="77")+--(O46="77"),--(N46="78")+--(O46="78"),--(N46="91")+--(O46="91"),--(N46="92")+--(O46="92"),--(N46="93")+--(O46="93"),--(N46="94")+--(O46="94"),--(N46="95")+--(O46="95"))&gt;0,25,4)+IF(S46="",10,IF(S46&lt;=50000,25,IF(S46&lt;=100000,20,IF(S46&lt;=200000,5,IF(S46&lt;=500000,-10,-20)))))+IF(I46&lt;&gt;"",4,0)+IF(J46&lt;&gt;"",4,0)+IF(E46&lt;&gt;"",3,0)+IF(K46&lt;&gt;"",2,0)+IF(M46&lt;&gt;"",1,0)+IF(AD46&lt;&gt;"",1,0)+IF(R46="",0,IF(R46&lt;TODAY(),-30,IF(R46&lt;TODAY()+5,-15,IF(R46&lt;=TODAY()+15,5,10))))))</f>
        <v/>
      </c>
      <c r="AN46">
        <f>IF(AM46&gt;=65,"CHAUD",IF(AM46&gt;=40,"TIEDE","FROID"))</f>
        <v/>
      </c>
      <c r="AO46">
        <f>IF((IF(I46&lt;&gt;"",1,0)+IF(J46&lt;&gt;"",1,0)+IF(E46&lt;&gt;"",1,0)+IF(K46&lt;&gt;"",1,0))&gt;=4,"Complet",IF((IF(I46&lt;&gt;"",1,0)+IF(J46&lt;&gt;"",1,0)+IF(E46&lt;&gt;"",1,0)+IF(K46&lt;&gt;"",1,0))&gt;=2,"Partiel","Vide"))</f>
        <v/>
      </c>
      <c r="AP46">
        <f>IF(AJ46="DCE_A_TELECHARGER","Telecharger DCE",IF(T46="A_VERIFIER_BUDGET","Verifier budget",IF(AN46="CHAUD","Contacter maintenant",IF(AN46="TIEDE","Surveiller / relancer","Basse priorite"))))</f>
        <v/>
      </c>
      <c r="AQ46" t="inlineStr">
        <is>
          <t>IA_CONTACT_A_COMPLETER</t>
        </is>
      </c>
      <c r="AR46" t="inlineStr">
        <is>
          <t>Completer les champs manquants depuis l'avis source, le site acheteur ou le DCE.</t>
        </is>
      </c>
      <c r="AS46" t="inlineStr">
        <is>
          <t>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26-61133. Objet: Marché de nettoyage de fin de chantier. Acheteur: OPPIC. Lien: https://www.boamp.fr/pages/avis/?q=idweb:26-61133.</t>
        </is>
      </c>
      <c r="AU46" t="inlineStr">
        <is>
          <t>Verifier url_avis et DCE si disponible</t>
        </is>
      </c>
      <c r="AV46" t="inlineStr"/>
      <c r="AW46" t="inlineStr"/>
      <c r="AX46" t="inlineStr"/>
      <c r="AY46" t="inlineStr"/>
      <c r="AZ46" t="inlineStr"/>
      <c r="BA46" t="inlineStr"/>
      <c r="BB46" t="inlineStr">
        <is>
          <t>+35 nettoyage + categorie claire | +5 budget annualise &lt;= 200 000 EUR | +5 delai court 8j</t>
        </is>
      </c>
      <c r="BC46" t="inlineStr">
        <is>
          <t>OPPIC publie un AO potentiellement pertinent pour CHRUTH : Marché de nettoyage de fin de chantier. Zone : 75,77,78,91,92,93,94,95. Budget detecte environ 100 000 EUR. Verifier le lien source avant contact.</t>
        </is>
      </c>
      <c r="BD46" t="inlineStr">
        <is>
          <t>Bonjour,
Je me permets de vous contacter au sujet de votre appel d'offres : Marché de nettoyage de fin de chantier.
CHRUTH accompagne les structures publiques et privées sur les besoins de nettoyage, d'entretien des locaux et d'organisation de prestations de service.
Serait-il possible d'échanger rapidement afin de vérifier les modalités de réponse et les attentes de OPPIC ?
Cordialement,</t>
        </is>
      </c>
      <c r="BE46" t="inlineStr">
        <is>
          <t>Bonjour, je vous appelle concernant un appel d'offres publié par OPPIC. Je souhaite vérifier les informations pratiques : périmètre des prestations, date limite, modalités de visite, contact technique et pièces attendues. Pouvez-vous m'indiquer la bonne personne à contacter ?</t>
        </is>
      </c>
      <c r="BF46" t="inlineStr"/>
      <c r="BG46" t="inlineStr"/>
      <c r="BH46" t="inlineStr"/>
      <c r="BI46" t="inlineStr"/>
      <c r="BJ46" t="inlineStr"/>
      <c r="BK46" t="inlineStr"/>
      <c r="BL46" t="inlineStr"/>
      <c r="BM46" t="inlineStr">
        <is>
          <t>2026-W25</t>
        </is>
      </c>
    </row>
    <row r="47">
      <c r="A47" t="inlineStr">
        <is>
          <t>MAXIMILIEN</t>
        </is>
      </c>
      <c r="B47" t="inlineStr">
        <is>
          <t>MX-249ac2b2b557</t>
        </is>
      </c>
      <c r="C47" t="inlineStr">
        <is>
          <t>CHRUTH - 5 nouveaux AO nettoyage IDF (apres-midi 21/06)</t>
        </is>
      </c>
      <c r="D47" t="inlineStr"/>
      <c r="E47" t="inlineStr"/>
      <c r="F47" t="inlineStr"/>
      <c r="G47" t="inlineStr"/>
      <c r="H47" t="inlineStr"/>
      <c r="I47" t="inlineStr"/>
      <c r="J47" t="inlineStr"/>
      <c r="K47" t="inlineStr"/>
      <c r="L47" t="inlineStr"/>
      <c r="M47" t="inlineStr"/>
      <c r="N47" t="inlineStr"/>
      <c r="O47" t="inlineStr"/>
      <c r="P47" t="inlineStr"/>
      <c r="Q47" s="15" t="n">
        <v>46194</v>
      </c>
      <c r="R47" t="inlineStr"/>
      <c r="S47" t="inlineStr"/>
      <c r="T47" t="inlineStr">
        <is>
          <t>A_VERIFIER_BUDGET</t>
        </is>
      </c>
      <c r="U47" t="inlineStr"/>
      <c r="V47" t="inlineStr"/>
      <c r="W47" t="inlineStr">
        <is>
          <t>Batiments/Locaux</t>
        </is>
      </c>
      <c r="X47" t="inlineStr">
        <is>
          <t>Autre</t>
        </is>
      </c>
      <c r="Y47" t="inlineStr"/>
      <c r="Z47" t="inlineStr"/>
      <c r="AA47" t="inlineStr"/>
      <c r="AB47" t="inlineStr"/>
      <c r="AC47" t="inlineStr"/>
      <c r="AD47" s="11" t="inlineStr">
        <is>
          <t>https://marches.maximilien.fr/entreprise/consultation/941627?orgAcronyme=d7d</t>
        </is>
      </c>
      <c r="AE47" t="inlineStr">
        <is>
          <t>https://marches.maximilien.fr/entreprise/consultation/941627?orgAcronyme=d7d</t>
        </is>
      </c>
      <c r="AF47" t="inlineStr"/>
      <c r="AG47" t="inlineStr">
        <is>
          <t>nettoyage</t>
        </is>
      </c>
      <c r="AH47" t="inlineStr"/>
      <c r="AI47" t="inlineStr">
        <is>
          <t>30</t>
        </is>
      </c>
      <c r="AJ47" t="inlineStr">
        <is>
          <t>DCE_A_TELECHARGER</t>
        </is>
      </c>
      <c r="AK47" t="inlineStr">
        <is>
          <t>45</t>
        </is>
      </c>
      <c r="AL47" s="16" t="inlineStr">
        <is>
          <t>A_VERIFIER</t>
        </is>
      </c>
      <c r="AM47">
        <f>MIN(100,MAX(0,IF(OR(ISNUMBER(SEARCH("nettoyage",C47)),ISNUMBER(SEARCH("proprete",C47)),ISNUMBER(SEARCH("entretien",C47)),ISNUMBER(SEARCH("hygiene",C47))),35,0)+IF(SUM(--(N47="75")+--(O47="75"),--(N47="77")+--(O47="77"),--(N47="78")+--(O47="78"),--(N47="91")+--(O47="91"),--(N47="92")+--(O47="92"),--(N47="93")+--(O47="93"),--(N47="94")+--(O47="94"),--(N47="95")+--(O47="95"))&gt;0,25,4)+IF(S47="",10,IF(S47&lt;=50000,25,IF(S47&lt;=100000,20,IF(S47&lt;=200000,5,IF(S47&lt;=500000,-10,-20)))))+IF(I47&lt;&gt;"",4,0)+IF(J47&lt;&gt;"",4,0)+IF(E47&lt;&gt;"",3,0)+IF(K47&lt;&gt;"",2,0)+IF(M47&lt;&gt;"",1,0)+IF(AD47&lt;&gt;"",1,0)+IF(R47="",0,IF(R47&lt;TODAY(),-30,IF(R47&lt;TODAY()+5,-15,IF(R47&lt;=TODAY()+15,5,10))))))</f>
        <v/>
      </c>
      <c r="AN47">
        <f>IF(AM47&gt;=65,"CHAUD",IF(AM47&gt;=40,"TIEDE","FROID"))</f>
        <v/>
      </c>
      <c r="AO47">
        <f>IF((IF(I47&lt;&gt;"",1,0)+IF(J47&lt;&gt;"",1,0)+IF(E47&lt;&gt;"",1,0)+IF(K47&lt;&gt;"",1,0))&gt;=4,"Complet",IF((IF(I47&lt;&gt;"",1,0)+IF(J47&lt;&gt;"",1,0)+IF(E47&lt;&gt;"",1,0)+IF(K47&lt;&gt;"",1,0))&gt;=2,"Partiel","Vide"))</f>
        <v/>
      </c>
      <c r="AP47">
        <f>IF(AJ47="DCE_A_TELECHARGER","Telecharger DCE",IF(T47="A_VERIFIER_BUDGET","Verifier budget",IF(AN47="CHAUD","Contacter maintenant",IF(AN47="TIEDE","Surveiller / relancer","Basse priorite"))))</f>
        <v/>
      </c>
      <c r="AQ47" t="inlineStr">
        <is>
          <t>IA_DCE_REQUISE</t>
        </is>
      </c>
      <c r="AR47" t="inlineStr">
        <is>
          <t>Telecharger ou ouvrir le DCE, puis extraire contact, budget, perimetre et contraintes.</t>
        </is>
      </c>
      <c r="AS47" t="inlineStr">
        <is>
          <t>SIRET, email, telephone, adresse, ville, budget</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MX-249ac2b2b557. Objet: CHRUTH - 5 nouveaux AO nettoyage IDF (apres-midi 21/06). Acheteur: . Lien: https://marches.maximilien.fr/entreprise/consultation/941627?orgAcronyme=d7d.</t>
        </is>
      </c>
      <c r="AU47" t="inlineStr">
        <is>
          <t>Verifier url_avis et DCE si disponible</t>
        </is>
      </c>
      <c r="AV47" t="inlineStr">
        <is>
          <t>LIEN_SEUL</t>
        </is>
      </c>
      <c r="AW47" t="inlineStr"/>
      <c r="AX47" t="inlineStr"/>
      <c r="AY47" t="inlineStr"/>
      <c r="AZ47" t="inlineStr"/>
      <c r="BA47" t="inlineStr"/>
      <c r="BB47" t="inlineStr">
        <is>
          <t>+35 nettoyage + categorie claire | +10 budget non affiche (a verifier) | 0 date limite absente</t>
        </is>
      </c>
      <c r="BC47" t="inlineStr"/>
      <c r="BD47" t="inlineStr"/>
      <c r="BE47" t="inlineStr"/>
      <c r="BF47" t="inlineStr"/>
      <c r="BG47" t="inlineStr"/>
      <c r="BH47" t="inlineStr"/>
      <c r="BI47" t="inlineStr"/>
      <c r="BJ47" t="inlineStr"/>
      <c r="BK47" t="inlineStr"/>
      <c r="BL47" t="inlineStr"/>
      <c r="BM47" t="inlineStr">
        <is>
          <t>2026-W25</t>
        </is>
      </c>
    </row>
    <row r="48">
      <c r="A48" t="inlineStr">
        <is>
          <t>MAXIMILIEN</t>
        </is>
      </c>
      <c r="B48" t="inlineStr">
        <is>
          <t>MX-baa796e6137e</t>
        </is>
      </c>
      <c r="C48" t="inlineStr">
        <is>
          <t>CHRUTH - 4 nouveaux AO nettoyage IDF (apres-midi 17/06)</t>
        </is>
      </c>
      <c r="D48" t="inlineStr"/>
      <c r="E48" t="inlineStr"/>
      <c r="F48" t="inlineStr"/>
      <c r="G48" t="inlineStr"/>
      <c r="H48" t="inlineStr"/>
      <c r="I48" t="inlineStr"/>
      <c r="J48" t="inlineStr"/>
      <c r="K48" t="inlineStr"/>
      <c r="L48" t="inlineStr"/>
      <c r="M48" t="inlineStr"/>
      <c r="N48" t="inlineStr"/>
      <c r="O48" t="inlineStr"/>
      <c r="P48" t="inlineStr"/>
      <c r="Q48" s="15" t="n">
        <v>46190</v>
      </c>
      <c r="R48" t="inlineStr"/>
      <c r="S48" t="inlineStr"/>
      <c r="T48" t="inlineStr">
        <is>
          <t>A_VERIFIER_BUDGET</t>
        </is>
      </c>
      <c r="U48" t="inlineStr"/>
      <c r="V48" t="inlineStr"/>
      <c r="W48" t="inlineStr">
        <is>
          <t>Batiments/Locaux</t>
        </is>
      </c>
      <c r="X48" t="inlineStr">
        <is>
          <t>Autre</t>
        </is>
      </c>
      <c r="Y48" t="inlineStr"/>
      <c r="Z48" t="inlineStr"/>
      <c r="AA48" t="inlineStr"/>
      <c r="AB48" t="inlineStr"/>
      <c r="AC48" t="inlineStr"/>
      <c r="AD48" s="11" t="inlineStr">
        <is>
          <t>https://marches.maximilien.fr/entreprise/consultation/939069?orgAcronyme=d8e</t>
        </is>
      </c>
      <c r="AE48" t="inlineStr">
        <is>
          <t>https://marches.maximilien.fr/entreprise/consultation/939069?orgAcronyme=d8e</t>
        </is>
      </c>
      <c r="AF48" t="inlineStr"/>
      <c r="AG48" t="inlineStr">
        <is>
          <t>nettoyage</t>
        </is>
      </c>
      <c r="AH48" t="inlineStr"/>
      <c r="AI48" t="inlineStr">
        <is>
          <t>30</t>
        </is>
      </c>
      <c r="AJ48" t="inlineStr">
        <is>
          <t>DCE_A_TELECHARGER</t>
        </is>
      </c>
      <c r="AK48" t="inlineStr">
        <is>
          <t>45</t>
        </is>
      </c>
      <c r="AL48" s="16" t="inlineStr">
        <is>
          <t>A_VERIFIER</t>
        </is>
      </c>
      <c r="AM48">
        <f>MIN(100,MAX(0,IF(OR(ISNUMBER(SEARCH("nettoyage",C48)),ISNUMBER(SEARCH("proprete",C48)),ISNUMBER(SEARCH("entretien",C48)),ISNUMBER(SEARCH("hygiene",C48))),35,0)+IF(SUM(--(N48="75")+--(O48="75"),--(N48="77")+--(O48="77"),--(N48="78")+--(O48="78"),--(N48="91")+--(O48="91"),--(N48="92")+--(O48="92"),--(N48="93")+--(O48="93"),--(N48="94")+--(O48="94"),--(N48="95")+--(O48="95"))&gt;0,25,4)+IF(S48="",10,IF(S48&lt;=50000,25,IF(S48&lt;=100000,20,IF(S48&lt;=200000,5,IF(S48&lt;=500000,-10,-20)))))+IF(I48&lt;&gt;"",4,0)+IF(J48&lt;&gt;"",4,0)+IF(E48&lt;&gt;"",3,0)+IF(K48&lt;&gt;"",2,0)+IF(M48&lt;&gt;"",1,0)+IF(AD48&lt;&gt;"",1,0)+IF(R48="",0,IF(R48&lt;TODAY(),-30,IF(R48&lt;TODAY()+5,-15,IF(R48&lt;=TODAY()+15,5,10))))))</f>
        <v/>
      </c>
      <c r="AN48">
        <f>IF(AM48&gt;=65,"CHAUD",IF(AM48&gt;=40,"TIEDE","FROID"))</f>
        <v/>
      </c>
      <c r="AO48">
        <f>IF((IF(I48&lt;&gt;"",1,0)+IF(J48&lt;&gt;"",1,0)+IF(E48&lt;&gt;"",1,0)+IF(K48&lt;&gt;"",1,0))&gt;=4,"Complet",IF((IF(I48&lt;&gt;"",1,0)+IF(J48&lt;&gt;"",1,0)+IF(E48&lt;&gt;"",1,0)+IF(K48&lt;&gt;"",1,0))&gt;=2,"Partiel","Vide"))</f>
        <v/>
      </c>
      <c r="AP48">
        <f>IF(AJ48="DCE_A_TELECHARGER","Telecharger DCE",IF(T48="A_VERIFIER_BUDGET","Verifier budget",IF(AN48="CHAUD","Contacter maintenant",IF(AN48="TIEDE","Surveiller / relancer","Basse priorite"))))</f>
        <v/>
      </c>
      <c r="AQ48" t="inlineStr">
        <is>
          <t>IA_DCE_REQUISE</t>
        </is>
      </c>
      <c r="AR48" t="inlineStr">
        <is>
          <t>Telecharger ou ouvrir le DCE, puis extraire contact, budget, perimetre et contraintes.</t>
        </is>
      </c>
      <c r="AS48" t="inlineStr">
        <is>
          <t>SIRET, email, telephone, adresse, ville, budget</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MX-baa796e6137e. Objet: CHRUTH - 4 nouveaux AO nettoyage IDF (apres-midi 17/06). Acheteur: . Lien: https://marches.maximilien.fr/entreprise/consultation/939069?orgAcronyme=d8e.</t>
        </is>
      </c>
      <c r="AU48" t="inlineStr">
        <is>
          <t>Verifier url_avis et DCE si disponible</t>
        </is>
      </c>
      <c r="AV48" t="inlineStr">
        <is>
          <t>LIEN_SEUL</t>
        </is>
      </c>
      <c r="AW48" t="inlineStr"/>
      <c r="AX48" t="inlineStr"/>
      <c r="AY48" t="inlineStr"/>
      <c r="AZ48" t="inlineStr"/>
      <c r="BA48" t="inlineStr"/>
      <c r="BB48" t="inlineStr">
        <is>
          <t>+35 nettoyage + categorie claire | +10 budget non affiche (a verifier) | 0 date limite absente</t>
        </is>
      </c>
      <c r="BC48" t="inlineStr"/>
      <c r="BD48" t="inlineStr"/>
      <c r="BE48" t="inlineStr"/>
      <c r="BF48" t="inlineStr"/>
      <c r="BG48" t="inlineStr"/>
      <c r="BH48" t="inlineStr"/>
      <c r="BI48" t="inlineStr"/>
      <c r="BJ48" t="inlineStr"/>
      <c r="BK48" t="inlineStr"/>
      <c r="BL48" t="inlineStr"/>
      <c r="BM48" t="inlineStr">
        <is>
          <t>2026-W25</t>
        </is>
      </c>
    </row>
    <row r="49">
      <c r="A49" t="inlineStr">
        <is>
          <t>BOAMP</t>
        </is>
      </c>
      <c r="B49" t="inlineStr">
        <is>
          <t>26-56896</t>
        </is>
      </c>
      <c r="C49" t="inlineStr">
        <is>
          <t>PRESTATIONS DE NETTOYAGE DE LOCAUX COMMUNAUX DIVERS DE LA VILLE DE MONTROUGE</t>
        </is>
      </c>
      <c r="D49" t="inlineStr">
        <is>
          <t>Ville de Montrouge</t>
        </is>
      </c>
      <c r="E49" t="inlineStr"/>
      <c r="F49" t="inlineStr"/>
      <c r="G49" t="inlineStr"/>
      <c r="H49" t="inlineStr"/>
      <c r="I49" t="inlineStr">
        <is>
          <t>j.marius@ville-montrouge.fr</t>
        </is>
      </c>
      <c r="J49" t="inlineStr">
        <is>
          <t>0428-4817-89</t>
        </is>
      </c>
      <c r="K49" t="inlineStr"/>
      <c r="L49" t="inlineStr"/>
      <c r="M49" t="inlineStr"/>
      <c r="N49" t="inlineStr">
        <is>
          <t>92</t>
        </is>
      </c>
      <c r="O49" t="inlineStr"/>
      <c r="P49" t="inlineStr">
        <is>
          <t>Ile-de-France</t>
        </is>
      </c>
      <c r="Q49" s="15" t="n">
        <v>46184</v>
      </c>
      <c r="R49" s="15" t="n">
        <v>46212</v>
      </c>
      <c r="S49" s="14" t="n">
        <v>230000</v>
      </c>
      <c r="T49" t="inlineStr">
        <is>
          <t>BUDGET_EXPLICITE_OK</t>
        </is>
      </c>
      <c r="U49" t="inlineStr">
        <is>
          <t>230000</t>
        </is>
      </c>
      <c r="V49" t="inlineStr">
        <is>
          <t>oui</t>
        </is>
      </c>
      <c r="W49" t="inlineStr">
        <is>
          <t>Batiments</t>
        </is>
      </c>
      <c r="X49" t="inlineStr">
        <is>
          <t>Mairie</t>
        </is>
      </c>
      <c r="Y49" t="inlineStr">
        <is>
          <t>SERVICES</t>
        </is>
      </c>
      <c r="Z49" t="inlineStr">
        <is>
          <t>Procédure Ouverte</t>
        </is>
      </c>
      <c r="AA49" t="inlineStr">
        <is>
          <t>Avis de marché</t>
        </is>
      </c>
      <c r="AB49" t="inlineStr">
        <is>
          <t>Nettoyage de locaux</t>
        </is>
      </c>
      <c r="AC49" t="inlineStr">
        <is>
          <t>['sociaux', 'environnementaux']</t>
        </is>
      </c>
      <c r="AD49" s="11" t="inlineStr">
        <is>
          <t>https://www.boamp.fr/pages/avis/?q=idweb:26-56896</t>
        </is>
      </c>
      <c r="AE49" t="inlineStr">
        <is>
          <t>https://www.achatpublic.com/sdm/ent/gen/ent_detail.do?PCSLID=CSL_2026_FSmPNMa43l</t>
        </is>
      </c>
      <c r="AF49" t="inlineStr">
        <is>
          <t>https://www.achatpublic.com/sdm/ent/gen/ent_detail.do?PCSLID=CSL_2026_FSmPNMa43l</t>
        </is>
      </c>
      <c r="AG49" t="inlineStr">
        <is>
          <t>nettoyage, proprete</t>
        </is>
      </c>
      <c r="AH49" t="inlineStr">
        <is>
          <t>2</t>
        </is>
      </c>
      <c r="AI49" t="inlineStr">
        <is>
          <t>66</t>
        </is>
      </c>
      <c r="AJ49" t="inlineStr">
        <is>
          <t>INFO_PARTIELLE</t>
        </is>
      </c>
      <c r="AK49" t="inlineStr">
        <is>
          <t>45</t>
        </is>
      </c>
      <c r="AL49" t="inlineStr">
        <is>
          <t>TIEDE</t>
        </is>
      </c>
      <c r="AM49">
        <f>MIN(100,MAX(0,IF(OR(ISNUMBER(SEARCH("nettoyage",C49)),ISNUMBER(SEARCH("proprete",C49)),ISNUMBER(SEARCH("entretien",C49)),ISNUMBER(SEARCH("hygiene",C49))),35,0)+IF(SUM(--(N49="75")+--(O49="75"),--(N49="77")+--(O49="77"),--(N49="78")+--(O49="78"),--(N49="91")+--(O49="91"),--(N49="92")+--(O49="92"),--(N49="93")+--(O49="93"),--(N49="94")+--(O49="94"),--(N49="95")+--(O49="95"))&gt;0,25,4)+IF(S49="",10,IF(S49&lt;=50000,25,IF(S49&lt;=100000,20,IF(S49&lt;=200000,5,IF(S49&lt;=500000,-10,-20)))))+IF(I49&lt;&gt;"",4,0)+IF(J49&lt;&gt;"",4,0)+IF(E49&lt;&gt;"",3,0)+IF(K49&lt;&gt;"",2,0)+IF(M49&lt;&gt;"",1,0)+IF(AD49&lt;&gt;"",1,0)+IF(R49="",0,IF(R49&lt;TODAY(),-30,IF(R49&lt;TODAY()+5,-15,IF(R49&lt;=TODAY()+15,5,10))))))</f>
        <v/>
      </c>
      <c r="AN49">
        <f>IF(AM49&gt;=65,"CHAUD",IF(AM49&gt;=40,"TIEDE","FROID"))</f>
        <v/>
      </c>
      <c r="AO49">
        <f>IF((IF(I49&lt;&gt;"",1,0)+IF(J49&lt;&gt;"",1,0)+IF(E49&lt;&gt;"",1,0)+IF(K49&lt;&gt;"",1,0))&gt;=4,"Complet",IF((IF(I49&lt;&gt;"",1,0)+IF(J49&lt;&gt;"",1,0)+IF(E49&lt;&gt;"",1,0)+IF(K49&lt;&gt;"",1,0))&gt;=2,"Partiel","Vide"))</f>
        <v/>
      </c>
      <c r="AP49">
        <f>IF(AJ49="DCE_A_TELECHARGER","Telecharger DCE",IF(T49="A_VERIFIER_BUDGET","Verifier budget",IF(AN49="CHAUD","Contacter maintenant",IF(AN49="TIEDE","Surveiller / relancer","Basse priorite"))))</f>
        <v/>
      </c>
      <c r="AQ49" t="inlineStr">
        <is>
          <t>IA_CONTACT_A_COMPLETER</t>
        </is>
      </c>
      <c r="AR49" t="inlineStr">
        <is>
          <t>Completer les champs manquants depuis l'avis source, le site acheteur ou le DCE.</t>
        </is>
      </c>
      <c r="AS49" t="inlineStr">
        <is>
          <t>SIRET, adresse, ville</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26-56896. Objet: PRESTATIONS DE NETTOYAGE DE LOCAUX COMMUNAUX DIVERS DE LA VILLE DE MONTROUGE. Acheteur: Ville de Montrouge. Lien: https://www.boamp.fr/pages/avis/?q=idweb:26-56896.</t>
        </is>
      </c>
      <c r="AU49" t="inlineStr">
        <is>
          <t>Verifier url_avis et DCE si disponible</t>
        </is>
      </c>
      <c r="AV49" t="inlineStr"/>
      <c r="AW49" t="inlineStr"/>
      <c r="AX49" t="inlineStr"/>
      <c r="AY49" t="inlineStr"/>
      <c r="AZ49" t="inlineStr"/>
      <c r="BA49" t="inlineStr"/>
      <c r="BB49" t="inlineStr">
        <is>
          <t>+35 nettoyage + categorie claire | -10 budget annualise &lt;= 500 000 EUR | +10 secteur cible Mairie | +10 delai confortable 17j</t>
        </is>
      </c>
      <c r="BC49" t="inlineStr">
        <is>
          <t>Ville de Montrouge publie un AO potentiellement pertinent pour CHRUTH : PRESTATIONS DE NETTOYAGE DE LOCAUX COMMUNAUX DIVERS DE LA VILLE DE MONTROUGE. Zone : 92. Budget detecte environ 230 000 EUR. Verifier le lien source avant contact.</t>
        </is>
      </c>
      <c r="BD49" t="inlineStr">
        <is>
          <t>Bonjour,
Je me permets de vous contacter au sujet de votre appel d'offres : PRESTATIONS DE NETTOYAGE DE LOCAUX COMMUNAUX DIVERS DE LA VILLE DE MONTROUGE.
CHRUTH accompagne les structures publiques et privees sur les besoins de nettoyage, d'entretien des locaux et d'organisation de prestations de service.
Serait-il possible d'echanger rapidement afin de verifier les modalites de reponse et les attentes de Ville de Montrouge ?
Cordialement,</t>
        </is>
      </c>
      <c r="BE49" t="inlineStr">
        <is>
          <t>Bonjour, je vous appelle concernant un appel d'offres publie par Ville de Montrouge. Je souhaite verifier les informations pratiques : perimetre des prestations, date limite, modalites de visite, contact technique et pieces attendues. Pouvez-vous m'indiquer la bonne personne a contacter ?</t>
        </is>
      </c>
      <c r="BF49" t="inlineStr"/>
      <c r="BG49" t="inlineStr"/>
      <c r="BH49" t="inlineStr"/>
      <c r="BI49" t="inlineStr"/>
      <c r="BJ49" t="inlineStr"/>
      <c r="BK49" t="inlineStr"/>
      <c r="BL49" t="inlineStr"/>
      <c r="BM49" t="inlineStr">
        <is>
          <t>2026-W24</t>
        </is>
      </c>
    </row>
    <row r="50">
      <c r="A50" t="inlineStr">
        <is>
          <t>BOAMP</t>
        </is>
      </c>
      <c r="B50" t="inlineStr">
        <is>
          <t>26-60093</t>
        </is>
      </c>
      <c r="C50" t="inlineStr">
        <is>
          <t>Mise en propreté des abords du site principal du Centre National d’Art et de Culture Georges Pompidou et des bâtiments annexes (CNAC-GP) (2 lots) - Vague 2 : lot 2 (26-CP04-044-AC)</t>
        </is>
      </c>
      <c r="D50" t="inlineStr">
        <is>
          <t>CENTRE POMPIDOU</t>
        </is>
      </c>
      <c r="E50" t="inlineStr">
        <is>
          <t>18004602100028</t>
        </is>
      </c>
      <c r="F50" t="inlineStr">
        <is>
          <t>180046021</t>
        </is>
      </c>
      <c r="G50" t="inlineStr"/>
      <c r="H50" t="inlineStr"/>
      <c r="I50" t="inlineStr">
        <is>
          <t>achat@centrepompidou.fr</t>
        </is>
      </c>
      <c r="J50" t="inlineStr">
        <is>
          <t>0460210002</t>
        </is>
      </c>
      <c r="K50" t="inlineStr"/>
      <c r="L50" t="inlineStr"/>
      <c r="M50" t="inlineStr"/>
      <c r="N50" t="inlineStr">
        <is>
          <t>75</t>
        </is>
      </c>
      <c r="O50" t="inlineStr"/>
      <c r="P50" t="inlineStr">
        <is>
          <t>Ile-de-France</t>
        </is>
      </c>
      <c r="Q50" s="15" t="n">
        <v>46192</v>
      </c>
      <c r="R50" s="15" t="n">
        <v>46223</v>
      </c>
      <c r="S50" s="14" t="n">
        <v>600000</v>
      </c>
      <c r="T50" t="inlineStr">
        <is>
          <t>BUDGET_EXPLICITE_OK</t>
        </is>
      </c>
      <c r="U50" t="inlineStr">
        <is>
          <t>600000.0</t>
        </is>
      </c>
      <c r="V50" t="inlineStr">
        <is>
          <t>non</t>
        </is>
      </c>
      <c r="W50" t="inlineStr">
        <is>
          <t>Batiments</t>
        </is>
      </c>
      <c r="X50" t="inlineStr">
        <is>
          <t>Autre</t>
        </is>
      </c>
      <c r="Y50" t="inlineStr">
        <is>
          <t>SERVICES</t>
        </is>
      </c>
      <c r="Z50" t="inlineStr">
        <is>
          <t>Procédure Ouverte</t>
        </is>
      </c>
      <c r="AA50" t="inlineStr">
        <is>
          <t>Avis de marché</t>
        </is>
      </c>
      <c r="AB50" t="inlineStr">
        <is>
          <t>Nettoyage de locaux</t>
        </is>
      </c>
      <c r="AC50" t="inlineStr">
        <is>
          <t>['sociaux', 'environnementaux']</t>
        </is>
      </c>
      <c r="AD50" s="11" t="inlineStr">
        <is>
          <t>https://www.boamp.fr/pages/avis/?q=idweb:26-60093</t>
        </is>
      </c>
      <c r="AE50" t="inlineStr">
        <is>
          <t>https://www.marches-publics.gouv.fr/</t>
        </is>
      </c>
      <c r="AF50" t="inlineStr">
        <is>
          <t>https://www.marches-publics.gouv.fr/</t>
        </is>
      </c>
      <c r="AG50" t="inlineStr">
        <is>
          <t>nettoyage, proprete</t>
        </is>
      </c>
      <c r="AH50" t="inlineStr">
        <is>
          <t>3</t>
        </is>
      </c>
      <c r="AI50" t="inlineStr">
        <is>
          <t>76</t>
        </is>
      </c>
      <c r="AJ50" t="inlineStr">
        <is>
          <t>INFO_PARTIELLE</t>
        </is>
      </c>
      <c r="AK50" t="inlineStr">
        <is>
          <t>40</t>
        </is>
      </c>
      <c r="AL50" t="inlineStr">
        <is>
          <t>TIEDE</t>
        </is>
      </c>
      <c r="AM50">
        <f>MIN(100,MAX(0,IF(OR(ISNUMBER(SEARCH("nettoyage",C50)),ISNUMBER(SEARCH("proprete",C50)),ISNUMBER(SEARCH("entretien",C50)),ISNUMBER(SEARCH("hygiene",C50))),35,0)+IF(SUM(--(N50="75")+--(O50="75"),--(N50="77")+--(O50="77"),--(N50="78")+--(O50="78"),--(N50="91")+--(O50="91"),--(N50="92")+--(O50="92"),--(N50="93")+--(O50="93"),--(N50="94")+--(O50="94"),--(N50="95")+--(O50="95"))&gt;0,25,4)+IF(S50="",10,IF(S50&lt;=50000,25,IF(S50&lt;=100000,20,IF(S50&lt;=200000,5,IF(S50&lt;=500000,-10,-20)))))+IF(I50&lt;&gt;"",4,0)+IF(J50&lt;&gt;"",4,0)+IF(E50&lt;&gt;"",3,0)+IF(K50&lt;&gt;"",2,0)+IF(M50&lt;&gt;"",1,0)+IF(AD50&lt;&gt;"",1,0)+IF(R50="",0,IF(R50&lt;TODAY(),-30,IF(R50&lt;TODAY()+5,-15,IF(R50&lt;=TODAY()+15,5,10))))))</f>
        <v/>
      </c>
      <c r="AN50">
        <f>IF(AM50&gt;=65,"CHAUD",IF(AM50&gt;=40,"TIEDE","FROID"))</f>
        <v/>
      </c>
      <c r="AO50">
        <f>IF((IF(I50&lt;&gt;"",1,0)+IF(J50&lt;&gt;"",1,0)+IF(E50&lt;&gt;"",1,0)+IF(K50&lt;&gt;"",1,0))&gt;=4,"Complet",IF((IF(I50&lt;&gt;"",1,0)+IF(J50&lt;&gt;"",1,0)+IF(E50&lt;&gt;"",1,0)+IF(K50&lt;&gt;"",1,0))&gt;=2,"Partiel","Vide"))</f>
        <v/>
      </c>
      <c r="AP50">
        <f>IF(AJ50="DCE_A_TELECHARGER","Telecharger DCE",IF(T50="A_VERIFIER_BUDGET","Verifier budget",IF(AN50="CHAUD","Contacter maintenant",IF(AN50="TIEDE","Surveiller / relancer","Basse priorite"))))</f>
        <v/>
      </c>
      <c r="AQ50" t="inlineStr">
        <is>
          <t>IA_CONTACT_A_COMPLETER</t>
        </is>
      </c>
      <c r="AR50" t="inlineStr">
        <is>
          <t>Completer les champs manquants depuis l'avis source, le site acheteur ou le DCE.</t>
        </is>
      </c>
      <c r="AS50" t="inlineStr">
        <is>
          <t>adresse, ville</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26-60093. Objet: Mise en propreté des abords du site principal du Centre National d’Art et de Culture Georges Pompidou et des bâtiments annexes (CNAC-GP) (2 lots) - Vague 2 : lot 2 (26-CP04-044-AC). Acheteur: CENTRE POMPIDOU. Lien: https://www.boamp.fr/pages/avis/?q=idweb:26-60093.</t>
        </is>
      </c>
      <c r="AU50" t="inlineStr">
        <is>
          <t>Verifier url_avis et DCE si disponible</t>
        </is>
      </c>
      <c r="AV50" t="inlineStr"/>
      <c r="AW50" t="inlineStr"/>
      <c r="AX50" t="inlineStr"/>
      <c r="AY50" t="inlineStr"/>
      <c r="AZ50" t="inlineStr"/>
      <c r="BA50" t="inlineStr"/>
      <c r="BB50" t="inlineStr">
        <is>
          <t>+35 nettoyage + categorie claire | -20 gros budget (&gt; 500 000 EUR) | +15 procedure adaptee / MAPA / allotissement | +10 delai confortable 17j</t>
        </is>
      </c>
      <c r="BC50"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50"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50"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50" t="inlineStr"/>
      <c r="BG50" t="inlineStr"/>
      <c r="BH50" t="inlineStr"/>
      <c r="BI50" t="inlineStr"/>
      <c r="BJ50" t="inlineStr"/>
      <c r="BK50" t="inlineStr"/>
      <c r="BL50" t="inlineStr"/>
      <c r="BM50" t="inlineStr">
        <is>
          <t>2026-W25</t>
        </is>
      </c>
    </row>
    <row r="51">
      <c r="A51" t="inlineStr">
        <is>
          <t>BOAMP</t>
        </is>
      </c>
      <c r="B51" t="inlineStr">
        <is>
          <t>26-61430</t>
        </is>
      </c>
      <c r="C51" t="inlineStr">
        <is>
          <t>Prestations de santé au travail et de médecine préventive pour les agents de la Mairie de Rueil-Malmaison</t>
        </is>
      </c>
      <c r="D51" t="inlineStr">
        <is>
          <t>Commune de Rueil-Malmaison</t>
        </is>
      </c>
      <c r="E51" t="inlineStr">
        <is>
          <t>21920063100014</t>
        </is>
      </c>
      <c r="F51" t="inlineStr">
        <is>
          <t>219200631</t>
        </is>
      </c>
      <c r="G51" t="inlineStr"/>
      <c r="H51" t="inlineStr"/>
      <c r="I51" t="inlineStr">
        <is>
          <t>marches.publics@mairie-rueilmalmaison.fr</t>
        </is>
      </c>
      <c r="J51" t="inlineStr">
        <is>
          <t>+33 147145409</t>
        </is>
      </c>
      <c r="K51" t="inlineStr"/>
      <c r="L51" t="inlineStr"/>
      <c r="M51" t="inlineStr"/>
      <c r="N51" t="inlineStr">
        <is>
          <t>92</t>
        </is>
      </c>
      <c r="O51" t="inlineStr"/>
      <c r="P51" t="inlineStr">
        <is>
          <t>Ile-de-France</t>
        </is>
      </c>
      <c r="Q51" s="15" t="n">
        <v>46197</v>
      </c>
      <c r="R51" s="15" t="n">
        <v>46230</v>
      </c>
      <c r="S51" s="14" t="n">
        <v>1200000</v>
      </c>
      <c r="T51" t="inlineStr">
        <is>
          <t>BUDGET_EXPLICITE_OK</t>
        </is>
      </c>
      <c r="U51" t="inlineStr">
        <is>
          <t>1200000.0</t>
        </is>
      </c>
      <c r="V51" t="inlineStr">
        <is>
          <t>non</t>
        </is>
      </c>
      <c r="W51" t="inlineStr">
        <is>
          <t>Batiments</t>
        </is>
      </c>
      <c r="X51" t="inlineStr">
        <is>
          <t>Mairie</t>
        </is>
      </c>
      <c r="Y51" t="inlineStr">
        <is>
          <t>SERVICES</t>
        </is>
      </c>
      <c r="Z51" t="inlineStr">
        <is>
          <t>Procédure Ouverte</t>
        </is>
      </c>
      <c r="AA51" t="inlineStr">
        <is>
          <t>Avis de marché</t>
        </is>
      </c>
      <c r="AB51" t="inlineStr">
        <is>
          <t>Nettoyage de locaux</t>
        </is>
      </c>
      <c r="AC51" t="inlineStr"/>
      <c r="AD51" s="11" t="inlineStr">
        <is>
          <t>https://www.boamp.fr/pages/avis/?q=idweb:26-61430</t>
        </is>
      </c>
      <c r="AE51" t="inlineStr">
        <is>
          <t>https://marches.maximilien.fr/entreprise/consultation/941155?orgAcronyme=d7h</t>
        </is>
      </c>
      <c r="AF51" t="inlineStr">
        <is>
          <t>https://marches.maximilien.fr/entreprise/consultation/941155?orgAcronyme=d7h</t>
        </is>
      </c>
      <c r="AG51" t="inlineStr">
        <is>
          <t>nettoyage</t>
        </is>
      </c>
      <c r="AH51" t="inlineStr">
        <is>
          <t>3</t>
        </is>
      </c>
      <c r="AI51" t="inlineStr">
        <is>
          <t>68</t>
        </is>
      </c>
      <c r="AJ51" t="inlineStr">
        <is>
          <t>INFO_PARTIELLE</t>
        </is>
      </c>
      <c r="AK51" t="inlineStr">
        <is>
          <t>35</t>
        </is>
      </c>
      <c r="AL51" s="17" t="inlineStr">
        <is>
          <t>FROID</t>
        </is>
      </c>
      <c r="AM51">
        <f>MIN(100,MAX(0,IF(OR(ISNUMBER(SEARCH("nettoyage",C51)),ISNUMBER(SEARCH("proprete",C51)),ISNUMBER(SEARCH("entretien",C51)),ISNUMBER(SEARCH("hygiene",C51))),35,0)+IF(SUM(--(N51="75")+--(O51="75"),--(N51="77")+--(O51="77"),--(N51="78")+--(O51="78"),--(N51="91")+--(O51="91"),--(N51="92")+--(O51="92"),--(N51="93")+--(O51="93"),--(N51="94")+--(O51="94"),--(N51="95")+--(O51="95"))&gt;0,25,4)+IF(S51="",10,IF(S51&lt;=50000,25,IF(S51&lt;=100000,20,IF(S51&lt;=200000,5,IF(S51&lt;=500000,-10,-20)))))+IF(I51&lt;&gt;"",4,0)+IF(J51&lt;&gt;"",4,0)+IF(E51&lt;&gt;"",3,0)+IF(K51&lt;&gt;"",2,0)+IF(M51&lt;&gt;"",1,0)+IF(AD51&lt;&gt;"",1,0)+IF(R51="",0,IF(R51&lt;TODAY(),-30,IF(R51&lt;TODAY()+5,-15,IF(R51&lt;=TODAY()+15,5,10))))))</f>
        <v/>
      </c>
      <c r="AN51">
        <f>IF(AM51&gt;=65,"CHAUD",IF(AM51&gt;=40,"TIEDE","FROID"))</f>
        <v/>
      </c>
      <c r="AO51">
        <f>IF((IF(I51&lt;&gt;"",1,0)+IF(J51&lt;&gt;"",1,0)+IF(E51&lt;&gt;"",1,0)+IF(K51&lt;&gt;"",1,0))&gt;=4,"Complet",IF((IF(I51&lt;&gt;"",1,0)+IF(J51&lt;&gt;"",1,0)+IF(E51&lt;&gt;"",1,0)+IF(K51&lt;&gt;"",1,0))&gt;=2,"Partiel","Vide"))</f>
        <v/>
      </c>
      <c r="AP51">
        <f>IF(AJ51="DCE_A_TELECHARGER","Telecharger DCE",IF(T51="A_VERIFIER_BUDGET","Verifier budget",IF(AN51="CHAUD","Contacter maintenant",IF(AN51="TIEDE","Surveiller / relancer","Basse priorite"))))</f>
        <v/>
      </c>
      <c r="AQ51" t="inlineStr">
        <is>
          <t>IA_CONTACT_A_COMPLETER</t>
        </is>
      </c>
      <c r="AR51" t="inlineStr">
        <is>
          <t>Completer les champs manquants depuis l'avis source, le site acheteur ou le DCE.</t>
        </is>
      </c>
      <c r="AS51" t="inlineStr">
        <is>
          <t>adresse, ville</t>
        </is>
      </c>
      <c r="AT5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26-61430. Objet: Prestations de santé au travail et de médecine préventive pour les agents de la Mairie de Rueil-Malmaison. Acheteur: Commune de Rueil-Malmaison. Lien: https://www.boamp.fr/pages/avis/?q=idweb:26-61430.</t>
        </is>
      </c>
      <c r="AU51" t="inlineStr">
        <is>
          <t>Verifier url_avis et DCE si disponible</t>
        </is>
      </c>
      <c r="AV51" t="inlineStr"/>
      <c r="AW51" t="inlineStr"/>
      <c r="AX51" t="inlineStr"/>
      <c r="AY51" t="inlineStr"/>
      <c r="AZ51" t="inlineStr"/>
      <c r="BA51" t="inlineStr"/>
      <c r="BB51" t="inlineStr">
        <is>
          <t>+35 nettoyage + categorie claire | -20 gros budget (&gt; 500 000 EUR) | +10 secteur cible Mairie | +10 delai confortable 21j</t>
        </is>
      </c>
      <c r="BC51" t="inlineStr">
        <is>
          <t>Commune de Rueil-Malmaison publie un AO potentiellement pertinent pour CHRUTH : Prestations de santé au travail et de médecine préventive pour les agents de la Mairie de Rueil-Malmaison. Zone : 92. Budget detecte environ 1 200 000 EUR. Verifier le lien source avant contact.</t>
        </is>
      </c>
      <c r="BD51" t="inlineStr">
        <is>
          <t>Bonjour,
Je me permets de vous contacter au sujet de votre appel d'offres : Prestations de santé au travail et de médecine préventive pour les agents de la Mairie de Rueil-Malmaison.
CHRUTH accompagne les structures publiques et privées sur les besoins de nettoyage, d'entretien des locaux et d'organisation de prestations de service.
Serait-il possible d'échanger rapidement afin de vérifier les modalités de réponse et les attentes de Commune de Rueil-Malmaison ?
Cordialement,</t>
        </is>
      </c>
      <c r="BE51" t="inlineStr">
        <is>
          <t>Bonjour, je vous appelle concernant un appel d'offres publié par Commune de Rueil-Malmaison. Je souhaite vérifier les informations pratiques : périmètre des prestations, date limite, modalités de visite, contact technique et pièces attendues. Pouvez-vous m'indiquer la bonne personne à contacter ?</t>
        </is>
      </c>
      <c r="BF51" t="inlineStr"/>
      <c r="BG51" t="inlineStr"/>
      <c r="BH51" t="inlineStr"/>
      <c r="BI51" t="inlineStr"/>
      <c r="BJ51" t="inlineStr"/>
      <c r="BK51" t="inlineStr"/>
      <c r="BL51" t="inlineStr"/>
      <c r="BM51" t="inlineStr">
        <is>
          <t>2026-W26</t>
        </is>
      </c>
    </row>
    <row r="52">
      <c r="A52" t="inlineStr">
        <is>
          <t>BOAMP</t>
        </is>
      </c>
      <c r="B52" t="inlineStr">
        <is>
          <t>26-60020</t>
        </is>
      </c>
      <c r="C52" t="inlineStr">
        <is>
          <t>Entretien et nettoyage de l’ensemble des locaux du SIGIDURS</t>
        </is>
      </c>
      <c r="D52" t="inlineStr">
        <is>
          <t>SIGIDURS</t>
        </is>
      </c>
      <c r="E52" t="inlineStr">
        <is>
          <t>25950208600012</t>
        </is>
      </c>
      <c r="F52" t="inlineStr">
        <is>
          <t>259502086</t>
        </is>
      </c>
      <c r="G52" t="inlineStr">
        <is>
          <t>Jean-Claude GENIES</t>
        </is>
      </c>
      <c r="H52" t="inlineStr"/>
      <c r="I52" t="inlineStr">
        <is>
          <t>marchespublics@sigidurs.fr</t>
        </is>
      </c>
      <c r="J52" t="inlineStr">
        <is>
          <t>0208600012</t>
        </is>
      </c>
      <c r="K52" t="inlineStr">
        <is>
          <t>Plusieurs lieux</t>
        </is>
      </c>
      <c r="L52" t="inlineStr">
        <is>
          <t>95200</t>
        </is>
      </c>
      <c r="M52" t="inlineStr">
        <is>
          <t>Sarcelles</t>
        </is>
      </c>
      <c r="N52" t="inlineStr">
        <is>
          <t>95</t>
        </is>
      </c>
      <c r="O52" t="inlineStr"/>
      <c r="P52" t="inlineStr">
        <is>
          <t>Ile-de-France</t>
        </is>
      </c>
      <c r="Q52" s="15" t="n">
        <v>46190</v>
      </c>
      <c r="R52" s="15" t="n">
        <v>46280</v>
      </c>
      <c r="S52" s="14" t="n">
        <v>95200</v>
      </c>
      <c r="T52" t="inlineStr">
        <is>
          <t>BUDGET_SOUS_SEUIL</t>
        </is>
      </c>
      <c r="U52" t="inlineStr">
        <is>
          <t>380800</t>
        </is>
      </c>
      <c r="V52" t="inlineStr">
        <is>
          <t>oui</t>
        </is>
      </c>
      <c r="W52" t="inlineStr">
        <is>
          <t>Batiments</t>
        </is>
      </c>
      <c r="X52" t="inlineStr">
        <is>
          <t>Autre</t>
        </is>
      </c>
      <c r="Y52" t="inlineStr">
        <is>
          <t>SERVICES</t>
        </is>
      </c>
      <c r="Z52" t="inlineStr">
        <is>
          <t>Procédure Ouverte</t>
        </is>
      </c>
      <c r="AA52" t="inlineStr">
        <is>
          <t>Avis de marché</t>
        </is>
      </c>
      <c r="AB52" t="inlineStr">
        <is>
          <t>Nettoyage de locaux</t>
        </is>
      </c>
      <c r="AC52" t="inlineStr"/>
      <c r="AD52" s="11" t="inlineStr">
        <is>
          <t>https://www.boamp.fr/pages/avis/?q=idweb:26-60020</t>
        </is>
      </c>
      <c r="AE52" t="inlineStr">
        <is>
          <t>https://www.achatpublic.com/</t>
        </is>
      </c>
      <c r="AF52" t="inlineStr">
        <is>
          <t>https://www.achatpublic.com/</t>
        </is>
      </c>
      <c r="AG52" t="inlineStr">
        <is>
          <t>nettoyage</t>
        </is>
      </c>
      <c r="AH52" t="inlineStr">
        <is>
          <t>6</t>
        </is>
      </c>
      <c r="AI52" t="inlineStr">
        <is>
          <t>98</t>
        </is>
      </c>
      <c r="AJ52" t="inlineStr">
        <is>
          <t>INFO_PARTIELLE</t>
        </is>
      </c>
      <c r="AK52" t="inlineStr">
        <is>
          <t>35</t>
        </is>
      </c>
      <c r="AL52" s="17" t="inlineStr">
        <is>
          <t>FROID</t>
        </is>
      </c>
      <c r="AM52">
        <f>MIN(100,MAX(0,IF(OR(ISNUMBER(SEARCH("nettoyage",C52)),ISNUMBER(SEARCH("proprete",C52)),ISNUMBER(SEARCH("entretien",C52)),ISNUMBER(SEARCH("hygiene",C52))),35,0)+IF(SUM(--(N52="75")+--(O52="75"),--(N52="77")+--(O52="77"),--(N52="78")+--(O52="78"),--(N52="91")+--(O52="91"),--(N52="92")+--(O52="92"),--(N52="93")+--(O52="93"),--(N52="94")+--(O52="94"),--(N52="95")+--(O52="95"))&gt;0,25,4)+IF(S52="",10,IF(S52&lt;=50000,25,IF(S52&lt;=100000,20,IF(S52&lt;=200000,5,IF(S52&lt;=500000,-10,-20)))))+IF(I52&lt;&gt;"",4,0)+IF(J52&lt;&gt;"",4,0)+IF(E52&lt;&gt;"",3,0)+IF(K52&lt;&gt;"",2,0)+IF(M52&lt;&gt;"",1,0)+IF(AD52&lt;&gt;"",1,0)+IF(R52="",0,IF(R52&lt;TODAY(),-30,IF(R52&lt;TODAY()+5,-15,IF(R52&lt;=TODAY()+15,5,10))))))</f>
        <v/>
      </c>
      <c r="AN52">
        <f>IF(AM52&gt;=65,"CHAUD",IF(AM52&gt;=40,"TIEDE","FROID"))</f>
        <v/>
      </c>
      <c r="AO52">
        <f>IF((IF(I52&lt;&gt;"",1,0)+IF(J52&lt;&gt;"",1,0)+IF(E52&lt;&gt;"",1,0)+IF(K52&lt;&gt;"",1,0))&gt;=4,"Complet",IF((IF(I52&lt;&gt;"",1,0)+IF(J52&lt;&gt;"",1,0)+IF(E52&lt;&gt;"",1,0)+IF(K52&lt;&gt;"",1,0))&gt;=2,"Partiel","Vide"))</f>
        <v/>
      </c>
      <c r="AP52">
        <f>IF(AJ52="DCE_A_TELECHARGER","Telecharger DCE",IF(T52="A_VERIFIER_BUDGET","Verifier budget",IF(AN52="CHAUD","Contacter maintenant",IF(AN52="TIEDE","Surveiller / relancer","Basse priorite"))))</f>
        <v/>
      </c>
      <c r="AQ52" t="inlineStr">
        <is>
          <t>IA_CONTROLE_SOURCE</t>
        </is>
      </c>
      <c r="AR52" t="inlineStr">
        <is>
          <t>Verifier rapidement la source avant contact.</t>
        </is>
      </c>
      <c r="AS52" t="inlineStr">
        <is>
          <t>Aucun champ critique manquant</t>
        </is>
      </c>
      <c r="AT5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26-60020. Objet: Entretien et nettoyage de l’ensemble des locaux du SIGIDURS. Acheteur: SIGIDURS. Lien: https://www.boamp.fr/pages/avis/?q=idweb:26-60020.</t>
        </is>
      </c>
      <c r="AU52" t="inlineStr">
        <is>
          <t>Verifier url_avis et DCE si disponible</t>
        </is>
      </c>
      <c r="AV52" t="inlineStr"/>
      <c r="AW52" t="inlineStr"/>
      <c r="AX52" t="inlineStr"/>
      <c r="AY52" t="inlineStr"/>
      <c r="AZ52" t="inlineStr"/>
      <c r="BA52" t="inlineStr"/>
      <c r="BB52" t="inlineStr">
        <is>
          <t>+35 nettoyage + categorie claire | -10 budget annualise &lt;= 500 000 EUR | +10 delai confortable 85j</t>
        </is>
      </c>
      <c r="BC52" t="inlineStr">
        <is>
          <t>SIGIDURS publie un AO potentiellement pertinent pour CHRUTH : Entretien et nettoyage de l’ensemble des locaux du SIGIDURS. Zone : Sarcelles. Budget detecte environ 95 200 EUR. Verifier le lien source avant contact.</t>
        </is>
      </c>
      <c r="BD52" t="inlineStr">
        <is>
          <t>Bonjour,
Je me permets de vous contacter au sujet de votre appel d'offres : Entretien et nettoyage de l’ensemble des locaux du SIGIDURS.
CHRUTH accompagne les structures publiques et privees sur les besoins de nettoyage, d'entretien des locaux et d'organisation de prestations de service.
Serait-il possible d'echanger rapidement afin de verifier les modalites de reponse et les attentes de SIGIDURS ?
Cordialement,</t>
        </is>
      </c>
      <c r="BE52" t="inlineStr">
        <is>
          <t>Bonjour, je vous appelle concernant un appel d'offres publie par SIGIDURS. Je souhaite verifier les informations pratiques : perimetre des prestations, date limite, modalites de visite, contact technique et pieces attendues. Pouvez-vous m'indiquer la bonne personne a contacter ?</t>
        </is>
      </c>
      <c r="BF52" t="inlineStr"/>
      <c r="BG52" t="inlineStr"/>
      <c r="BH52" t="inlineStr"/>
      <c r="BI52" t="inlineStr"/>
      <c r="BJ52" t="inlineStr"/>
      <c r="BK52" t="inlineStr"/>
      <c r="BL52" t="inlineStr"/>
      <c r="BM52" t="inlineStr">
        <is>
          <t>2026-W25</t>
        </is>
      </c>
    </row>
    <row r="53">
      <c r="A53" t="inlineStr">
        <is>
          <t>BOAMP</t>
        </is>
      </c>
      <c r="B53" t="inlineStr">
        <is>
          <t>26-53642</t>
        </is>
      </c>
      <c r="C53" t="inlineStr">
        <is>
          <t>Prestations de nettoyage et de ménage dans les bâtiments communaux de Maisons-Laffitte</t>
        </is>
      </c>
      <c r="D53" t="inlineStr">
        <is>
          <t>Mairie de Maisons-Laffitte</t>
        </is>
      </c>
      <c r="E53" t="inlineStr">
        <is>
          <t>21780358400010</t>
        </is>
      </c>
      <c r="F53" t="inlineStr">
        <is>
          <t>217803584</t>
        </is>
      </c>
      <c r="G53" t="inlineStr"/>
      <c r="H53" t="inlineStr"/>
      <c r="I53" t="inlineStr">
        <is>
          <t>achats@maisonslaffitte.fr</t>
        </is>
      </c>
      <c r="J53" t="inlineStr">
        <is>
          <t>0358400010</t>
        </is>
      </c>
      <c r="K53" t="inlineStr"/>
      <c r="L53" t="inlineStr"/>
      <c r="M53" t="inlineStr"/>
      <c r="N53" t="inlineStr">
        <is>
          <t>78</t>
        </is>
      </c>
      <c r="O53" t="inlineStr"/>
      <c r="P53" t="inlineStr">
        <is>
          <t>Ile-de-France</t>
        </is>
      </c>
      <c r="Q53" s="15" t="n">
        <v>46176</v>
      </c>
      <c r="R53" s="15" t="n">
        <v>46205</v>
      </c>
      <c r="S53" s="14" t="n">
        <v>515000</v>
      </c>
      <c r="T53" t="inlineStr">
        <is>
          <t>BUDGET_EXPLICITE_OK</t>
        </is>
      </c>
      <c r="U53" t="inlineStr">
        <is>
          <t>515000.0</t>
        </is>
      </c>
      <c r="V53" t="inlineStr">
        <is>
          <t>non</t>
        </is>
      </c>
      <c r="W53" t="inlineStr">
        <is>
          <t>Batiments</t>
        </is>
      </c>
      <c r="X53" t="inlineStr">
        <is>
          <t>Mairie</t>
        </is>
      </c>
      <c r="Y53" t="inlineStr">
        <is>
          <t>SERVICES</t>
        </is>
      </c>
      <c r="Z53" t="inlineStr">
        <is>
          <t>Procédure Ouverte</t>
        </is>
      </c>
      <c r="AA53" t="inlineStr">
        <is>
          <t>Avis de marché</t>
        </is>
      </c>
      <c r="AB53" t="inlineStr">
        <is>
          <t>Nettoyage de locaux, Bâtiment</t>
        </is>
      </c>
      <c r="AC53" t="inlineStr"/>
      <c r="AD53" s="11" t="inlineStr">
        <is>
          <t>https://www.boamp.fr/pages/avis/?q=idweb:26-53642</t>
        </is>
      </c>
      <c r="AE53" t="inlineStr">
        <is>
          <t>https://www.maximilien.fr/</t>
        </is>
      </c>
      <c r="AF53" t="inlineStr">
        <is>
          <t>https://www.maximilien.fr/</t>
        </is>
      </c>
      <c r="AG53" t="inlineStr">
        <is>
          <t>nettoyage, menage</t>
        </is>
      </c>
      <c r="AH53" t="inlineStr">
        <is>
          <t>3</t>
        </is>
      </c>
      <c r="AI53" t="inlineStr">
        <is>
          <t>76</t>
        </is>
      </c>
      <c r="AJ53" t="inlineStr">
        <is>
          <t>INFO_PARTIELLE</t>
        </is>
      </c>
      <c r="AK53" t="inlineStr">
        <is>
          <t>30</t>
        </is>
      </c>
      <c r="AL53" s="17" t="inlineStr">
        <is>
          <t>FROID</t>
        </is>
      </c>
      <c r="AM53">
        <f>MIN(100,MAX(0,IF(OR(ISNUMBER(SEARCH("nettoyage",C53)),ISNUMBER(SEARCH("proprete",C53)),ISNUMBER(SEARCH("entretien",C53)),ISNUMBER(SEARCH("hygiene",C53))),35,0)+IF(SUM(--(N53="75")+--(O53="75"),--(N53="77")+--(O53="77"),--(N53="78")+--(O53="78"),--(N53="91")+--(O53="91"),--(N53="92")+--(O53="92"),--(N53="93")+--(O53="93"),--(N53="94")+--(O53="94"),--(N53="95")+--(O53="95"))&gt;0,25,4)+IF(S53="",10,IF(S53&lt;=50000,25,IF(S53&lt;=100000,20,IF(S53&lt;=200000,5,IF(S53&lt;=500000,-10,-20)))))+IF(I53&lt;&gt;"",4,0)+IF(J53&lt;&gt;"",4,0)+IF(E53&lt;&gt;"",3,0)+IF(K53&lt;&gt;"",2,0)+IF(M53&lt;&gt;"",1,0)+IF(AD53&lt;&gt;"",1,0)+IF(R53="",0,IF(R53&lt;TODAY(),-30,IF(R53&lt;TODAY()+5,-15,IF(R53&lt;=TODAY()+15,5,10))))))</f>
        <v/>
      </c>
      <c r="AN53">
        <f>IF(AM53&gt;=65,"CHAUD",IF(AM53&gt;=40,"TIEDE","FROID"))</f>
        <v/>
      </c>
      <c r="AO53">
        <f>IF((IF(I53&lt;&gt;"",1,0)+IF(J53&lt;&gt;"",1,0)+IF(E53&lt;&gt;"",1,0)+IF(K53&lt;&gt;"",1,0))&gt;=4,"Complet",IF((IF(I53&lt;&gt;"",1,0)+IF(J53&lt;&gt;"",1,0)+IF(E53&lt;&gt;"",1,0)+IF(K53&lt;&gt;"",1,0))&gt;=2,"Partiel","Vide"))</f>
        <v/>
      </c>
      <c r="AP53">
        <f>IF(AJ53="DCE_A_TELECHARGER","Telecharger DCE",IF(T53="A_VERIFIER_BUDGET","Verifier budget",IF(AN53="CHAUD","Contacter maintenant",IF(AN53="TIEDE","Surveiller / relancer","Basse priorite"))))</f>
        <v/>
      </c>
      <c r="AQ53" t="inlineStr">
        <is>
          <t>IA_CONTACT_A_COMPLETER</t>
        </is>
      </c>
      <c r="AR53" t="inlineStr">
        <is>
          <t>Completer les champs manquants depuis l'avis source, le site acheteur ou le DCE.</t>
        </is>
      </c>
      <c r="AS53" t="inlineStr">
        <is>
          <t>adresse, ville</t>
        </is>
      </c>
      <c r="AT5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26-53642. Objet: Prestations de nettoyage et de ménage dans les bâtiments communaux de Maisons-Laffitte. Acheteur: Mairie de Maisons-Laffitte. Lien: https://www.boamp.fr/pages/avis/?q=idweb:26-53642.</t>
        </is>
      </c>
      <c r="AU53" t="inlineStr">
        <is>
          <t>Verifier url_avis et DCE si disponible</t>
        </is>
      </c>
      <c r="AV53" t="inlineStr"/>
      <c r="AW53" t="inlineStr"/>
      <c r="AX53" t="inlineStr"/>
      <c r="AY53" t="inlineStr"/>
      <c r="AZ53" t="inlineStr"/>
      <c r="BA53" t="inlineStr"/>
      <c r="BB53" t="inlineStr">
        <is>
          <t>+35 nettoyage + categorie claire | -20 gros budget (&gt; 500 000 EUR) | +10 secteur cible Mairie | +5 delai court 15j</t>
        </is>
      </c>
      <c r="BC53" t="inlineStr">
        <is>
          <t>Mairie de Maisons-Laffitte publie un AO potentiellement pertinent pour CHRUTH : Prestations de nettoyage et de ménage dans les bâtiments communaux de Maisons-Laffitte. Zone : 78. Budget detecte environ 515 000 EUR. Verifier le lien source avant contact.</t>
        </is>
      </c>
      <c r="BD53" t="inlineStr">
        <is>
          <t>Bonjour,
Je me permets de vous contacter au sujet de votre appel d'offres : Prestations de nettoyage et de ménage dans les bâtiments communaux de Maisons-Laffitte.
CHRUTH accompagne les structures publiques et privees sur les besoins de nettoyage, d'entretien des locaux et d'organisation de prestations de service.
Serait-il possible d'echanger rapidement afin de verifier les modalites de reponse et les attentes de Mairie de Maisons-Laffitte ?
Cordialement,</t>
        </is>
      </c>
      <c r="BE53" t="inlineStr">
        <is>
          <t>Bonjour, je vous appelle concernant un appel d'offres publie par Mairie de Maisons-Laffitte. Je souhaite verifier les informations pratiques : perimetre des prestations, date limite, modalites de visite, contact technique et pieces attendues. Pouvez-vous m'indiquer la bonne personne a contacter ?</t>
        </is>
      </c>
      <c r="BF53" t="inlineStr"/>
      <c r="BG53" t="inlineStr"/>
      <c r="BH53" t="inlineStr"/>
      <c r="BI53" t="inlineStr"/>
      <c r="BJ53" t="inlineStr"/>
      <c r="BK53" t="inlineStr"/>
      <c r="BL53" t="inlineStr"/>
      <c r="BM53" t="inlineStr">
        <is>
          <t>2026-W23</t>
        </is>
      </c>
    </row>
    <row r="54">
      <c r="A54" t="inlineStr">
        <is>
          <t>BOAMP</t>
        </is>
      </c>
      <c r="B54" t="inlineStr">
        <is>
          <t>26-64579</t>
        </is>
      </c>
      <c r="C54" t="inlineStr">
        <is>
          <t>Prestations de contrôle et de maintenance des jeux, des agrès fitness et des équipements sportifs de la ville de Houilles</t>
        </is>
      </c>
      <c r="D54" t="inlineStr">
        <is>
          <t>ville de Houilles</t>
        </is>
      </c>
      <c r="E54" t="inlineStr">
        <is>
          <t>21780311300018</t>
        </is>
      </c>
      <c r="F54" t="inlineStr">
        <is>
          <t>217803113</t>
        </is>
      </c>
      <c r="G54" t="inlineStr"/>
      <c r="H54" t="inlineStr"/>
      <c r="I54" t="inlineStr">
        <is>
          <t>marche-public@ville-houilles.fr</t>
        </is>
      </c>
      <c r="J54" t="inlineStr">
        <is>
          <t>0311300018</t>
        </is>
      </c>
      <c r="K54" t="inlineStr"/>
      <c r="L54" t="inlineStr"/>
      <c r="M54" t="inlineStr"/>
      <c r="N54" t="inlineStr">
        <is>
          <t>78</t>
        </is>
      </c>
      <c r="O54" t="inlineStr"/>
      <c r="P54" t="inlineStr">
        <is>
          <t>Ile-de-France</t>
        </is>
      </c>
      <c r="Q54" s="15" t="n">
        <v>46204</v>
      </c>
      <c r="R54" s="15" t="n">
        <v>46216</v>
      </c>
      <c r="S54" s="14" t="n">
        <v>504000</v>
      </c>
      <c r="T54" t="inlineStr">
        <is>
          <t>BUDGET_EXPLICITE_OK</t>
        </is>
      </c>
      <c r="U54" t="inlineStr">
        <is>
          <t>3024000</t>
        </is>
      </c>
      <c r="V54" t="inlineStr">
        <is>
          <t>oui</t>
        </is>
      </c>
      <c r="W54" t="inlineStr">
        <is>
          <t>Mixte/Autre</t>
        </is>
      </c>
      <c r="X54" t="inlineStr">
        <is>
          <t>Mairie</t>
        </is>
      </c>
      <c r="Y54" t="inlineStr">
        <is>
          <t>SERVICES</t>
        </is>
      </c>
      <c r="Z54" t="inlineStr">
        <is>
          <t>Procédure Ouverte</t>
        </is>
      </c>
      <c r="AA54" t="inlineStr">
        <is>
          <t>Avis de marché</t>
        </is>
      </c>
      <c r="AB54" t="inlineStr">
        <is>
          <t>Maintenance</t>
        </is>
      </c>
      <c r="AC54" t="inlineStr"/>
      <c r="AD54" s="11" t="inlineStr">
        <is>
          <t>https://www.boamp.fr/pages/avis/?q=idweb:26-64579</t>
        </is>
      </c>
      <c r="AE54" t="inlineStr">
        <is>
          <t>https://www.achatpublic.com/sdm/ent2/gen/ficheCsl.action?PCSLID=CSL_2026_fZ5m08HVWI</t>
        </is>
      </c>
      <c r="AF54" t="inlineStr">
        <is>
          <t>https://www.achatpublic.com/sdm/ent2/gen/ficheCsl.action?PCSLID=CSL_2026_fZ5m08HVWI</t>
        </is>
      </c>
      <c r="AG54" t="inlineStr">
        <is>
          <t>proprete</t>
        </is>
      </c>
      <c r="AH54" t="inlineStr">
        <is>
          <t>3</t>
        </is>
      </c>
      <c r="AI54" t="inlineStr">
        <is>
          <t>68</t>
        </is>
      </c>
      <c r="AJ54" t="inlineStr">
        <is>
          <t>INFO_PARTIELLE</t>
        </is>
      </c>
      <c r="AK54" t="inlineStr">
        <is>
          <t>25</t>
        </is>
      </c>
      <c r="AL54" s="17" t="inlineStr">
        <is>
          <t>FROID</t>
        </is>
      </c>
      <c r="AM54">
        <f>MIN(100,MAX(0,IF(OR(ISNUMBER(SEARCH("nettoyage",C54)),ISNUMBER(SEARCH("proprete",C54)),ISNUMBER(SEARCH("entretien",C54)),ISNUMBER(SEARCH("hygiene",C54))),35,0)+IF(SUM(--(N54="75")+--(O54="75"),--(N54="77")+--(O54="77"),--(N54="78")+--(O54="78"),--(N54="91")+--(O54="91"),--(N54="92")+--(O54="92"),--(N54="93")+--(O54="93"),--(N54="94")+--(O54="94"),--(N54="95")+--(O54="95"))&gt;0,25,4)+IF(S54="",10,IF(S54&lt;=50000,25,IF(S54&lt;=100000,20,IF(S54&lt;=200000,5,IF(S54&lt;=500000,-10,-20)))))+IF(I54&lt;&gt;"",4,0)+IF(J54&lt;&gt;"",4,0)+IF(E54&lt;&gt;"",3,0)+IF(K54&lt;&gt;"",2,0)+IF(M54&lt;&gt;"",1,0)+IF(AD54&lt;&gt;"",1,0)+IF(R54="",0,IF(R54&lt;TODAY(),-30,IF(R54&lt;TODAY()+5,-15,IF(R54&lt;=TODAY()+15,5,10))))))</f>
        <v/>
      </c>
      <c r="AN54">
        <f>IF(AM54&gt;=65,"CHAUD",IF(AM54&gt;=40,"TIEDE","FROID"))</f>
        <v/>
      </c>
      <c r="AO54">
        <f>IF((IF(I54&lt;&gt;"",1,0)+IF(J54&lt;&gt;"",1,0)+IF(E54&lt;&gt;"",1,0)+IF(K54&lt;&gt;"",1,0))&gt;=4,"Complet",IF((IF(I54&lt;&gt;"",1,0)+IF(J54&lt;&gt;"",1,0)+IF(E54&lt;&gt;"",1,0)+IF(K54&lt;&gt;"",1,0))&gt;=2,"Partiel","Vide"))</f>
        <v/>
      </c>
      <c r="AP54">
        <f>IF(AJ54="DCE_A_TELECHARGER","Telecharger DCE",IF(T54="A_VERIFIER_BUDGET","Verifier budget",IF(AN54="CHAUD","Contacter maintenant",IF(AN54="TIEDE","Surveiller / relancer","Basse priorite"))))</f>
        <v/>
      </c>
      <c r="AQ54" t="inlineStr">
        <is>
          <t>IA_CONTACT_A_COMPLETER</t>
        </is>
      </c>
      <c r="AR54" t="inlineStr">
        <is>
          <t>Completer les champs manquants depuis l'avis source, le site acheteur ou le DCE.</t>
        </is>
      </c>
      <c r="AS54" t="inlineStr">
        <is>
          <t>adresse, ville</t>
        </is>
      </c>
      <c r="AT5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26-64579. Objet: Prestations de contrôle et de maintenance des jeux, des agrès fitness et des équipements sportifs de la ville de Houilles. Acheteur: ville de Houilles. Lien: https://www.boamp.fr/pages/avis/?q=idweb:26-64579.</t>
        </is>
      </c>
      <c r="AU54" t="inlineStr">
        <is>
          <t>Verifier url_avis et DCE si disponible</t>
        </is>
      </c>
      <c r="AV54" t="inlineStr"/>
      <c r="AW54" t="inlineStr"/>
      <c r="AX54" t="inlineStr"/>
      <c r="AY54" t="inlineStr"/>
      <c r="AZ54" t="inlineStr"/>
      <c r="BA54" t="inlineStr"/>
      <c r="BB54" t="inlineStr">
        <is>
          <t>+30 mots-cles nettoyage forts | -20 gros budget (&gt; 500 000 EUR) | +10 secteur cible Mairie | +5 delai court 7j</t>
        </is>
      </c>
      <c r="BC54" t="inlineStr">
        <is>
          <t>ville de Houilles publie un AO potentiellement pertinent pour CHRUTH : Prestations de contrôle et de maintenance des jeux, des agrès fitness et des équipements sportifs de la ville de Houilles. Zone : 78. Budget detecte environ 504 000 EUR. Verifier le lien source avant contact.</t>
        </is>
      </c>
      <c r="BD54" t="inlineStr">
        <is>
          <t>Bonjour,
Je me permets de vous contacter au sujet de votre appel d'offres : Prestations de contrôle et de maintenance des jeux, des agrès fitness et des équipements sportifs de la ville de Houilles.
CHRUTH accompagne les structures publiques et privées sur les besoins de nettoyage, d'entretien des locaux et d'organisation de prestations de service.
Serait-il possible d'échanger rapidement afin de vérifier les modalités de réponse et les attentes de ville de Houilles ?
Cordialement,</t>
        </is>
      </c>
      <c r="BE54" t="inlineStr">
        <is>
          <t>Bonjour, je vous appelle concernant un appel d'offres publié par ville de Houilles. Je souhaite vérifier les informations pratiques : périmètre des prestations, date limite, modalités de visite, contact technique et pièces attendues. Pouvez-vous m'indiquer la bonne personne à contacter ?</t>
        </is>
      </c>
      <c r="BF54" t="inlineStr"/>
      <c r="BG54" t="inlineStr"/>
      <c r="BH54" t="inlineStr"/>
      <c r="BI54" t="inlineStr"/>
      <c r="BJ54" t="inlineStr"/>
      <c r="BK54" t="inlineStr"/>
      <c r="BL54" t="inlineStr"/>
      <c r="BM54" t="inlineStr">
        <is>
          <t>2026-W27</t>
        </is>
      </c>
    </row>
    <row r="55">
      <c r="A55" t="inlineStr">
        <is>
          <t>BOAMP</t>
        </is>
      </c>
      <c r="B55" t="inlineStr">
        <is>
          <t>26-63641</t>
        </is>
      </c>
      <c r="C55" t="inlineStr">
        <is>
          <t>Prestations de service de médecine professionnelle et préventive au bénéfice des agents de Plaine Commune</t>
        </is>
      </c>
      <c r="D55" t="inlineStr">
        <is>
          <t>Etablissement Public Territorial Plaine Commune</t>
        </is>
      </c>
      <c r="E55" t="inlineStr">
        <is>
          <t>20005786700018</t>
        </is>
      </c>
      <c r="F55" t="inlineStr">
        <is>
          <t>200057867</t>
        </is>
      </c>
      <c r="G55" t="inlineStr"/>
      <c r="H55" t="inlineStr"/>
      <c r="I55" t="inlineStr">
        <is>
          <t>mayooragi.manoharan@plainecommune.fr</t>
        </is>
      </c>
      <c r="J55" t="inlineStr">
        <is>
          <t>0578670001</t>
        </is>
      </c>
      <c r="K55" t="inlineStr"/>
      <c r="L55" t="inlineStr"/>
      <c r="M55" t="inlineStr"/>
      <c r="N55" t="inlineStr">
        <is>
          <t>93</t>
        </is>
      </c>
      <c r="O55" t="inlineStr"/>
      <c r="P55" t="inlineStr">
        <is>
          <t>Ile-de-France</t>
        </is>
      </c>
      <c r="Q55" s="15" t="n">
        <v>46201</v>
      </c>
      <c r="R55" s="15" t="n">
        <v>46232</v>
      </c>
      <c r="S55" s="14" t="n">
        <v>749999</v>
      </c>
      <c r="T55" t="inlineStr">
        <is>
          <t>BUDGET_EXPLICITE_OK</t>
        </is>
      </c>
      <c r="U55" t="inlineStr">
        <is>
          <t>4499994</t>
        </is>
      </c>
      <c r="V55" t="inlineStr">
        <is>
          <t>oui</t>
        </is>
      </c>
      <c r="W55" t="inlineStr">
        <is>
          <t>Batiments</t>
        </is>
      </c>
      <c r="X55" t="inlineStr">
        <is>
          <t>Autre</t>
        </is>
      </c>
      <c r="Y55" t="inlineStr">
        <is>
          <t>SERVICES</t>
        </is>
      </c>
      <c r="Z55" t="inlineStr">
        <is>
          <t>Procédure Ouverte</t>
        </is>
      </c>
      <c r="AA55" t="inlineStr">
        <is>
          <t>Avis de marché</t>
        </is>
      </c>
      <c r="AB55" t="inlineStr">
        <is>
          <t>Nettoyage de locaux</t>
        </is>
      </c>
      <c r="AC55" t="inlineStr"/>
      <c r="AD55" s="11" t="inlineStr">
        <is>
          <t>https://www.boamp.fr/pages/avis/?q=idweb:26-63641</t>
        </is>
      </c>
      <c r="AE55" t="inlineStr">
        <is>
          <t>https://marches.maximilien.fr/?page=Entreprise.EntrepriseAdvancedSearch&amp;AllCons&amp;id=942040&amp;orgAcronyme=p2q</t>
        </is>
      </c>
      <c r="AF55" t="inlineStr">
        <is>
          <t>https://marches.maximilien.fr/?page=Entreprise.EntrepriseAdvancedSearch&amp;AllCons&amp;id=942040&amp;orgAcronyme=p2q</t>
        </is>
      </c>
      <c r="AG55" t="inlineStr">
        <is>
          <t>nettoyage</t>
        </is>
      </c>
      <c r="AH55" t="inlineStr">
        <is>
          <t>3</t>
        </is>
      </c>
      <c r="AI55" t="inlineStr">
        <is>
          <t>68</t>
        </is>
      </c>
      <c r="AJ55" t="inlineStr">
        <is>
          <t>INFO_PARTIELLE</t>
        </is>
      </c>
      <c r="AK55" t="inlineStr">
        <is>
          <t>25</t>
        </is>
      </c>
      <c r="AL55" s="17" t="inlineStr">
        <is>
          <t>FROID</t>
        </is>
      </c>
      <c r="AM55">
        <f>MIN(100,MAX(0,IF(OR(ISNUMBER(SEARCH("nettoyage",C55)),ISNUMBER(SEARCH("proprete",C55)),ISNUMBER(SEARCH("entretien",C55)),ISNUMBER(SEARCH("hygiene",C55))),35,0)+IF(SUM(--(N55="75")+--(O55="75"),--(N55="77")+--(O55="77"),--(N55="78")+--(O55="78"),--(N55="91")+--(O55="91"),--(N55="92")+--(O55="92"),--(N55="93")+--(O55="93"),--(N55="94")+--(O55="94"),--(N55="95")+--(O55="95"))&gt;0,25,4)+IF(S55="",10,IF(S55&lt;=50000,25,IF(S55&lt;=100000,20,IF(S55&lt;=200000,5,IF(S55&lt;=500000,-10,-20)))))+IF(I55&lt;&gt;"",4,0)+IF(J55&lt;&gt;"",4,0)+IF(E55&lt;&gt;"",3,0)+IF(K55&lt;&gt;"",2,0)+IF(M55&lt;&gt;"",1,0)+IF(AD55&lt;&gt;"",1,0)+IF(R55="",0,IF(R55&lt;TODAY(),-30,IF(R55&lt;TODAY()+5,-15,IF(R55&lt;=TODAY()+15,5,10))))))</f>
        <v/>
      </c>
      <c r="AN55">
        <f>IF(AM55&gt;=65,"CHAUD",IF(AM55&gt;=40,"TIEDE","FROID"))</f>
        <v/>
      </c>
      <c r="AO55">
        <f>IF((IF(I55&lt;&gt;"",1,0)+IF(J55&lt;&gt;"",1,0)+IF(E55&lt;&gt;"",1,0)+IF(K55&lt;&gt;"",1,0))&gt;=4,"Complet",IF((IF(I55&lt;&gt;"",1,0)+IF(J55&lt;&gt;"",1,0)+IF(E55&lt;&gt;"",1,0)+IF(K55&lt;&gt;"",1,0))&gt;=2,"Partiel","Vide"))</f>
        <v/>
      </c>
      <c r="AP55">
        <f>IF(AJ55="DCE_A_TELECHARGER","Telecharger DCE",IF(T55="A_VERIFIER_BUDGET","Verifier budget",IF(AN55="CHAUD","Contacter maintenant",IF(AN55="TIEDE","Surveiller / relancer","Basse priorite"))))</f>
        <v/>
      </c>
      <c r="AQ55" t="inlineStr">
        <is>
          <t>IA_CONTACT_A_COMPLETER</t>
        </is>
      </c>
      <c r="AR55" t="inlineStr">
        <is>
          <t>Completer les champs manquants depuis l'avis source, le site acheteur ou le DCE.</t>
        </is>
      </c>
      <c r="AS55" t="inlineStr">
        <is>
          <t>adresse, ville</t>
        </is>
      </c>
      <c r="AT5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26-63641. Objet: Prestations de service de médecine professionnelle et préventive au bénéfice des agents de Plaine Commune. Acheteur: Etablissement Public Territorial Plaine Commune. Lien: https://www.boamp.fr/pages/avis/?q=idweb:26-63641.</t>
        </is>
      </c>
      <c r="AU55" t="inlineStr">
        <is>
          <t>Verifier url_avis et DCE si disponible</t>
        </is>
      </c>
      <c r="AV55" t="inlineStr"/>
      <c r="AW55" t="inlineStr"/>
      <c r="AX55" t="inlineStr"/>
      <c r="AY55" t="inlineStr"/>
      <c r="AZ55" t="inlineStr"/>
      <c r="BA55" t="inlineStr"/>
      <c r="BB55" t="inlineStr">
        <is>
          <t>+35 nettoyage + categorie claire | -20 gros budget (&gt; 500 000 EUR) | +10 delai confortable 23j</t>
        </is>
      </c>
      <c r="BC55" t="inlineStr">
        <is>
          <t>Etablissement Public Territorial Plaine Commune publie un AO potentiellement pertinent pour CHRUTH : Prestations de service de médecine professionnelle et préventive au bénéfice des agents de Plaine Commune. Zone : 93. Budget detecte environ 749 999 EUR. Verifier le lien source avant contact.</t>
        </is>
      </c>
      <c r="BD55" t="inlineStr">
        <is>
          <t>Bonjour,
Je me permets de vous contacter au sujet de votre appel d'offres : Prestations de service de médecine professionnelle et préventive au bénéfice des agents de Plaine Commune.
CHRUTH accompagne les structures publiques et privées sur les besoins de nettoyage, d'entretien des locaux et d'organisation de prestations de service.
Serait-il possible d'échanger rapidement afin de vérifier les modalités de réponse et les attentes de Etablissement Public Territorial Plaine Commune ?
Cordialement,</t>
        </is>
      </c>
      <c r="BE55" t="inlineStr">
        <is>
          <t>Bonjour, je vous appelle concernant un appel d'offres publié par Etablissement Public Territorial Plaine Commune. Je souhaite vérifier les informations pratiques : périmètre des prestations, date limite, modalités de visite, contact technique et pièces attendues. Pouvez-vous m'indiquer la bonne personne à contacter ?</t>
        </is>
      </c>
      <c r="BF55" t="inlineStr"/>
      <c r="BG55" t="inlineStr"/>
      <c r="BH55" t="inlineStr"/>
      <c r="BI55" t="inlineStr"/>
      <c r="BJ55" t="inlineStr"/>
      <c r="BK55" t="inlineStr"/>
      <c r="BL55" t="inlineStr"/>
      <c r="BM55" t="inlineStr">
        <is>
          <t>2026-W26</t>
        </is>
      </c>
    </row>
    <row r="56">
      <c r="A56" t="inlineStr">
        <is>
          <t>BOAMP</t>
        </is>
      </c>
      <c r="B56" t="inlineStr">
        <is>
          <t>26-61794</t>
        </is>
      </c>
      <c r="C56" t="inlineStr">
        <is>
          <t>Nettoyage écoresponsable des locaux du CNC à Paris et prestations associées</t>
        </is>
      </c>
      <c r="D56" t="inlineStr">
        <is>
          <t>Centre nationale du cinéma</t>
        </is>
      </c>
      <c r="E56" t="inlineStr">
        <is>
          <t>18004603900186</t>
        </is>
      </c>
      <c r="F56" t="inlineStr">
        <is>
          <t>180046039</t>
        </is>
      </c>
      <c r="G56" t="inlineStr"/>
      <c r="H56" t="inlineStr"/>
      <c r="I56" t="inlineStr">
        <is>
          <t>marchespublics@cnc.fr</t>
        </is>
      </c>
      <c r="J56" t="inlineStr">
        <is>
          <t>0460390018</t>
        </is>
      </c>
      <c r="K56" t="inlineStr"/>
      <c r="L56" t="inlineStr"/>
      <c r="M56" t="inlineStr"/>
      <c r="N56" t="inlineStr">
        <is>
          <t>75</t>
        </is>
      </c>
      <c r="O56" t="inlineStr"/>
      <c r="P56" t="inlineStr">
        <is>
          <t>Ile-de-France</t>
        </is>
      </c>
      <c r="Q56" s="15" t="n">
        <v>46197</v>
      </c>
      <c r="R56" s="15" t="n">
        <v>46230</v>
      </c>
      <c r="S56" s="14" t="n">
        <v>900000</v>
      </c>
      <c r="T56" t="inlineStr">
        <is>
          <t>BUDGET_EXPLICITE_OK</t>
        </is>
      </c>
      <c r="U56" t="inlineStr">
        <is>
          <t>1800000</t>
        </is>
      </c>
      <c r="V56" t="inlineStr">
        <is>
          <t>oui</t>
        </is>
      </c>
      <c r="W56" t="inlineStr">
        <is>
          <t>Vitres</t>
        </is>
      </c>
      <c r="X56" t="inlineStr">
        <is>
          <t>Autre</t>
        </is>
      </c>
      <c r="Y56" t="inlineStr">
        <is>
          <t>SERVICES</t>
        </is>
      </c>
      <c r="Z56" t="inlineStr">
        <is>
          <t>Procédure Ouverte</t>
        </is>
      </c>
      <c r="AA56" t="inlineStr">
        <is>
          <t>Avis de marché</t>
        </is>
      </c>
      <c r="AB56" t="inlineStr">
        <is>
          <t>Nettoyage de locaux</t>
        </is>
      </c>
      <c r="AC56" t="inlineStr">
        <is>
          <t>['sociaux', 'environnementaux']</t>
        </is>
      </c>
      <c r="AD56" s="11" t="inlineStr">
        <is>
          <t>https://www.boamp.fr/pages/avis/?q=idweb:26-61794</t>
        </is>
      </c>
      <c r="AE56" t="inlineStr">
        <is>
          <t>https://www.marches-publics.gouv.fr/entreprise</t>
        </is>
      </c>
      <c r="AF56" t="inlineStr">
        <is>
          <t>https://www.marches-publics.gouv.fr/entreprise</t>
        </is>
      </c>
      <c r="AG56" t="inlineStr">
        <is>
          <t>nettoyage</t>
        </is>
      </c>
      <c r="AH56" t="inlineStr">
        <is>
          <t>3</t>
        </is>
      </c>
      <c r="AI56" t="inlineStr">
        <is>
          <t>68</t>
        </is>
      </c>
      <c r="AJ56" t="inlineStr">
        <is>
          <t>INFO_PARTIELLE</t>
        </is>
      </c>
      <c r="AK56" t="inlineStr">
        <is>
          <t>25</t>
        </is>
      </c>
      <c r="AL56" s="17" t="inlineStr">
        <is>
          <t>FROID</t>
        </is>
      </c>
      <c r="AM56">
        <f>MIN(100,MAX(0,IF(OR(ISNUMBER(SEARCH("nettoyage",C56)),ISNUMBER(SEARCH("proprete",C56)),ISNUMBER(SEARCH("entretien",C56)),ISNUMBER(SEARCH("hygiene",C56))),35,0)+IF(SUM(--(N56="75")+--(O56="75"),--(N56="77")+--(O56="77"),--(N56="78")+--(O56="78"),--(N56="91")+--(O56="91"),--(N56="92")+--(O56="92"),--(N56="93")+--(O56="93"),--(N56="94")+--(O56="94"),--(N56="95")+--(O56="95"))&gt;0,25,4)+IF(S56="",10,IF(S56&lt;=50000,25,IF(S56&lt;=100000,20,IF(S56&lt;=200000,5,IF(S56&lt;=500000,-10,-20)))))+IF(I56&lt;&gt;"",4,0)+IF(J56&lt;&gt;"",4,0)+IF(E56&lt;&gt;"",3,0)+IF(K56&lt;&gt;"",2,0)+IF(M56&lt;&gt;"",1,0)+IF(AD56&lt;&gt;"",1,0)+IF(R56="",0,IF(R56&lt;TODAY(),-30,IF(R56&lt;TODAY()+5,-15,IF(R56&lt;=TODAY()+15,5,10))))))</f>
        <v/>
      </c>
      <c r="AN56">
        <f>IF(AM56&gt;=65,"CHAUD",IF(AM56&gt;=40,"TIEDE","FROID"))</f>
        <v/>
      </c>
      <c r="AO56">
        <f>IF((IF(I56&lt;&gt;"",1,0)+IF(J56&lt;&gt;"",1,0)+IF(E56&lt;&gt;"",1,0)+IF(K56&lt;&gt;"",1,0))&gt;=4,"Complet",IF((IF(I56&lt;&gt;"",1,0)+IF(J56&lt;&gt;"",1,0)+IF(E56&lt;&gt;"",1,0)+IF(K56&lt;&gt;"",1,0))&gt;=2,"Partiel","Vide"))</f>
        <v/>
      </c>
      <c r="AP56">
        <f>IF(AJ56="DCE_A_TELECHARGER","Telecharger DCE",IF(T56="A_VERIFIER_BUDGET","Verifier budget",IF(AN56="CHAUD","Contacter maintenant",IF(AN56="TIEDE","Surveiller / relancer","Basse priorite"))))</f>
        <v/>
      </c>
      <c r="AQ56" t="inlineStr">
        <is>
          <t>IA_CONTACT_A_COMPLETER</t>
        </is>
      </c>
      <c r="AR56" t="inlineStr">
        <is>
          <t>Completer les champs manquants depuis l'avis source, le site acheteur ou le DCE.</t>
        </is>
      </c>
      <c r="AS56" t="inlineStr">
        <is>
          <t>adresse, ville</t>
        </is>
      </c>
      <c r="AT5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26-61794. Objet: Nettoyage écoresponsable des locaux du CNC à Paris et prestations associées. Acheteur: Centre nationale du cinéma. Lien: https://www.boamp.fr/pages/avis/?q=idweb:26-61794.</t>
        </is>
      </c>
      <c r="AU56" t="inlineStr">
        <is>
          <t>Verifier url_avis et DCE si disponible</t>
        </is>
      </c>
      <c r="AV56" t="inlineStr"/>
      <c r="AW56" t="inlineStr"/>
      <c r="AX56" t="inlineStr"/>
      <c r="AY56" t="inlineStr"/>
      <c r="AZ56" t="inlineStr"/>
      <c r="BA56" t="inlineStr"/>
      <c r="BB56" t="inlineStr">
        <is>
          <t>+35 nettoyage + categorie claire | -20 gros budget (&gt; 500 000 EUR) | +10 delai confortable 21j</t>
        </is>
      </c>
      <c r="BC56" t="inlineStr">
        <is>
          <t>Centre nationale du cinéma publie un AO potentiellement pertinent pour CHRUTH : Nettoyage écoresponsable des locaux du CNC à Paris et prestations associées. Zone : 75. Budget detecte environ 900 000 EUR. Verifier le lien source avant contact.</t>
        </is>
      </c>
      <c r="BD56" t="inlineStr">
        <is>
          <t>Bonjour,
Je me permets de vous contacter au sujet de votre appel d'offres : Nettoyage écoresponsable des locaux du CNC à Paris et prestations associées.
CHRUTH accompagne les structures publiques et privées sur les besoins de nettoyage, d'entretien des locaux et d'organisation de prestations de service.
Serait-il possible d'échanger rapidement afin de vérifier les modalités de réponse et les attentes de Centre nationale du cinéma ?
Cordialement,</t>
        </is>
      </c>
      <c r="BE56" t="inlineStr">
        <is>
          <t>Bonjour, je vous appelle concernant un appel d'offres publié par Centre nationale du cinéma. Je souhaite vérifier les informations pratiques : périmètre des prestations, date limite, modalités de visite, contact technique et pièces attendues. Pouvez-vous m'indiquer la bonne personne à contacter ?</t>
        </is>
      </c>
      <c r="BF56" t="inlineStr"/>
      <c r="BG56" t="inlineStr"/>
      <c r="BH56" t="inlineStr"/>
      <c r="BI56" t="inlineStr"/>
      <c r="BJ56" t="inlineStr"/>
      <c r="BK56" t="inlineStr"/>
      <c r="BL56" t="inlineStr"/>
      <c r="BM56" t="inlineStr">
        <is>
          <t>2026-W26</t>
        </is>
      </c>
    </row>
    <row r="57">
      <c r="A57" t="inlineStr">
        <is>
          <t>BOAMP</t>
        </is>
      </c>
      <c r="B57" t="inlineStr">
        <is>
          <t>26-55925</t>
        </is>
      </c>
      <c r="C57" t="inlineStr">
        <is>
          <t>Nettoyage des locaux du MAC VAL - Musée d'art contemporain du Val-de-Marne</t>
        </is>
      </c>
      <c r="D57" t="inlineStr">
        <is>
          <t>Département du Val-de-Marne</t>
        </is>
      </c>
      <c r="E57" t="inlineStr">
        <is>
          <t>22940028800010</t>
        </is>
      </c>
      <c r="F57" t="inlineStr">
        <is>
          <t>229400288</t>
        </is>
      </c>
      <c r="G57" t="inlineStr"/>
      <c r="H57" t="inlineStr"/>
      <c r="I57" t="inlineStr">
        <is>
          <t>ddc-macval-marches@valdemarne.fr</t>
        </is>
      </c>
      <c r="J57" t="inlineStr">
        <is>
          <t>0704900017</t>
        </is>
      </c>
      <c r="K57" t="inlineStr"/>
      <c r="L57" t="inlineStr"/>
      <c r="M57" t="inlineStr"/>
      <c r="N57" t="inlineStr">
        <is>
          <t>94</t>
        </is>
      </c>
      <c r="O57" t="inlineStr"/>
      <c r="P57" t="inlineStr">
        <is>
          <t>Ile-de-France</t>
        </is>
      </c>
      <c r="Q57" s="15" t="n">
        <v>46180</v>
      </c>
      <c r="R57" s="15" t="n">
        <v>46227</v>
      </c>
      <c r="S57" s="14" t="n">
        <v>1400000</v>
      </c>
      <c r="T57" t="inlineStr">
        <is>
          <t>BUDGET_EXPLICITE_OK</t>
        </is>
      </c>
      <c r="U57" t="inlineStr">
        <is>
          <t>8400000</t>
        </is>
      </c>
      <c r="V57" t="inlineStr">
        <is>
          <t>oui</t>
        </is>
      </c>
      <c r="W57" t="inlineStr">
        <is>
          <t>Batiments</t>
        </is>
      </c>
      <c r="X57" t="inlineStr">
        <is>
          <t>Autre</t>
        </is>
      </c>
      <c r="Y57" t="inlineStr">
        <is>
          <t>SERVICES</t>
        </is>
      </c>
      <c r="Z57" t="inlineStr">
        <is>
          <t>Procédure Ouverte</t>
        </is>
      </c>
      <c r="AA57" t="inlineStr">
        <is>
          <t>Avis de marché</t>
        </is>
      </c>
      <c r="AB57" t="inlineStr">
        <is>
          <t>Nettoyage de locaux</t>
        </is>
      </c>
      <c r="AC57" t="inlineStr">
        <is>
          <t>['sociaux', 'environnementaux']</t>
        </is>
      </c>
      <c r="AD57" s="11" t="inlineStr">
        <is>
          <t>https://www.boamp.fr/pages/avis/?q=idweb:26-55925</t>
        </is>
      </c>
      <c r="AE57" t="inlineStr">
        <is>
          <t>https://maximilien.fr</t>
        </is>
      </c>
      <c r="AF57" t="inlineStr">
        <is>
          <t>https://maximilien.fr</t>
        </is>
      </c>
      <c r="AG57" t="inlineStr">
        <is>
          <t>nettoyage</t>
        </is>
      </c>
      <c r="AH57" t="inlineStr">
        <is>
          <t>3</t>
        </is>
      </c>
      <c r="AI57" t="inlineStr">
        <is>
          <t>68</t>
        </is>
      </c>
      <c r="AJ57" t="inlineStr">
        <is>
          <t>INFO_PARTIELLE</t>
        </is>
      </c>
      <c r="AK57" t="inlineStr">
        <is>
          <t>25</t>
        </is>
      </c>
      <c r="AL57" s="17" t="inlineStr">
        <is>
          <t>FROID</t>
        </is>
      </c>
      <c r="AM57">
        <f>MIN(100,MAX(0,IF(OR(ISNUMBER(SEARCH("nettoyage",C57)),ISNUMBER(SEARCH("proprete",C57)),ISNUMBER(SEARCH("entretien",C57)),ISNUMBER(SEARCH("hygiene",C57))),35,0)+IF(SUM(--(N57="75")+--(O57="75"),--(N57="77")+--(O57="77"),--(N57="78")+--(O57="78"),--(N57="91")+--(O57="91"),--(N57="92")+--(O57="92"),--(N57="93")+--(O57="93"),--(N57="94")+--(O57="94"),--(N57="95")+--(O57="95"))&gt;0,25,4)+IF(S57="",10,IF(S57&lt;=50000,25,IF(S57&lt;=100000,20,IF(S57&lt;=200000,5,IF(S57&lt;=500000,-10,-20)))))+IF(I57&lt;&gt;"",4,0)+IF(J57&lt;&gt;"",4,0)+IF(E57&lt;&gt;"",3,0)+IF(K57&lt;&gt;"",2,0)+IF(M57&lt;&gt;"",1,0)+IF(AD57&lt;&gt;"",1,0)+IF(R57="",0,IF(R57&lt;TODAY(),-30,IF(R57&lt;TODAY()+5,-15,IF(R57&lt;=TODAY()+15,5,10))))))</f>
        <v/>
      </c>
      <c r="AN57">
        <f>IF(AM57&gt;=65,"CHAUD",IF(AM57&gt;=40,"TIEDE","FROID"))</f>
        <v/>
      </c>
      <c r="AO57">
        <f>IF((IF(I57&lt;&gt;"",1,0)+IF(J57&lt;&gt;"",1,0)+IF(E57&lt;&gt;"",1,0)+IF(K57&lt;&gt;"",1,0))&gt;=4,"Complet",IF((IF(I57&lt;&gt;"",1,0)+IF(J57&lt;&gt;"",1,0)+IF(E57&lt;&gt;"",1,0)+IF(K57&lt;&gt;"",1,0))&gt;=2,"Partiel","Vide"))</f>
        <v/>
      </c>
      <c r="AP57">
        <f>IF(AJ57="DCE_A_TELECHARGER","Telecharger DCE",IF(T57="A_VERIFIER_BUDGET","Verifier budget",IF(AN57="CHAUD","Contacter maintenant",IF(AN57="TIEDE","Surveiller / relancer","Basse priorite"))))</f>
        <v/>
      </c>
      <c r="AQ57" t="inlineStr">
        <is>
          <t>IA_CONTACT_A_COMPLETER</t>
        </is>
      </c>
      <c r="AR57" t="inlineStr">
        <is>
          <t>Completer les champs manquants depuis l'avis source, le site acheteur ou le DCE.</t>
        </is>
      </c>
      <c r="AS57" t="inlineStr">
        <is>
          <t>adresse, ville</t>
        </is>
      </c>
      <c r="AT5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26-55925. Objet: Nettoyage des locaux du MAC VAL - Musée d'art contemporain du Val-de-Marne. Acheteur: Département du Val-de-Marne. Lien: https://www.boamp.fr/pages/avis/?q=idweb:26-55925.</t>
        </is>
      </c>
      <c r="AU57" t="inlineStr">
        <is>
          <t>Verifier url_avis et DCE si disponible</t>
        </is>
      </c>
      <c r="AV57" t="inlineStr"/>
      <c r="AW57" t="inlineStr"/>
      <c r="AX57" t="inlineStr"/>
      <c r="AY57" t="inlineStr"/>
      <c r="AZ57" t="inlineStr"/>
      <c r="BA57" t="inlineStr"/>
      <c r="BB57" t="inlineStr">
        <is>
          <t>+35 nettoyage + categorie claire | -20 gros budget (&gt; 500 000 EUR) | +10 delai confortable 33j</t>
        </is>
      </c>
      <c r="BC57" t="inlineStr">
        <is>
          <t>Département du Val-de-Marne publie un AO potentiellement pertinent pour CHRUTH : Nettoyage des locaux du MAC VAL - Musée d'art contemporain du Val-de-Marne. Zone : 94. Budget detecte environ 1 400 000 EUR. Verifier le lien source avant contact.</t>
        </is>
      </c>
      <c r="BD57" t="inlineStr">
        <is>
          <t>Bonjour,
Je me permets de vous contacter au sujet de votre appel d'offres : Nettoyage des locaux du MAC VAL - Musée d'art contemporain du Val-de-Marne.
CHRUTH accompagne les structures publiques et privees sur les besoins de nettoyage, d'entretien des locaux et d'organisation de prestations de service.
Serait-il possible d'echanger rapidement afin de verifier les modalites de reponse et les attentes de Département du Val-de-Marne ?
Cordialement,</t>
        </is>
      </c>
      <c r="BE57" t="inlineStr">
        <is>
          <t>Bonjour, je vous appelle concernant un appel d'offres publie par Département du Val-de-Marne. Je souhaite verifier les informations pratiques : perimetre des prestations, date limite, modalites de visite, contact technique et pieces attendues. Pouvez-vous m'indiquer la bonne personne a contacter ?</t>
        </is>
      </c>
      <c r="BF57" t="inlineStr"/>
      <c r="BG57" t="inlineStr"/>
      <c r="BH57" t="inlineStr"/>
      <c r="BI57" t="inlineStr"/>
      <c r="BJ57" t="inlineStr"/>
      <c r="BK57" t="inlineStr"/>
      <c r="BL57" t="inlineStr"/>
      <c r="BM57" t="inlineStr">
        <is>
          <t>2026-W23</t>
        </is>
      </c>
    </row>
    <row r="58">
      <c r="A58" t="inlineStr">
        <is>
          <t>BOAMP</t>
        </is>
      </c>
      <c r="B58" t="inlineStr">
        <is>
          <t>26-61210</t>
        </is>
      </c>
      <c r="C58" t="inlineStr">
        <is>
          <t>Gestion, entretien et maintenance des parcs de stationnement en structure de la Communauté d'agglomération Grand Paris Sud Seine Essonne Sénart</t>
        </is>
      </c>
      <c r="D58" t="inlineStr">
        <is>
          <t>CA GRAND PARIS SUD SEINE ESSONNE SENART</t>
        </is>
      </c>
      <c r="E58" t="inlineStr">
        <is>
          <t>20005922800011</t>
        </is>
      </c>
      <c r="F58" t="inlineStr">
        <is>
          <t>200059228</t>
        </is>
      </c>
      <c r="G58" t="inlineStr"/>
      <c r="H58" t="inlineStr"/>
      <c r="I58" t="inlineStr">
        <is>
          <t>commande.publique@grandparissud.fr</t>
        </is>
      </c>
      <c r="J58" t="inlineStr">
        <is>
          <t>0592280001</t>
        </is>
      </c>
      <c r="K58" t="inlineStr"/>
      <c r="L58" t="inlineStr"/>
      <c r="M58" t="inlineStr"/>
      <c r="N58" t="inlineStr">
        <is>
          <t>91,77</t>
        </is>
      </c>
      <c r="O58" t="inlineStr"/>
      <c r="P58" t="inlineStr">
        <is>
          <t>Ile-de-France</t>
        </is>
      </c>
      <c r="Q58" s="15" t="n">
        <v>46194</v>
      </c>
      <c r="R58" s="15" t="n">
        <v>46223</v>
      </c>
      <c r="S58" s="14" t="n">
        <v>600000</v>
      </c>
      <c r="T58" t="inlineStr">
        <is>
          <t>BUDGET_EXPLICITE_OK</t>
        </is>
      </c>
      <c r="U58" t="inlineStr">
        <is>
          <t>1200000</t>
        </is>
      </c>
      <c r="V58" t="inlineStr">
        <is>
          <t>oui</t>
        </is>
      </c>
      <c r="W58" t="inlineStr">
        <is>
          <t>Batiments</t>
        </is>
      </c>
      <c r="X58" t="inlineStr">
        <is>
          <t>Autre</t>
        </is>
      </c>
      <c r="Y58" t="inlineStr">
        <is>
          <t>SERVICES</t>
        </is>
      </c>
      <c r="Z58" t="inlineStr">
        <is>
          <t>Procédure Ouverte</t>
        </is>
      </c>
      <c r="AA58" t="inlineStr">
        <is>
          <t>Avis de marché</t>
        </is>
      </c>
      <c r="AB58" t="inlineStr">
        <is>
          <t>Maintenance</t>
        </is>
      </c>
      <c r="AC58" t="inlineStr">
        <is>
          <t>['sociaux', 'environnementaux']</t>
        </is>
      </c>
      <c r="AD58" s="11" t="inlineStr">
        <is>
          <t>https://www.boamp.fr/pages/avis/?q=idweb:26-61210</t>
        </is>
      </c>
      <c r="AE58" t="inlineStr">
        <is>
          <t>https://www.achatpublic.com/sdm/ent/gen/ent_detail.do?PCSLID=CSL_2026_LcQAKFuczu</t>
        </is>
      </c>
      <c r="AF58" t="inlineStr">
        <is>
          <t>https://www.achatpublic.com/sdm/ent/gen/ent_detail.do?PCSLID=CSL_2026_LcQAKFuczu</t>
        </is>
      </c>
      <c r="AG58" t="inlineStr">
        <is>
          <t>proprete</t>
        </is>
      </c>
      <c r="AH58" t="inlineStr">
        <is>
          <t>3</t>
        </is>
      </c>
      <c r="AI58" t="inlineStr">
        <is>
          <t>68</t>
        </is>
      </c>
      <c r="AJ58" t="inlineStr">
        <is>
          <t>INFO_PARTIELLE</t>
        </is>
      </c>
      <c r="AK58" t="inlineStr">
        <is>
          <t>20</t>
        </is>
      </c>
      <c r="AL58" s="17" t="inlineStr">
        <is>
          <t>FROID</t>
        </is>
      </c>
      <c r="AM58">
        <f>MIN(100,MAX(0,IF(OR(ISNUMBER(SEARCH("nettoyage",C58)),ISNUMBER(SEARCH("proprete",C58)),ISNUMBER(SEARCH("entretien",C58)),ISNUMBER(SEARCH("hygiene",C58))),35,0)+IF(SUM(--(N58="75")+--(O58="75"),--(N58="77")+--(O58="77"),--(N58="78")+--(O58="78"),--(N58="91")+--(O58="91"),--(N58="92")+--(O58="92"),--(N58="93")+--(O58="93"),--(N58="94")+--(O58="94"),--(N58="95")+--(O58="95"))&gt;0,25,4)+IF(S58="",10,IF(S58&lt;=50000,25,IF(S58&lt;=100000,20,IF(S58&lt;=200000,5,IF(S58&lt;=500000,-10,-20)))))+IF(I58&lt;&gt;"",4,0)+IF(J58&lt;&gt;"",4,0)+IF(E58&lt;&gt;"",3,0)+IF(K58&lt;&gt;"",2,0)+IF(M58&lt;&gt;"",1,0)+IF(AD58&lt;&gt;"",1,0)+IF(R58="",0,IF(R58&lt;TODAY(),-30,IF(R58&lt;TODAY()+5,-15,IF(R58&lt;=TODAY()+15,5,10))))))</f>
        <v/>
      </c>
      <c r="AN58">
        <f>IF(AM58&gt;=65,"CHAUD",IF(AM58&gt;=40,"TIEDE","FROID"))</f>
        <v/>
      </c>
      <c r="AO58">
        <f>IF((IF(I58&lt;&gt;"",1,0)+IF(J58&lt;&gt;"",1,0)+IF(E58&lt;&gt;"",1,0)+IF(K58&lt;&gt;"",1,0))&gt;=4,"Complet",IF((IF(I58&lt;&gt;"",1,0)+IF(J58&lt;&gt;"",1,0)+IF(E58&lt;&gt;"",1,0)+IF(K58&lt;&gt;"",1,0))&gt;=2,"Partiel","Vide"))</f>
        <v/>
      </c>
      <c r="AP58">
        <f>IF(AJ58="DCE_A_TELECHARGER","Telecharger DCE",IF(T58="A_VERIFIER_BUDGET","Verifier budget",IF(AN58="CHAUD","Contacter maintenant",IF(AN58="TIEDE","Surveiller / relancer","Basse priorite"))))</f>
        <v/>
      </c>
      <c r="AQ58" t="inlineStr">
        <is>
          <t>IA_CONTACT_A_COMPLETER</t>
        </is>
      </c>
      <c r="AR58" t="inlineStr">
        <is>
          <t>Completer les champs manquants depuis l'avis source, le site acheteur ou le DCE.</t>
        </is>
      </c>
      <c r="AS58" t="inlineStr">
        <is>
          <t>adresse, ville</t>
        </is>
      </c>
      <c r="AT5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26-61210. Objet: Gestion, entretien et maintenance des parcs de stationnement en structure de la Communauté d'agglomération Grand Paris Sud Seine Essonne Sénart. Acheteur: CA GRAND PARIS SUD SEINE ESSONNE SENART. Lien: https://www.boamp.fr/pages/avis/?q=idweb:26-61210.</t>
        </is>
      </c>
      <c r="AU58" t="inlineStr">
        <is>
          <t>Verifier url_avis et DCE si disponible</t>
        </is>
      </c>
      <c r="AV58" t="inlineStr"/>
      <c r="AW58" t="inlineStr"/>
      <c r="AX58" t="inlineStr"/>
      <c r="AY58" t="inlineStr"/>
      <c r="AZ58" t="inlineStr"/>
      <c r="BA58" t="inlineStr"/>
      <c r="BB58" t="inlineStr">
        <is>
          <t>+35 nettoyage + categorie claire | -20 gros budget (&gt; 500 000 EUR) | +5 delai court 15j</t>
        </is>
      </c>
      <c r="BC58" t="inlineStr">
        <is>
          <t>CA GRAND PARIS SUD SEINE ESSONNE SENART publie un AO potentiellement pertinent pour CHRUTH : Gestion, entretien et maintenance des parcs de stationnement en structure de la Communauté d'agglomération Grand Paris Sud Seine Essonne Sénart. Zone : 91,77. Budget detecte environ 600 000 EUR. Verifier le lien source avant contact.</t>
        </is>
      </c>
      <c r="BD58" t="inlineStr">
        <is>
          <t>Bonjour,
Je me permets de vous contacter au sujet de votre appel d'offres : Gestion, entretien et maintenance des parcs de stationnement en structure de la Communauté d'agglomération Grand Paris Sud Seine Essonne Sénart.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58"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58" t="inlineStr"/>
      <c r="BG58" t="inlineStr"/>
      <c r="BH58" t="inlineStr"/>
      <c r="BI58" t="inlineStr"/>
      <c r="BJ58" t="inlineStr"/>
      <c r="BK58" t="inlineStr"/>
      <c r="BL58" t="inlineStr"/>
      <c r="BM58" t="inlineStr">
        <is>
          <t>2026-W25</t>
        </is>
      </c>
    </row>
    <row r="59">
      <c r="A59" t="inlineStr">
        <is>
          <t>BOAMP</t>
        </is>
      </c>
      <c r="B59" t="inlineStr">
        <is>
          <t>26-53755</t>
        </is>
      </c>
      <c r="C59" t="inlineStr">
        <is>
          <t>Dépose, nettoyage et pose de stickers sur autobus</t>
        </is>
      </c>
      <c r="D59" t="inlineStr">
        <is>
          <t>Ratp Cap Ateliers Championnet</t>
        </is>
      </c>
      <c r="E59" t="inlineStr">
        <is>
          <t>17750111101763</t>
        </is>
      </c>
      <c r="F59" t="inlineStr">
        <is>
          <t>177501111</t>
        </is>
      </c>
      <c r="G59" t="inlineStr"/>
      <c r="H59" t="inlineStr"/>
      <c r="I59" t="inlineStr">
        <is>
          <t>frederic.zuber@ratpcap.com</t>
        </is>
      </c>
      <c r="J59" t="inlineStr">
        <is>
          <t>+33 698668868</t>
        </is>
      </c>
      <c r="K59" t="inlineStr"/>
      <c r="L59" t="inlineStr"/>
      <c r="M59" t="inlineStr"/>
      <c r="N59" t="inlineStr">
        <is>
          <t>75</t>
        </is>
      </c>
      <c r="O59" t="inlineStr"/>
      <c r="P59" t="inlineStr">
        <is>
          <t>Ile-de-France</t>
        </is>
      </c>
      <c r="Q59" s="15" t="n">
        <v>46176</v>
      </c>
      <c r="R59" t="inlineStr"/>
      <c r="S59" s="14" t="n">
        <v>700000</v>
      </c>
      <c r="T59" t="inlineStr">
        <is>
          <t>BUDGET_EXPLICITE_OK</t>
        </is>
      </c>
      <c r="U59" t="inlineStr">
        <is>
          <t>700000.0</t>
        </is>
      </c>
      <c r="V59" t="inlineStr">
        <is>
          <t>non</t>
        </is>
      </c>
      <c r="W59" t="inlineStr">
        <is>
          <t>Batiments</t>
        </is>
      </c>
      <c r="X59" t="inlineStr">
        <is>
          <t>Autre</t>
        </is>
      </c>
      <c r="Y59" t="inlineStr">
        <is>
          <t>SERVICES</t>
        </is>
      </c>
      <c r="Z59" t="inlineStr">
        <is>
          <t>Procédure Négociée</t>
        </is>
      </c>
      <c r="AA59" t="inlineStr">
        <is>
          <t>Avis de marché</t>
        </is>
      </c>
      <c r="AB59" t="inlineStr">
        <is>
          <t>Prestations de services, Nettoyage de locaux, Nettoyage urbain</t>
        </is>
      </c>
      <c r="AC59" t="inlineStr"/>
      <c r="AD59" s="11" t="inlineStr">
        <is>
          <t>https://www.boamp.fr/pages/avis/?q=idweb:26-53755</t>
        </is>
      </c>
      <c r="AE59" t="inlineStr">
        <is>
          <t>https://www.e-marchespublics.com/appel-offre/1163733</t>
        </is>
      </c>
      <c r="AF59" t="inlineStr">
        <is>
          <t>https://www.e-marchespublics.com/appel-offre/1163733</t>
        </is>
      </c>
      <c r="AG59" t="inlineStr">
        <is>
          <t>nettoyage</t>
        </is>
      </c>
      <c r="AH59" t="inlineStr">
        <is>
          <t>3</t>
        </is>
      </c>
      <c r="AI59" t="inlineStr">
        <is>
          <t>68</t>
        </is>
      </c>
      <c r="AJ59" t="inlineStr">
        <is>
          <t>INFO_PARTIELLE</t>
        </is>
      </c>
      <c r="AK59" t="inlineStr">
        <is>
          <t>15</t>
        </is>
      </c>
      <c r="AL59" s="17" t="inlineStr">
        <is>
          <t>FROID</t>
        </is>
      </c>
      <c r="AM59">
        <f>MIN(100,MAX(0,IF(OR(ISNUMBER(SEARCH("nettoyage",C59)),ISNUMBER(SEARCH("proprete",C59)),ISNUMBER(SEARCH("entretien",C59)),ISNUMBER(SEARCH("hygiene",C59))),35,0)+IF(SUM(--(N59="75")+--(O59="75"),--(N59="77")+--(O59="77"),--(N59="78")+--(O59="78"),--(N59="91")+--(O59="91"),--(N59="92")+--(O59="92"),--(N59="93")+--(O59="93"),--(N59="94")+--(O59="94"),--(N59="95")+--(O59="95"))&gt;0,25,4)+IF(S59="",10,IF(S59&lt;=50000,25,IF(S59&lt;=100000,20,IF(S59&lt;=200000,5,IF(S59&lt;=500000,-10,-20)))))+IF(I59&lt;&gt;"",4,0)+IF(J59&lt;&gt;"",4,0)+IF(E59&lt;&gt;"",3,0)+IF(K59&lt;&gt;"",2,0)+IF(M59&lt;&gt;"",1,0)+IF(AD59&lt;&gt;"",1,0)+IF(R59="",0,IF(R59&lt;TODAY(),-30,IF(R59&lt;TODAY()+5,-15,IF(R59&lt;=TODAY()+15,5,10))))))</f>
        <v/>
      </c>
      <c r="AN59">
        <f>IF(AM59&gt;=65,"CHAUD",IF(AM59&gt;=40,"TIEDE","FROID"))</f>
        <v/>
      </c>
      <c r="AO59">
        <f>IF((IF(I59&lt;&gt;"",1,0)+IF(J59&lt;&gt;"",1,0)+IF(E59&lt;&gt;"",1,0)+IF(K59&lt;&gt;"",1,0))&gt;=4,"Complet",IF((IF(I59&lt;&gt;"",1,0)+IF(J59&lt;&gt;"",1,0)+IF(E59&lt;&gt;"",1,0)+IF(K59&lt;&gt;"",1,0))&gt;=2,"Partiel","Vide"))</f>
        <v/>
      </c>
      <c r="AP59">
        <f>IF(AJ59="DCE_A_TELECHARGER","Telecharger DCE",IF(T59="A_VERIFIER_BUDGET","Verifier budget",IF(AN59="CHAUD","Contacter maintenant",IF(AN59="TIEDE","Surveiller / relancer","Basse priorite"))))</f>
        <v/>
      </c>
      <c r="AQ59" t="inlineStr">
        <is>
          <t>IA_CONTACT_A_COMPLETER</t>
        </is>
      </c>
      <c r="AR59" t="inlineStr">
        <is>
          <t>Completer les champs manquants depuis l'avis source, le site acheteur ou le DCE.</t>
        </is>
      </c>
      <c r="AS59" t="inlineStr">
        <is>
          <t>adresse, ville</t>
        </is>
      </c>
      <c r="AT5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26-53755. Objet: Dépose, nettoyage et pose de stickers sur autobus. Acheteur: Ratp Cap Ateliers Championnet. Lien: https://www.boamp.fr/pages/avis/?q=idweb:26-53755.</t>
        </is>
      </c>
      <c r="AU59" t="inlineStr">
        <is>
          <t>Verifier url_avis et DCE si disponible</t>
        </is>
      </c>
      <c r="AV59" t="inlineStr"/>
      <c r="AW59" t="inlineStr"/>
      <c r="AX59" t="inlineStr"/>
      <c r="AY59" t="inlineStr"/>
      <c r="AZ59" t="inlineStr"/>
      <c r="BA59" t="inlineStr"/>
      <c r="BB59" t="inlineStr">
        <is>
          <t>+35 nettoyage + categorie claire | -20 gros budget (&gt; 500 000 EUR) | 0 date limite absente</t>
        </is>
      </c>
      <c r="BC59" t="inlineStr">
        <is>
          <t>Ratp Cap Ateliers Championnet publie un AO potentiellement pertinent pour CHRUTH : Dépose, nettoyage et pose de stickers sur autobus. Zone : 75. Budget detecte environ 700 000 EUR. Verifier le lien source avant contact.</t>
        </is>
      </c>
      <c r="BD59" t="inlineStr">
        <is>
          <t>Bonjour,
Je me permets de vous contacter au sujet de votre appel d'offres : Dépose, nettoyage et pose de stickers sur autobus.
CHRUTH accompagne les structures publiques et privees sur les besoins de nettoyage, d'entretien des locaux et d'organisation de prestations de service.
Serait-il possible d'echanger rapidement afin de verifier les modalites de reponse et les attentes de Ratp Cap Ateliers Championnet ?
Cordialement,</t>
        </is>
      </c>
      <c r="BE59" t="inlineStr">
        <is>
          <t>Bonjour, je vous appelle concernant un appel d'offres publie par Ratp Cap Ateliers Championnet. Je souhaite verifier les informations pratiques : perimetre des prestations, date limite, modalites de visite, contact technique et pieces attendues. Pouvez-vous m'indiquer la bonne personne a contacter ?</t>
        </is>
      </c>
      <c r="BF59" t="inlineStr"/>
      <c r="BG59" t="inlineStr"/>
      <c r="BH59" t="inlineStr"/>
      <c r="BI59" t="inlineStr"/>
      <c r="BJ59" t="inlineStr"/>
      <c r="BK59" t="inlineStr"/>
      <c r="BL59" t="inlineStr"/>
      <c r="BM59" t="inlineStr">
        <is>
          <t>2026-W23</t>
        </is>
      </c>
    </row>
    <row r="60">
      <c r="A60" t="inlineStr">
        <is>
          <t>BOAMP</t>
        </is>
      </c>
      <c r="B60" t="inlineStr">
        <is>
          <t>26-59853</t>
        </is>
      </c>
      <c r="C60" t="inlineStr">
        <is>
          <t>Blanchissage et nettoyage d'effets de travail et de couchage au profit des organismes soutenus par le GSC IdF</t>
        </is>
      </c>
      <c r="D60" t="inlineStr">
        <is>
          <t>Plate-forme commissariat Paris</t>
        </is>
      </c>
      <c r="E60" t="inlineStr">
        <is>
          <t>13001534000016</t>
        </is>
      </c>
      <c r="F60" t="inlineStr">
        <is>
          <t>130015340</t>
        </is>
      </c>
      <c r="G60" t="inlineStr"/>
      <c r="H60" t="inlineStr"/>
      <c r="I60" t="inlineStr">
        <is>
          <t>pfc-paris-bap.ach.fct@intradef.gouv.fr</t>
        </is>
      </c>
      <c r="J60" t="inlineStr">
        <is>
          <t>0153400001</t>
        </is>
      </c>
      <c r="K60" t="inlineStr"/>
      <c r="L60" t="inlineStr"/>
      <c r="M60" t="inlineStr"/>
      <c r="N60" t="inlineStr">
        <is>
          <t>78</t>
        </is>
      </c>
      <c r="O60" t="inlineStr"/>
      <c r="P60" t="inlineStr">
        <is>
          <t>Ile-de-France</t>
        </is>
      </c>
      <c r="Q60" s="15" t="n">
        <v>46191</v>
      </c>
      <c r="R60" s="15" t="n">
        <v>46203</v>
      </c>
      <c r="S60" s="14" t="n">
        <v>720000</v>
      </c>
      <c r="T60" t="inlineStr">
        <is>
          <t>BUDGET_EXPLICITE_OK</t>
        </is>
      </c>
      <c r="U60" t="inlineStr">
        <is>
          <t>720000</t>
        </is>
      </c>
      <c r="V60" t="inlineStr">
        <is>
          <t>oui</t>
        </is>
      </c>
      <c r="W60" t="inlineStr">
        <is>
          <t>Bureaux</t>
        </is>
      </c>
      <c r="X60" t="inlineStr">
        <is>
          <t>Autre</t>
        </is>
      </c>
      <c r="Y60" t="inlineStr">
        <is>
          <t>SERVICES</t>
        </is>
      </c>
      <c r="Z60" t="inlineStr">
        <is>
          <t>Procédure Ouverte</t>
        </is>
      </c>
      <c r="AA60" t="inlineStr">
        <is>
          <t>Avis de marché</t>
        </is>
      </c>
      <c r="AB60" t="inlineStr">
        <is>
          <t>Blanchissage</t>
        </is>
      </c>
      <c r="AC60" t="inlineStr">
        <is>
          <t>['sociaux', 'environnementaux']</t>
        </is>
      </c>
      <c r="AD60" s="11" t="inlineStr">
        <is>
          <t>https://www.boamp.fr/pages/avis/?q=idweb:26-59853</t>
        </is>
      </c>
      <c r="AE60" t="inlineStr">
        <is>
          <t>https://marches-publics.gouv.fr</t>
        </is>
      </c>
      <c r="AF60" t="inlineStr">
        <is>
          <t>https://marches-publics.gouv.fr</t>
        </is>
      </c>
      <c r="AG60" t="inlineStr">
        <is>
          <t>nettoyage</t>
        </is>
      </c>
      <c r="AH60" t="inlineStr">
        <is>
          <t>3</t>
        </is>
      </c>
      <c r="AI60" t="inlineStr">
        <is>
          <t>68</t>
        </is>
      </c>
      <c r="AJ60" t="inlineStr">
        <is>
          <t>INFO_PARTIELLE</t>
        </is>
      </c>
      <c r="AK60" t="inlineStr">
        <is>
          <t>0</t>
        </is>
      </c>
      <c r="AL60" s="17" t="inlineStr">
        <is>
          <t>FROID</t>
        </is>
      </c>
      <c r="AM60">
        <f>MIN(100,MAX(0,IF(OR(ISNUMBER(SEARCH("nettoyage",C60)),ISNUMBER(SEARCH("proprete",C60)),ISNUMBER(SEARCH("entretien",C60)),ISNUMBER(SEARCH("hygiene",C60))),35,0)+IF(SUM(--(N60="75")+--(O60="75"),--(N60="77")+--(O60="77"),--(N60="78")+--(O60="78"),--(N60="91")+--(O60="91"),--(N60="92")+--(O60="92"),--(N60="93")+--(O60="93"),--(N60="94")+--(O60="94"),--(N60="95")+--(O60="95"))&gt;0,25,4)+IF(S60="",10,IF(S60&lt;=50000,25,IF(S60&lt;=100000,20,IF(S60&lt;=200000,5,IF(S60&lt;=500000,-10,-20)))))+IF(I60&lt;&gt;"",4,0)+IF(J60&lt;&gt;"",4,0)+IF(E60&lt;&gt;"",3,0)+IF(K60&lt;&gt;"",2,0)+IF(M60&lt;&gt;"",1,0)+IF(AD60&lt;&gt;"",1,0)+IF(R60="",0,IF(R60&lt;TODAY(),-30,IF(R60&lt;TODAY()+5,-15,IF(R60&lt;=TODAY()+15,5,10))))))</f>
        <v/>
      </c>
      <c r="AN60">
        <f>IF(AM60&gt;=65,"CHAUD",IF(AM60&gt;=40,"TIEDE","FROID"))</f>
        <v/>
      </c>
      <c r="AO60">
        <f>IF((IF(I60&lt;&gt;"",1,0)+IF(J60&lt;&gt;"",1,0)+IF(E60&lt;&gt;"",1,0)+IF(K60&lt;&gt;"",1,0))&gt;=4,"Complet",IF((IF(I60&lt;&gt;"",1,0)+IF(J60&lt;&gt;"",1,0)+IF(E60&lt;&gt;"",1,0)+IF(K60&lt;&gt;"",1,0))&gt;=2,"Partiel","Vide"))</f>
        <v/>
      </c>
      <c r="AP60">
        <f>IF(AJ60="DCE_A_TELECHARGER","Telecharger DCE",IF(T60="A_VERIFIER_BUDGET","Verifier budget",IF(AN60="CHAUD","Contacter maintenant",IF(AN60="TIEDE","Surveiller / relancer","Basse priorite"))))</f>
        <v/>
      </c>
      <c r="AQ60" t="inlineStr">
        <is>
          <t>IA_CONTACT_A_COMPLETER</t>
        </is>
      </c>
      <c r="AR60" t="inlineStr">
        <is>
          <t>Completer les champs manquants depuis l'avis source, le site acheteur ou le DCE.</t>
        </is>
      </c>
      <c r="AS60" t="inlineStr">
        <is>
          <t>adresse, ville</t>
        </is>
      </c>
      <c r="AT6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26-59853. Objet: Blanchissage et nettoyage d'effets de travail et de couchage au profit des organismes soutenus par le GSC IdF. Acheteur: Plate-forme commissariat Paris. Lien: https://www.boamp.fr/pages/avis/?q=idweb:26-59853.</t>
        </is>
      </c>
      <c r="AU60" t="inlineStr">
        <is>
          <t>Verifier url_avis et DCE si disponible</t>
        </is>
      </c>
      <c r="AV60" t="inlineStr"/>
      <c r="AW60" t="inlineStr"/>
      <c r="AX60" t="inlineStr"/>
      <c r="AY60" t="inlineStr"/>
      <c r="AZ60" t="inlineStr"/>
      <c r="BA60" t="inlineStr"/>
      <c r="BB60" t="inlineStr">
        <is>
          <t>+35 nettoyage + categorie claire | -20 gros budget (&gt; 500 000 EUR) | -30 AO expire</t>
        </is>
      </c>
      <c r="BC60" t="inlineStr">
        <is>
          <t>Plate-forme commissariat Paris publie un AO potentiellement pertinent pour CHRUTH : Blanchissage et nettoyage d'effets de travail et de couchage au profit des organismes soutenus par le GSC IdF. Zone : 78. Budget detecte environ 720 000 EUR. Verifier le lien source avant contact.</t>
        </is>
      </c>
      <c r="BD60" t="inlineStr">
        <is>
          <t>Bonjour,
Je me permets de vous contacter au sujet de votre appel d'offres : Blanchissage et nettoyage d'effets de travail et de couchage au profit des organismes soutenus par le GSC IdF.
CHRUTH accompagne les structures publiques et privées sur les besoins de nettoyage, d'entretien des locaux et d'organisation de prestations de service.
Serait-il possible d'échanger rapidement afin de vérifier les modalités de réponse et les attentes de Plate-forme commissariat Paris ?
Cordialement,</t>
        </is>
      </c>
      <c r="BE60" t="inlineStr">
        <is>
          <t>Bonjour, je vous appelle concernant un appel d'offres publié par Plate-forme commissariat Paris. Je souhaite vérifier les informations pratiques : périmètre des prestations, date limite, modalités de visite, contact technique et pièces attendues. Pouvez-vous m'indiquer la bonne personne à contacter ?</t>
        </is>
      </c>
      <c r="BF60" t="inlineStr"/>
      <c r="BG60" t="inlineStr"/>
      <c r="BH60" t="inlineStr"/>
      <c r="BI60" t="inlineStr"/>
      <c r="BJ60" t="inlineStr"/>
      <c r="BK60" t="inlineStr"/>
      <c r="BL60" t="inlineStr"/>
      <c r="BM60" t="inlineStr">
        <is>
          <t>2026-W25</t>
        </is>
      </c>
    </row>
    <row r="61">
      <c r="A61" t="inlineStr">
        <is>
          <t>BOAMP</t>
        </is>
      </c>
      <c r="B61" t="inlineStr">
        <is>
          <t>26-55506</t>
        </is>
      </c>
      <c r="C61" t="inlineStr">
        <is>
          <t>2026 M02 LRO - PRESTATIONS DE NETTOYAGE DES LOCAUX ET VITRES DES BATIMENTS COMMUNAUX DE LA VILLE DE LA ROCHETTE</t>
        </is>
      </c>
      <c r="D61" t="inlineStr">
        <is>
          <t>Mairie de La Rochette</t>
        </is>
      </c>
      <c r="E61" t="inlineStr">
        <is>
          <t>21040170900014</t>
        </is>
      </c>
      <c r="F61" t="inlineStr">
        <is>
          <t>210401709</t>
        </is>
      </c>
      <c r="G61" t="inlineStr"/>
      <c r="H61" t="inlineStr"/>
      <c r="I61" t="inlineStr">
        <is>
          <t>juridique@larochette77.fr</t>
        </is>
      </c>
      <c r="J61" t="inlineStr">
        <is>
          <t>0401709000</t>
        </is>
      </c>
      <c r="K61" t="inlineStr"/>
      <c r="L61" t="inlineStr"/>
      <c r="M61" t="inlineStr"/>
      <c r="N61" t="inlineStr">
        <is>
          <t>77,75,91</t>
        </is>
      </c>
      <c r="O61" t="inlineStr"/>
      <c r="P61" t="inlineStr">
        <is>
          <t>Ile-de-France</t>
        </is>
      </c>
      <c r="Q61" s="15" t="n">
        <v>46180</v>
      </c>
      <c r="R61" s="15" t="n">
        <v>46192</v>
      </c>
      <c r="S61" s="14" t="n">
        <v>1400000</v>
      </c>
      <c r="T61" t="inlineStr">
        <is>
          <t>BUDGET_EXPLICITE_OK</t>
        </is>
      </c>
      <c r="U61" t="inlineStr">
        <is>
          <t>1400000.0</t>
        </is>
      </c>
      <c r="V61" t="inlineStr">
        <is>
          <t>non</t>
        </is>
      </c>
      <c r="W61" t="inlineStr">
        <is>
          <t>Vitres</t>
        </is>
      </c>
      <c r="X61" t="inlineStr">
        <is>
          <t>Mairie</t>
        </is>
      </c>
      <c r="Y61" t="inlineStr">
        <is>
          <t>SERVICES</t>
        </is>
      </c>
      <c r="Z61" t="inlineStr">
        <is>
          <t>Procédure Ouverte</t>
        </is>
      </c>
      <c r="AA61" t="inlineStr">
        <is>
          <t>Avis de marché</t>
        </is>
      </c>
      <c r="AB61" t="inlineStr">
        <is>
          <t>Nettoyage de locaux</t>
        </is>
      </c>
      <c r="AC61" t="inlineStr"/>
      <c r="AD61" s="11" t="inlineStr">
        <is>
          <t>https://www.boamp.fr/pages/avis/?q=idweb:26-55506</t>
        </is>
      </c>
      <c r="AE61" t="inlineStr">
        <is>
          <t>https://marchesonline.achatpublic.com</t>
        </is>
      </c>
      <c r="AF61" t="inlineStr">
        <is>
          <t>https://marchesonline.achatpublic.com</t>
        </is>
      </c>
      <c r="AG61" t="inlineStr">
        <is>
          <t>nettoyage</t>
        </is>
      </c>
      <c r="AH61" t="inlineStr">
        <is>
          <t>3</t>
        </is>
      </c>
      <c r="AI61" t="inlineStr">
        <is>
          <t>68</t>
        </is>
      </c>
      <c r="AJ61" t="inlineStr">
        <is>
          <t>INFO_PARTIELLE</t>
        </is>
      </c>
      <c r="AK61" t="inlineStr">
        <is>
          <t>0</t>
        </is>
      </c>
      <c r="AL61" s="17" t="inlineStr">
        <is>
          <t>FROID</t>
        </is>
      </c>
      <c r="AM61">
        <f>MIN(100,MAX(0,IF(OR(ISNUMBER(SEARCH("nettoyage",C61)),ISNUMBER(SEARCH("proprete",C61)),ISNUMBER(SEARCH("entretien",C61)),ISNUMBER(SEARCH("hygiene",C61))),35,0)+IF(SUM(--(N61="75")+--(O61="75"),--(N61="77")+--(O61="77"),--(N61="78")+--(O61="78"),--(N61="91")+--(O61="91"),--(N61="92")+--(O61="92"),--(N61="93")+--(O61="93"),--(N61="94")+--(O61="94"),--(N61="95")+--(O61="95"))&gt;0,25,4)+IF(S61="",10,IF(S61&lt;=50000,25,IF(S61&lt;=100000,20,IF(S61&lt;=200000,5,IF(S61&lt;=500000,-10,-20)))))+IF(I61&lt;&gt;"",4,0)+IF(J61&lt;&gt;"",4,0)+IF(E61&lt;&gt;"",3,0)+IF(K61&lt;&gt;"",2,0)+IF(M61&lt;&gt;"",1,0)+IF(AD61&lt;&gt;"",1,0)+IF(R61="",0,IF(R61&lt;TODAY(),-30,IF(R61&lt;TODAY()+5,-15,IF(R61&lt;=TODAY()+15,5,10))))))</f>
        <v/>
      </c>
      <c r="AN61">
        <f>IF(AM61&gt;=65,"CHAUD",IF(AM61&gt;=40,"TIEDE","FROID"))</f>
        <v/>
      </c>
      <c r="AO61">
        <f>IF((IF(I61&lt;&gt;"",1,0)+IF(J61&lt;&gt;"",1,0)+IF(E61&lt;&gt;"",1,0)+IF(K61&lt;&gt;"",1,0))&gt;=4,"Complet",IF((IF(I61&lt;&gt;"",1,0)+IF(J61&lt;&gt;"",1,0)+IF(E61&lt;&gt;"",1,0)+IF(K61&lt;&gt;"",1,0))&gt;=2,"Partiel","Vide"))</f>
        <v/>
      </c>
      <c r="AP61">
        <f>IF(AJ61="DCE_A_TELECHARGER","Telecharger DCE",IF(T61="A_VERIFIER_BUDGET","Verifier budget",IF(AN61="CHAUD","Contacter maintenant",IF(AN61="TIEDE","Surveiller / relancer","Basse priorite"))))</f>
        <v/>
      </c>
      <c r="AQ61" t="inlineStr">
        <is>
          <t>IA_CONTACT_A_COMPLETER</t>
        </is>
      </c>
      <c r="AR61" t="inlineStr">
        <is>
          <t>Completer les champs manquants depuis l'avis source, le site acheteur ou le DCE.</t>
        </is>
      </c>
      <c r="AS61" t="inlineStr">
        <is>
          <t>adresse, ville</t>
        </is>
      </c>
      <c r="AT6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26-55506. Objet: 2026 M02 LRO - PRESTATIONS DE NETTOYAGE DES LOCAUX ET VITRES DES BATIMENTS COMMUNAUX DE LA VILLE DE LA ROCHETTE. Acheteur: Mairie de La Rochette. Lien: https://www.boamp.fr/pages/avis/?q=idweb:26-55506.</t>
        </is>
      </c>
      <c r="AU61" t="inlineStr">
        <is>
          <t>Verifier url_avis et DCE si disponible</t>
        </is>
      </c>
      <c r="AV61" t="inlineStr"/>
      <c r="AW61" t="inlineStr"/>
      <c r="AX61" t="inlineStr"/>
      <c r="AY61" t="inlineStr"/>
      <c r="AZ61" t="inlineStr"/>
      <c r="BA61" t="inlineStr"/>
      <c r="BB61" t="inlineStr">
        <is>
          <t>+35 nettoyage + categorie claire | -20 gros budget (&gt; 500 000 EUR) | +10 secteur cible Mairie | -30 AO expire</t>
        </is>
      </c>
      <c r="BC61" t="inlineStr">
        <is>
          <t>Mairie de La Rochette publie un AO potentiellement pertinent pour CHRUTH : 2026 M02 LRO - PRESTATIONS DE NETTOYAGE DES LOCAUX ET VITRES DES BATIMENTS COMMUNAUX DE LA VILLE DE LA ROCHETTE. Zone : 77,75,91. Budget detecte environ 1 400 000 EUR. Verifier le lien source avant contact.</t>
        </is>
      </c>
      <c r="BD61" t="inlineStr">
        <is>
          <t>Bonjour,
Je me permets de vous contacter au sujet de votre appel d'offres : 2026 M02 LRO - PRESTATIONS DE NETTOYAGE DES LOCAUX ET VITRES DES BATIMENTS COMMUNAUX DE LA VILLE DE LA ROCHETTE.
CHRUTH accompagne les structures publiques et privees sur les besoins de nettoyage, d'entretien des locaux et d'organisation de prestations de service.
Serait-il possible d'echanger rapidement afin de verifier les modalites de reponse et les attentes de Mairie de La Rochette ?
Cordialement,</t>
        </is>
      </c>
      <c r="BE61" t="inlineStr">
        <is>
          <t>Bonjour, je vous appelle concernant un appel d'offres publie par Mairie de La Rochette. Je souhaite verifier les informations pratiques : perimetre des prestations, date limite, modalites de visite, contact technique et pieces attendues. Pouvez-vous m'indiquer la bonne personne a contacter ?</t>
        </is>
      </c>
      <c r="BF61" t="inlineStr"/>
      <c r="BG61" t="inlineStr"/>
      <c r="BH61" t="inlineStr"/>
      <c r="BI61" t="inlineStr"/>
      <c r="BJ61" t="inlineStr"/>
      <c r="BK61" t="inlineStr"/>
      <c r="BL61" t="inlineStr"/>
      <c r="BM61" t="inlineStr">
        <is>
          <t>2026-W23</t>
        </is>
      </c>
    </row>
    <row r="62">
      <c r="A62" t="inlineStr">
        <is>
          <t>BOAMP</t>
        </is>
      </c>
      <c r="B62" t="inlineStr">
        <is>
          <t>26-55879</t>
        </is>
      </c>
      <c r="C62" t="inlineStr">
        <is>
          <t>AAPC-MS-Issy-les-Moulineaux</t>
        </is>
      </c>
      <c r="D62" t="inlineStr">
        <is>
          <t>Ministère de l'Intérieur</t>
        </is>
      </c>
      <c r="E62" t="inlineStr">
        <is>
          <t>12001404800074</t>
        </is>
      </c>
      <c r="F62" t="inlineStr">
        <is>
          <t>120014048</t>
        </is>
      </c>
      <c r="G62" t="inlineStr"/>
      <c r="H62" t="inlineStr"/>
      <c r="I62" t="inlineStr">
        <is>
          <t>othmane.dahmani@interieur.gouv.fr</t>
        </is>
      </c>
      <c r="J62" t="inlineStr">
        <is>
          <t>0140480007</t>
        </is>
      </c>
      <c r="K62" t="inlineStr"/>
      <c r="L62" t="inlineStr"/>
      <c r="M62" t="inlineStr"/>
      <c r="N62" t="inlineStr">
        <is>
          <t>75</t>
        </is>
      </c>
      <c r="O62" t="inlineStr"/>
      <c r="P62" t="inlineStr">
        <is>
          <t>Ile-de-France</t>
        </is>
      </c>
      <c r="Q62" s="15" t="n">
        <v>46180</v>
      </c>
      <c r="R62" s="15" t="n">
        <v>46164</v>
      </c>
      <c r="S62" s="14" t="n">
        <v>2240000</v>
      </c>
      <c r="T62" t="inlineStr">
        <is>
          <t>BUDGET_EXPLICITE_OK</t>
        </is>
      </c>
      <c r="U62" t="inlineStr">
        <is>
          <t>2240000.0</t>
        </is>
      </c>
      <c r="V62" t="inlineStr">
        <is>
          <t>non</t>
        </is>
      </c>
      <c r="W62" t="inlineStr">
        <is>
          <t>Batiments</t>
        </is>
      </c>
      <c r="X62" t="inlineStr">
        <is>
          <t>Batiment administratif</t>
        </is>
      </c>
      <c r="Y62" t="inlineStr">
        <is>
          <t>SERVICES</t>
        </is>
      </c>
      <c r="Z62" t="inlineStr">
        <is>
          <t>Procédure Ouverte</t>
        </is>
      </c>
      <c r="AA62" t="inlineStr">
        <is>
          <t>Avis de marché</t>
        </is>
      </c>
      <c r="AB62" t="inlineStr">
        <is>
          <t>Prestations de services, Nettoyage de locaux</t>
        </is>
      </c>
      <c r="AC62" t="inlineStr">
        <is>
          <t>['sociaux', 'environnementaux']</t>
        </is>
      </c>
      <c r="AD62" s="11" t="inlineStr">
        <is>
          <t>https://www.boamp.fr/pages/avis/?q=idweb:26-55879</t>
        </is>
      </c>
      <c r="AE62" t="inlineStr">
        <is>
          <t>https://www.marches-publics.gouv.fr/entreprise</t>
        </is>
      </c>
      <c r="AF62" t="inlineStr">
        <is>
          <t>https://www.marches-publics.gouv.fr/entreprise</t>
        </is>
      </c>
      <c r="AG62" t="inlineStr">
        <is>
          <t>nettoyage</t>
        </is>
      </c>
      <c r="AH62" t="inlineStr">
        <is>
          <t>3</t>
        </is>
      </c>
      <c r="AI62" t="inlineStr">
        <is>
          <t>68</t>
        </is>
      </c>
      <c r="AJ62" t="inlineStr">
        <is>
          <t>INFO_PARTIELLE</t>
        </is>
      </c>
      <c r="AK62" t="inlineStr">
        <is>
          <t>0</t>
        </is>
      </c>
      <c r="AL62" s="17" t="inlineStr">
        <is>
          <t>FROID</t>
        </is>
      </c>
      <c r="AM62">
        <f>MIN(100,MAX(0,IF(OR(ISNUMBER(SEARCH("nettoyage",C62)),ISNUMBER(SEARCH("proprete",C62)),ISNUMBER(SEARCH("entretien",C62)),ISNUMBER(SEARCH("hygiene",C62))),35,0)+IF(SUM(--(N62="75")+--(O62="75"),--(N62="77")+--(O62="77"),--(N62="78")+--(O62="78"),--(N62="91")+--(O62="91"),--(N62="92")+--(O62="92"),--(N62="93")+--(O62="93"),--(N62="94")+--(O62="94"),--(N62="95")+--(O62="95"))&gt;0,25,4)+IF(S62="",10,IF(S62&lt;=50000,25,IF(S62&lt;=100000,20,IF(S62&lt;=200000,5,IF(S62&lt;=500000,-10,-20)))))+IF(I62&lt;&gt;"",4,0)+IF(J62&lt;&gt;"",4,0)+IF(E62&lt;&gt;"",3,0)+IF(K62&lt;&gt;"",2,0)+IF(M62&lt;&gt;"",1,0)+IF(AD62&lt;&gt;"",1,0)+IF(R62="",0,IF(R62&lt;TODAY(),-30,IF(R62&lt;TODAY()+5,-15,IF(R62&lt;=TODAY()+15,5,10))))))</f>
        <v/>
      </c>
      <c r="AN62">
        <f>IF(AM62&gt;=65,"CHAUD",IF(AM62&gt;=40,"TIEDE","FROID"))</f>
        <v/>
      </c>
      <c r="AO62">
        <f>IF((IF(I62&lt;&gt;"",1,0)+IF(J62&lt;&gt;"",1,0)+IF(E62&lt;&gt;"",1,0)+IF(K62&lt;&gt;"",1,0))&gt;=4,"Complet",IF((IF(I62&lt;&gt;"",1,0)+IF(J62&lt;&gt;"",1,0)+IF(E62&lt;&gt;"",1,0)+IF(K62&lt;&gt;"",1,0))&gt;=2,"Partiel","Vide"))</f>
        <v/>
      </c>
      <c r="AP62">
        <f>IF(AJ62="DCE_A_TELECHARGER","Telecharger DCE",IF(T62="A_VERIFIER_BUDGET","Verifier budget",IF(AN62="CHAUD","Contacter maintenant",IF(AN62="TIEDE","Surveiller / relancer","Basse priorite"))))</f>
        <v/>
      </c>
      <c r="AQ62" t="inlineStr">
        <is>
          <t>IA_CONTACT_A_COMPLETER</t>
        </is>
      </c>
      <c r="AR62" t="inlineStr">
        <is>
          <t>Completer les champs manquants depuis l'avis source, le site acheteur ou le DCE.</t>
        </is>
      </c>
      <c r="AS62" t="inlineStr">
        <is>
          <t>adresse, ville</t>
        </is>
      </c>
      <c r="AT6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26-55879. Objet: AAPC-MS-Issy-les-Moulineaux. Acheteur: Ministère de l'Intérieur. Lien: https://www.boamp.fr/pages/avis/?q=idweb:26-55879.</t>
        </is>
      </c>
      <c r="AU62" t="inlineStr">
        <is>
          <t>Verifier url_avis et DCE si disponible</t>
        </is>
      </c>
      <c r="AV62" t="inlineStr"/>
      <c r="AW62" t="inlineStr"/>
      <c r="AX62" t="inlineStr"/>
      <c r="AY62" t="inlineStr"/>
      <c r="AZ62" t="inlineStr"/>
      <c r="BA62" t="inlineStr"/>
      <c r="BB62" t="inlineStr">
        <is>
          <t>+35 nettoyage + categorie claire | -20 gros budget (&gt; 500 000 EUR) | +10 secteur cible Batiment administratif | -30 AO expire</t>
        </is>
      </c>
      <c r="BC62" t="inlineStr">
        <is>
          <t>Ministère de l'Intérieur publie un AO potentiellement pertinent pour CHRUTH : AAPC-MS-Issy-les-Moulineaux. Zone : 75. Budget detecte environ 2 240 000 EUR. Verifier le lien source avant contact.</t>
        </is>
      </c>
      <c r="BD62" t="inlineStr">
        <is>
          <t>Bonjour,
Je me permets de vous contacter au sujet de votre appel d'offres : AAPC-MS-Issy-les-Moulineaux.
CHRUTH accompagne les structures publiques et privees sur les besoins de nettoyage, d'entretien des locaux et d'organisation de prestations de service.
Serait-il possible d'echanger rapidement afin de verifier les modalites de reponse et les attentes de Ministère de l'Intérieur ?
Cordialement,</t>
        </is>
      </c>
      <c r="BE62" t="inlineStr">
        <is>
          <t>Bonjour, je vous appelle concernant un appel d'offres publie par Ministère de l'Intérieur. Je souhaite verifier les informations pratiques : perimetre des prestations, date limite, modalites de visite, contact technique et pieces attendues. Pouvez-vous m'indiquer la bonne personne a contacter ?</t>
        </is>
      </c>
      <c r="BF62" t="inlineStr"/>
      <c r="BG62" t="inlineStr"/>
      <c r="BH62" t="inlineStr"/>
      <c r="BI62" t="inlineStr"/>
      <c r="BJ62" t="inlineStr"/>
      <c r="BK62" t="inlineStr"/>
      <c r="BL62" t="inlineStr"/>
      <c r="BM62" t="inlineStr">
        <is>
          <t>2026-W23</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 xmlns:r="http://schemas.openxmlformats.org/officeDocument/2006/relationships" ref="AD51" r:id="rId50"/>
    <hyperlink xmlns:r="http://schemas.openxmlformats.org/officeDocument/2006/relationships" ref="AD52" r:id="rId51"/>
    <hyperlink xmlns:r="http://schemas.openxmlformats.org/officeDocument/2006/relationships" ref="AD53" r:id="rId52"/>
    <hyperlink xmlns:r="http://schemas.openxmlformats.org/officeDocument/2006/relationships" ref="AD54" r:id="rId53"/>
    <hyperlink xmlns:r="http://schemas.openxmlformats.org/officeDocument/2006/relationships" ref="AD55" r:id="rId54"/>
    <hyperlink xmlns:r="http://schemas.openxmlformats.org/officeDocument/2006/relationships" ref="AD56" r:id="rId55"/>
    <hyperlink xmlns:r="http://schemas.openxmlformats.org/officeDocument/2006/relationships" ref="AD57" r:id="rId56"/>
    <hyperlink xmlns:r="http://schemas.openxmlformats.org/officeDocument/2006/relationships" ref="AD58" r:id="rId57"/>
    <hyperlink xmlns:r="http://schemas.openxmlformats.org/officeDocument/2006/relationships" ref="AD59" r:id="rId58"/>
    <hyperlink xmlns:r="http://schemas.openxmlformats.org/officeDocument/2006/relationships" ref="AD60" r:id="rId59"/>
    <hyperlink xmlns:r="http://schemas.openxmlformats.org/officeDocument/2006/relationships" ref="AD61" r:id="rId60"/>
    <hyperlink xmlns:r="http://schemas.openxmlformats.org/officeDocument/2006/relationships" ref="AD62" r:id="rId61"/>
  </hyperlinks>
  <pageMargins left="0.75" right="0.75" top="1" bottom="1" header="0.5" footer="0.5"/>
  <tableParts count="1">
    <tablePart xmlns:r="http://schemas.openxmlformats.org/officeDocument/2006/relationships" r:id="rId62"/>
  </tableParts>
</worksheet>
</file>

<file path=xl/worksheets/sheet5.xml><?xml version="1.0" encoding="utf-8"?>
<worksheet xmlns="http://schemas.openxmlformats.org/spreadsheetml/2006/main">
  <sheetPr>
    <outlinePr summaryBelow="1" summaryRight="1"/>
    <pageSetUpPr/>
  </sheetPr>
  <dimension ref="A1:BM58"/>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27" customWidth="1" min="7" max="7"/>
    <col width="16" customWidth="1" min="8" max="8"/>
    <col width="50" customWidth="1" min="9" max="9"/>
    <col width="16" customWidth="1" min="10" max="10"/>
    <col width="43"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24" customWidth="1" min="24" max="24"/>
    <col width="13" customWidth="1" min="25" max="25"/>
    <col width="20" customWidth="1" min="26" max="26"/>
    <col width="16" customWidth="1" min="27" max="27"/>
    <col width="55" customWidth="1" min="28" max="28"/>
    <col width="33" customWidth="1" min="29" max="29"/>
    <col width="51"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26-63741</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46201</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Ouverte</t>
        </is>
      </c>
      <c r="AA2" t="inlineStr">
        <is>
          <t>Avis de marché</t>
        </is>
      </c>
      <c r="AB2" t="inlineStr">
        <is>
          <t>Formation, Nettoyage de locaux</t>
        </is>
      </c>
      <c r="AC2" t="inlineStr"/>
      <c r="AD2" s="11" t="inlineStr">
        <is>
          <t>https://www.boamp.fr/pages/avis/?q=idweb:26-63741</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95</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26-63741. Objet: Accord cadre de missions de formation de lutte contre la discrimination et de lutte contre les violences sexistes et sexuelles à destination du tissu associatif en deux lots séparés.. Acheteur: VILLE de PARIS - DFA - SDA. Lien: https://www.boamp.fr/pages/avis/?q=idweb:26-63741.</t>
        </is>
      </c>
      <c r="AU2" t="inlineStr">
        <is>
          <t>Verifier url_avis et DCE si disponible</t>
        </is>
      </c>
      <c r="AV2" t="inlineStr"/>
      <c r="AW2" t="inlineStr"/>
      <c r="AX2" t="inlineStr"/>
      <c r="AY2" t="inlineStr"/>
      <c r="AZ2" t="inlineStr"/>
      <c r="BA2" t="inlineStr"/>
      <c r="BB2" t="inlineStr">
        <is>
          <t>+35 nettoyage + categorie claire | +25 budget annualise &lt;= 50 000 EUR | +15 procedure adaptee / MAPA / allotissement | +10 secteur cible Mairie | +10 delai confortable 71j</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2026-W26</t>
        </is>
      </c>
    </row>
    <row r="3">
      <c r="A3" t="inlineStr">
        <is>
          <t>BOAMP</t>
        </is>
      </c>
      <c r="B3" t="inlineStr">
        <is>
          <t>26-58680</t>
        </is>
      </c>
      <c r="C3" t="inlineStr">
        <is>
          <t>Nettoyage des vitres et entretien des bâtiments communaux (Administratifs, Culturels, Scolaires, Sportifs et Autres)</t>
        </is>
      </c>
      <c r="D3" t="inlineStr">
        <is>
          <t>MAIRIE DES LILAS</t>
        </is>
      </c>
      <c r="E3" t="inlineStr"/>
      <c r="F3" t="inlineStr"/>
      <c r="G3" t="inlineStr"/>
      <c r="H3" t="inlineStr"/>
      <c r="I3" t="inlineStr">
        <is>
          <t>publications-joue@aws-france.com</t>
        </is>
      </c>
      <c r="J3" t="inlineStr">
        <is>
          <t>+33480041260</t>
        </is>
      </c>
      <c r="K3" t="inlineStr"/>
      <c r="L3" t="inlineStr"/>
      <c r="M3" t="inlineStr"/>
      <c r="N3" t="inlineStr">
        <is>
          <t>93</t>
        </is>
      </c>
      <c r="O3" t="inlineStr"/>
      <c r="P3" t="inlineStr">
        <is>
          <t>Ile-de-France</t>
        </is>
      </c>
      <c r="Q3" s="15" t="n">
        <v>46187</v>
      </c>
      <c r="R3" s="15" t="n">
        <v>46216</v>
      </c>
      <c r="S3" s="14" t="n">
        <v>22000</v>
      </c>
      <c r="T3" t="inlineStr">
        <is>
          <t>BUDGET_SOUS_SEUIL</t>
        </is>
      </c>
      <c r="U3" t="inlineStr">
        <is>
          <t>5500</t>
        </is>
      </c>
      <c r="V3" t="inlineStr">
        <is>
          <t>oui</t>
        </is>
      </c>
      <c r="W3" t="inlineStr">
        <is>
          <t>Vitres</t>
        </is>
      </c>
      <c r="X3" t="inlineStr">
        <is>
          <t>Mairie</t>
        </is>
      </c>
      <c r="Y3" t="inlineStr">
        <is>
          <t>SERVICES</t>
        </is>
      </c>
      <c r="Z3" t="inlineStr">
        <is>
          <t>Procédure Ouverte</t>
        </is>
      </c>
      <c r="AA3" t="inlineStr">
        <is>
          <t>Avis de marché</t>
        </is>
      </c>
      <c r="AB3" t="inlineStr">
        <is>
          <t>Nettoyage de locaux, Vitrerie</t>
        </is>
      </c>
      <c r="AC3" t="inlineStr">
        <is>
          <t>['sociaux', 'environnementaux']</t>
        </is>
      </c>
      <c r="AD3" s="11" t="inlineStr">
        <is>
          <t>https://www.boamp.fr/pages/avis/?q=idweb:26-58680</t>
        </is>
      </c>
      <c r="AE3" t="inlineStr">
        <is>
          <t>http://agysoft.marches-publics.info/</t>
        </is>
      </c>
      <c r="AF3" t="inlineStr">
        <is>
          <t>http://agysoft.marches-publics.info/</t>
        </is>
      </c>
      <c r="AG3" t="inlineStr">
        <is>
          <t>nettoyage, nettoyage de vitres</t>
        </is>
      </c>
      <c r="AH3" t="inlineStr">
        <is>
          <t>2</t>
        </is>
      </c>
      <c r="AI3" t="inlineStr">
        <is>
          <t>66</t>
        </is>
      </c>
      <c r="AJ3" t="inlineStr">
        <is>
          <t>INFO_PARTIELLE</t>
        </is>
      </c>
      <c r="AK3" t="inlineStr">
        <is>
          <t>80</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SIRET, adresse, ville</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26-58680. Objet: Nettoyage des vitres et entretien des bâtiments communaux (Administratifs, Culturels, Scolaires, Sportifs et Autres). Acheteur: MAIRIE DES LILAS. Lien: https://www.boamp.fr/pages/avis/?q=idweb:26-58680.</t>
        </is>
      </c>
      <c r="AU3" t="inlineStr">
        <is>
          <t>Verifier url_avis et DCE si disponible</t>
        </is>
      </c>
      <c r="AV3" t="inlineStr"/>
      <c r="AW3" t="inlineStr"/>
      <c r="AX3" t="inlineStr"/>
      <c r="AY3" t="inlineStr"/>
      <c r="AZ3" t="inlineStr"/>
      <c r="BA3" t="inlineStr"/>
      <c r="BB3" t="inlineStr">
        <is>
          <t>+35 nettoyage + categorie claire | +25 budget annualise &lt;= 50 000 EUR | +10 secteur cible Mairie | +10 delai confortable 21j</t>
        </is>
      </c>
      <c r="BC3" t="inlineStr">
        <is>
          <t>MAIRIE DES LILAS publie un AO potentiellement pertinent pour CHRUTH : Nettoyage des vitres et entretien des bâtiments communaux (Administratifs, Culturels, Scolaires, Sportifs et Autres). Zone : 93. Budget detecte environ 22 000 EUR. Verifier le lien source avant contact.</t>
        </is>
      </c>
      <c r="BD3" t="inlineStr">
        <is>
          <t>Bonjour,
Je me permets de vous contacter au sujet de votre appel d'offres : Nettoyage des vitres et entretien des bâtiments communaux (Administratifs, Culturels, Scolaires, Sportifs et Autres).
CHRUTH accompagne les structures publiques et privees sur les besoins de nettoyage, d'entretien des locaux et d'organisation de prestations de service.
Serait-il possible d'echanger rapidement afin de verifier les modalites de reponse et les attentes de MAIRIE DES LILAS ?
Cordialement,</t>
        </is>
      </c>
      <c r="BE3" t="inlineStr">
        <is>
          <t>Bonjour, je vous appelle concernant un appel d'offres publie par MAIRIE DES LILAS. Je souhaite verifier les informations pratiques : perimetre des prestations, date limite, modalites de visite, contact technique et pieces attendues. Pouvez-vous m'indiquer la bonne personne a contacter ?</t>
        </is>
      </c>
      <c r="BF3" t="inlineStr"/>
      <c r="BG3" t="inlineStr"/>
      <c r="BH3" t="inlineStr"/>
      <c r="BI3" t="inlineStr"/>
      <c r="BJ3" t="inlineStr"/>
      <c r="BK3" t="inlineStr"/>
      <c r="BL3" t="inlineStr"/>
      <c r="BM3" t="inlineStr">
        <is>
          <t>2026-W24</t>
        </is>
      </c>
    </row>
    <row r="4">
      <c r="A4" t="inlineStr">
        <is>
          <t>BOAMP</t>
        </is>
      </c>
      <c r="B4" t="inlineStr">
        <is>
          <t>26-66091</t>
        </is>
      </c>
      <c r="C4" t="inlineStr">
        <is>
          <t>Restauration de monuments funéraires et de statues pour la ville d'Asnières-sur-Seine</t>
        </is>
      </c>
      <c r="D4" t="inlineStr">
        <is>
          <t>Mairie d'Asnières sur Seine</t>
        </is>
      </c>
      <c r="E4" t="inlineStr">
        <is>
          <t>21920004500017</t>
        </is>
      </c>
      <c r="F4" t="inlineStr">
        <is>
          <t>219200045</t>
        </is>
      </c>
      <c r="G4" t="inlineStr">
        <is>
          <t>marches@mairieasnieres.fr</t>
        </is>
      </c>
      <c r="H4" t="inlineStr"/>
      <c r="I4" t="inlineStr">
        <is>
          <t>marches@mairieasnieres.fr</t>
        </is>
      </c>
      <c r="J4" t="inlineStr">
        <is>
          <t>0141111494</t>
        </is>
      </c>
      <c r="K4" t="inlineStr">
        <is>
          <t>Hauts-de-Seine</t>
        </is>
      </c>
      <c r="L4" t="inlineStr">
        <is>
          <t>92600</t>
        </is>
      </c>
      <c r="M4" t="inlineStr">
        <is>
          <t>Asnières sur seine</t>
        </is>
      </c>
      <c r="N4" t="inlineStr">
        <is>
          <t>92</t>
        </is>
      </c>
      <c r="O4" t="inlineStr"/>
      <c r="P4" t="inlineStr">
        <is>
          <t>Ile-de-France</t>
        </is>
      </c>
      <c r="Q4" s="15" t="n">
        <v>46206</v>
      </c>
      <c r="R4" s="15" t="n">
        <v>46234</v>
      </c>
      <c r="S4" s="14" t="n">
        <v>92600</v>
      </c>
      <c r="T4" t="inlineStr">
        <is>
          <t>BUDGET_SOUS_SEUIL</t>
        </is>
      </c>
      <c r="U4" t="inlineStr">
        <is>
          <t>92600.0</t>
        </is>
      </c>
      <c r="V4" t="inlineStr">
        <is>
          <t>non</t>
        </is>
      </c>
      <c r="W4" t="inlineStr">
        <is>
          <t>Batiments</t>
        </is>
      </c>
      <c r="X4" t="inlineStr">
        <is>
          <t>Mairie</t>
        </is>
      </c>
      <c r="Y4" t="inlineStr">
        <is>
          <t>TRAVAUX</t>
        </is>
      </c>
      <c r="Z4" t="inlineStr">
        <is>
          <t>Procédure Ouverte</t>
        </is>
      </c>
      <c r="AA4" t="inlineStr">
        <is>
          <t>Avis de marché</t>
        </is>
      </c>
      <c r="AB4" t="inlineStr">
        <is>
          <t>Décoration (travaux)</t>
        </is>
      </c>
      <c r="AC4" t="inlineStr">
        <is>
          <t>['environnementaux']</t>
        </is>
      </c>
      <c r="AD4" s="11" t="inlineStr">
        <is>
          <t>https://www.boamp.fr/pages/avis/?q=idweb:26-66091</t>
        </is>
      </c>
      <c r="AE4" t="inlineStr">
        <is>
          <t>https://www.achatpublic.com/sdm/ent/gen/ent_detail.do?PCSLID=CSL_2026_a6SYMMMQ2m</t>
        </is>
      </c>
      <c r="AF4" t="inlineStr">
        <is>
          <t>https://www.achatpublic.com/sdm/ent/gen/ent_detail.do?PCSLID=CSL_2026_a6SYMMMQ2m</t>
        </is>
      </c>
      <c r="AG4" t="inlineStr">
        <is>
          <t>nettoyage</t>
        </is>
      </c>
      <c r="AH4" t="inlineStr">
        <is>
          <t>6</t>
        </is>
      </c>
      <c r="AI4" t="inlineStr">
        <is>
          <t>98</t>
        </is>
      </c>
      <c r="AJ4" t="inlineStr">
        <is>
          <t>INFO_PARTIELLE</t>
        </is>
      </c>
      <c r="AK4" t="inlineStr">
        <is>
          <t>75</t>
        </is>
      </c>
      <c r="AL4" s="13" t="inlineStr">
        <is>
          <t>CHAUD</t>
        </is>
      </c>
      <c r="AM4" t="inlineStr"/>
      <c r="AN4" t="inlineStr"/>
      <c r="AO4" t="inlineStr"/>
      <c r="AP4" t="inlineStr"/>
      <c r="AQ4" t="inlineStr">
        <is>
          <t>IA_CONTROLE_SOURCE</t>
        </is>
      </c>
      <c r="AR4" t="inlineStr">
        <is>
          <t>Verifier rapidement la source avant contact.</t>
        </is>
      </c>
      <c r="AS4" t="inlineStr">
        <is>
          <t>Aucun champ critique manquant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26-66091. Objet: Restauration de monuments funéraires et de statues pour la ville d'Asnières-sur-Seine. Acheteur: Mairie d'Asnières sur Seine. Lien: https://www.boamp.fr/pages/avis/?q=idweb:26-66091.</t>
        </is>
      </c>
      <c r="AU4" t="inlineStr">
        <is>
          <t>Verifier url_avis et DCE si disponible</t>
        </is>
      </c>
      <c r="AV4" t="inlineStr"/>
      <c r="AW4" t="inlineStr"/>
      <c r="AX4" t="inlineStr"/>
      <c r="AY4" t="inlineStr"/>
      <c r="AZ4" t="inlineStr"/>
      <c r="BA4" t="inlineStr"/>
      <c r="BB4" t="inlineStr">
        <is>
          <t>+35 nettoyage + categorie claire | +20 budget annualise &lt;= 100 000 EUR | +10 secteur cible Mairie | +10 delai confortable 25j</t>
        </is>
      </c>
      <c r="BC4" t="inlineStr">
        <is>
          <t>Mairie d'Asnières sur Seine publie un AO potentiellement pertinent pour CHRUTH : Restauration de monuments funéraires et de statues pour la ville d'Asnières-sur-Seine. Zone : Asnières sur seine. Budget detecte environ 92 600 EUR. Verifier le lien source avant contact.</t>
        </is>
      </c>
      <c r="BD4" t="inlineStr">
        <is>
          <t>Bonjour,
Je me permets de vous contacter au sujet de votre appel d'offres : Restauration de monuments funéraires et de statues pour la ville d'Asnières-sur-Seine.
CHRUTH accompagne les structures publiques et privées sur les besoins de nettoyage, d'entretien des locaux et d'organisation de prestations de service.
Serait-il possible d'échanger rapidement afin de vérifier les modalités de réponse et les attentes de Mairie d'Asnières sur Seine ?
Cordialement,</t>
        </is>
      </c>
      <c r="BE4" t="inlineStr">
        <is>
          <t>Bonjour, je vous appelle concernant un appel d'offres publié par Mairie d'Asnières sur Seine.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2026-W27</t>
        </is>
      </c>
    </row>
    <row r="5">
      <c r="A5" t="inlineStr">
        <is>
          <t>BOAMP</t>
        </is>
      </c>
      <c r="B5" t="inlineStr">
        <is>
          <t>26-60739</t>
        </is>
      </c>
      <c r="C5" t="inlineStr">
        <is>
          <t>FOURNITURE D'EQUIPEMENTS, PRODUITS D'ENTRETIEN ET HACCP AU PROFIT DE LA VILLE ET DU CCAS DE LONGJUMEAU (2ème procédure)</t>
        </is>
      </c>
      <c r="D5" t="inlineStr">
        <is>
          <t>Ville de Longjumeau</t>
        </is>
      </c>
      <c r="E5" t="inlineStr">
        <is>
          <t>21910345400225</t>
        </is>
      </c>
      <c r="F5" t="inlineStr">
        <is>
          <t>219103454</t>
        </is>
      </c>
      <c r="G5" t="inlineStr"/>
      <c r="H5" t="inlineStr"/>
      <c r="I5" t="inlineStr">
        <is>
          <t>achatpublic@longjumeau.fr</t>
        </is>
      </c>
      <c r="J5" t="inlineStr">
        <is>
          <t>0345400225</t>
        </is>
      </c>
      <c r="K5" t="inlineStr"/>
      <c r="L5" t="inlineStr"/>
      <c r="M5" t="inlineStr"/>
      <c r="N5" t="inlineStr">
        <is>
          <t>91</t>
        </is>
      </c>
      <c r="O5" t="inlineStr"/>
      <c r="P5" t="inlineStr">
        <is>
          <t>Ile-de-France</t>
        </is>
      </c>
      <c r="Q5" s="15" t="n">
        <v>46193</v>
      </c>
      <c r="R5" s="15" t="n">
        <v>46231</v>
      </c>
      <c r="S5" s="14" t="n">
        <v>280000</v>
      </c>
      <c r="T5" t="inlineStr">
        <is>
          <t>BUDGET_EXPLICITE_OK</t>
        </is>
      </c>
      <c r="U5" t="inlineStr">
        <is>
          <t>70000</t>
        </is>
      </c>
      <c r="V5" t="inlineStr">
        <is>
          <t>oui</t>
        </is>
      </c>
      <c r="W5" t="inlineStr">
        <is>
          <t>Batiments</t>
        </is>
      </c>
      <c r="X5" t="inlineStr">
        <is>
          <t>Mairie</t>
        </is>
      </c>
      <c r="Y5" t="inlineStr">
        <is>
          <t>FOURNITURES</t>
        </is>
      </c>
      <c r="Z5" t="inlineStr">
        <is>
          <t>Procédure Ouverte</t>
        </is>
      </c>
      <c r="AA5" t="inlineStr">
        <is>
          <t>Avis de marché</t>
        </is>
      </c>
      <c r="AB5" t="inlineStr">
        <is>
          <t>Hygiène (articles), Produits d'entretien</t>
        </is>
      </c>
      <c r="AC5" t="inlineStr"/>
      <c r="AD5" s="11" t="inlineStr">
        <is>
          <t>https://www.boamp.fr/pages/avis/?q=idweb:26-60739</t>
        </is>
      </c>
      <c r="AE5" t="inlineStr">
        <is>
          <t>http://longjumeau.e-marchespublics.com</t>
        </is>
      </c>
      <c r="AF5" t="inlineStr">
        <is>
          <t>http://longjumeau.e-marchespublics.com</t>
        </is>
      </c>
      <c r="AG5" t="inlineStr">
        <is>
          <t>entretien des locaux</t>
        </is>
      </c>
      <c r="AH5" t="inlineStr">
        <is>
          <t>3</t>
        </is>
      </c>
      <c r="AI5" t="inlineStr">
        <is>
          <t>68</t>
        </is>
      </c>
      <c r="AJ5" t="inlineStr">
        <is>
          <t>INFO_PARTIELLE</t>
        </is>
      </c>
      <c r="AK5" t="inlineStr">
        <is>
          <t>75</t>
        </is>
      </c>
      <c r="AL5" s="13" t="inlineStr">
        <is>
          <t>CHAUD</t>
        </is>
      </c>
      <c r="AM5" t="inlineStr"/>
      <c r="AN5" t="inlineStr"/>
      <c r="AO5" t="inlineStr"/>
      <c r="AP5" t="inlineStr"/>
      <c r="AQ5" t="inlineStr">
        <is>
          <t>IA_CONTACT_A_COMPLETER</t>
        </is>
      </c>
      <c r="AR5" t="inlineStr">
        <is>
          <t>Completer les champs manquants depuis l'avis source, le site acheteur ou le DCE.</t>
        </is>
      </c>
      <c r="AS5" t="inlineStr">
        <is>
          <t>adresse, ville</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26-60739. Objet: FOURNITURE D'EQUIPEMENTS, PRODUITS D'ENTRETIEN ET HACCP AU PROFIT DE LA VILLE ET DU CCAS DE LONGJUMEAU (2ème procédure). Acheteur: Ville de Longjumeau. Lien: https://www.boamp.fr/pages/avis/?q=idweb:26-60739.</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24j</t>
        </is>
      </c>
      <c r="BC5" t="inlineStr">
        <is>
          <t>Ville de Longjumeau publie un AO potentiellement pertinent pour CHRUTH : FOURNITURE D'EQUIPEMENTS, PRODUITS D'ENTRETIEN ET HACCP AU PROFIT DE LA VILLE ET DU CCAS DE LONGJUMEAU (2ème procédure). Zone : 91. Budget detecte environ 280 000 EUR. Verifier le lien source avant contact.</t>
        </is>
      </c>
      <c r="BD5" t="inlineStr">
        <is>
          <t>Bonjour,
Je me permets de vous contacter au sujet de votre appel d'offres : FOURNITURE D'EQUIPEMENTS, PRODUITS D'ENTRETIEN ET HACCP AU PROFIT DE LA VILLE ET DU CCAS DE LONGJUMEAU (2ème procédure).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5"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2026-W25</t>
        </is>
      </c>
    </row>
    <row r="6">
      <c r="A6" t="inlineStr">
        <is>
          <t>BOAMP</t>
        </is>
      </c>
      <c r="B6" t="inlineStr">
        <is>
          <t>26-57399</t>
        </is>
      </c>
      <c r="C6" t="inlineStr">
        <is>
          <t>Prestations de nettoyage de certains équipements de protection individuelle (EPI) et vêtements de travail professionnels</t>
        </is>
      </c>
      <c r="D6" t="inlineStr">
        <is>
          <t>MAIRIE DE ROMAINVILLE</t>
        </is>
      </c>
      <c r="E6" t="inlineStr">
        <is>
          <t>21930063900016</t>
        </is>
      </c>
      <c r="F6" t="inlineStr">
        <is>
          <t>219300639</t>
        </is>
      </c>
      <c r="G6" t="inlineStr">
        <is>
          <t>Adrien VELLA</t>
        </is>
      </c>
      <c r="H6" t="inlineStr"/>
      <c r="I6" t="inlineStr"/>
      <c r="J6" t="inlineStr">
        <is>
          <t>06-10 2026-07</t>
        </is>
      </c>
      <c r="K6" t="inlineStr">
        <is>
          <t>Seine-Saint-Denis</t>
        </is>
      </c>
      <c r="L6" t="inlineStr">
        <is>
          <t>93230</t>
        </is>
      </c>
      <c r="M6" t="inlineStr">
        <is>
          <t>Romainville</t>
        </is>
      </c>
      <c r="N6" t="inlineStr">
        <is>
          <t>93</t>
        </is>
      </c>
      <c r="O6" t="inlineStr"/>
      <c r="P6" t="inlineStr">
        <is>
          <t>Ile-de-France</t>
        </is>
      </c>
      <c r="Q6" s="15" t="n">
        <v>46183</v>
      </c>
      <c r="R6" s="15" t="n">
        <v>46213</v>
      </c>
      <c r="S6" s="14" t="n">
        <v>93230</v>
      </c>
      <c r="T6" t="inlineStr">
        <is>
          <t>BUDGET_SOUS_SEUIL</t>
        </is>
      </c>
      <c r="U6" t="inlineStr">
        <is>
          <t>93230.0</t>
        </is>
      </c>
      <c r="V6" t="inlineStr">
        <is>
          <t>non</t>
        </is>
      </c>
      <c r="W6" t="inlineStr">
        <is>
          <t>Mixte/Autre</t>
        </is>
      </c>
      <c r="X6" t="inlineStr">
        <is>
          <t>Mairie</t>
        </is>
      </c>
      <c r="Y6" t="inlineStr">
        <is>
          <t>SERVICES</t>
        </is>
      </c>
      <c r="Z6" t="inlineStr">
        <is>
          <t>Procédure Ouverte</t>
        </is>
      </c>
      <c r="AA6" t="inlineStr">
        <is>
          <t>Avis de marché</t>
        </is>
      </c>
      <c r="AB6" t="inlineStr">
        <is>
          <t>Blanchissage</t>
        </is>
      </c>
      <c r="AC6" t="inlineStr">
        <is>
          <t>['sociaux', 'environnementaux']</t>
        </is>
      </c>
      <c r="AD6" s="11" t="inlineStr">
        <is>
          <t>https://www.boamp.fr/pages/avis/?q=idweb:26-57399</t>
        </is>
      </c>
      <c r="AE6" t="inlineStr">
        <is>
          <t>https://www.achatpublic.com/sdm/ent/gen/ent_detail.do?PCSLID=CSL_2026_XmI0UKhCKV</t>
        </is>
      </c>
      <c r="AF6" t="inlineStr">
        <is>
          <t>https://www.achatpublic.com/sdm/ent/gen/ent_detail.do?PCSLID=CSL_2026_XmI0UKhCKV</t>
        </is>
      </c>
      <c r="AG6" t="inlineStr">
        <is>
          <t>nettoyage</t>
        </is>
      </c>
      <c r="AH6" t="inlineStr">
        <is>
          <t>5</t>
        </is>
      </c>
      <c r="AI6" t="inlineStr">
        <is>
          <t>88</t>
        </is>
      </c>
      <c r="AJ6" t="inlineStr">
        <is>
          <t>INFO_PARTIELLE</t>
        </is>
      </c>
      <c r="AK6" t="inlineStr">
        <is>
          <t>70</t>
        </is>
      </c>
      <c r="AL6" s="13" t="inlineStr">
        <is>
          <t>CHAUD</t>
        </is>
      </c>
      <c r="AM6" t="inlineStr"/>
      <c r="AN6" t="inlineStr"/>
      <c r="AO6" t="inlineStr"/>
      <c r="AP6" t="inlineStr"/>
      <c r="AQ6" t="inlineStr">
        <is>
          <t>IA_CONTACT_A_COMPLETER</t>
        </is>
      </c>
      <c r="AR6" t="inlineStr">
        <is>
          <t>Completer les champs manquants depuis l'avis source, le site acheteur ou le DCE.</t>
        </is>
      </c>
      <c r="AS6" t="inlineStr">
        <is>
          <t>email</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26-57399. Objet: Prestations de nettoyage de certains équipements de protection individuelle (EPI) et vêtements de travail professionnels. Acheteur: MAIRIE DE ROMAINVILLE. Lien: https://www.boamp.fr/pages/avis/?q=idweb:26-57399.</t>
        </is>
      </c>
      <c r="AU6" t="inlineStr">
        <is>
          <t>Verifier url_avis et DCE si disponible</t>
        </is>
      </c>
      <c r="AV6" t="inlineStr">
        <is>
          <t>LIEN_SEUL</t>
        </is>
      </c>
      <c r="AW6" t="inlineStr"/>
      <c r="AX6" t="inlineStr"/>
      <c r="AY6" t="inlineStr"/>
      <c r="AZ6" t="inlineStr"/>
      <c r="BA6" t="inlineStr"/>
      <c r="BB6" t="inlineStr">
        <is>
          <t>+30 mots-cles nettoyage forts | +20 budget annualise &lt;= 100 000 EUR | +10 secteur cible Mairie | +10 delai confortable 18j</t>
        </is>
      </c>
      <c r="BC6" t="inlineStr">
        <is>
          <t>MAIRIE DE ROMAINVILLE publie un AO potentiellement pertinent pour CHRUTH : Prestations de nettoyage de certains équipements de protection individuelle (EPI) et vêtements de travail professionnels. Zone : Romainville. Budget detecte environ 93 230 EUR. Verifier le lien source avant contact.</t>
        </is>
      </c>
      <c r="BD6" t="inlineStr">
        <is>
          <t>Bonjour,
Je me permets de vous contacter au sujet de votre appel d'offres : Prestations de nettoyage de certains équipements de protection individuelle (EPI) et vêtements de travail professionnels.
CHRUTH accompagne les structures publiques et privees sur les besoins de nettoyage, d'entretien des locaux et d'organisation de prestations de service.
Serait-il possible d'echanger rapidement afin de verifier les modalites de reponse et les attentes de MAIRIE DE ROMAINVILLE ?
Cordialement,</t>
        </is>
      </c>
      <c r="BE6" t="inlineStr">
        <is>
          <t>Bonjour, je vous appelle concernant un appel d'offres publie par MAIRIE DE ROMAINVILLE. Je souhaite verifier les informations pratiques : perimetre des prestations, date limite, modalites de visite, contact technique et pieces attendues. Pouvez-vous m'indiquer la bonne personne a contacter ?</t>
        </is>
      </c>
      <c r="BF6" t="inlineStr"/>
      <c r="BG6" t="inlineStr"/>
      <c r="BH6" t="inlineStr"/>
      <c r="BI6" t="inlineStr"/>
      <c r="BJ6" t="inlineStr"/>
      <c r="BK6" t="inlineStr"/>
      <c r="BL6" t="inlineStr"/>
      <c r="BM6" t="inlineStr">
        <is>
          <t>2026-W24</t>
        </is>
      </c>
    </row>
    <row r="7">
      <c r="A7" t="inlineStr">
        <is>
          <t>BOAMP</t>
        </is>
      </c>
      <c r="B7" t="inlineStr">
        <is>
          <t>26-56654</t>
        </is>
      </c>
      <c r="C7" t="inlineStr">
        <is>
          <t>Prestations de bio-nettoyage, mise à blanc et mise à gris des zones à atmosphère contrôlée au profit du CTSA et de l'UMTI</t>
        </is>
      </c>
      <c r="D7" t="inlineStr">
        <is>
          <t>DAPSA/PFAF-S</t>
        </is>
      </c>
      <c r="E7" t="inlineStr"/>
      <c r="F7" t="inlineStr"/>
      <c r="G7" t="inlineStr">
        <is>
          <t>BARDIEU</t>
        </is>
      </c>
      <c r="H7" t="inlineStr"/>
      <c r="I7" t="inlineStr">
        <is>
          <t>melisande.bardieu@intradef.gouv.fr</t>
        </is>
      </c>
      <c r="J7" t="inlineStr">
        <is>
          <t>0238607455</t>
        </is>
      </c>
      <c r="K7" t="inlineStr"/>
      <c r="L7" t="inlineStr">
        <is>
          <t>45404</t>
        </is>
      </c>
      <c r="M7" t="inlineStr">
        <is>
          <t>FLEURY-LES-AUBRAIS CEDEX</t>
        </is>
      </c>
      <c r="N7" t="inlineStr">
        <is>
          <t>92</t>
        </is>
      </c>
      <c r="O7" t="inlineStr"/>
      <c r="P7" t="inlineStr">
        <is>
          <t>Ile-de-France</t>
        </is>
      </c>
      <c r="Q7" s="15" t="n">
        <v>46182</v>
      </c>
      <c r="R7" s="15" t="n">
        <v>46231</v>
      </c>
      <c r="S7" t="inlineStr"/>
      <c r="T7" t="inlineStr">
        <is>
          <t>A_VERIFIER_BUDGET</t>
        </is>
      </c>
      <c r="U7" t="inlineStr"/>
      <c r="V7" t="inlineStr">
        <is>
          <t>non</t>
        </is>
      </c>
      <c r="W7" t="inlineStr">
        <is>
          <t>Batiments</t>
        </is>
      </c>
      <c r="X7" t="inlineStr">
        <is>
          <t>Autre</t>
        </is>
      </c>
      <c r="Y7" t="inlineStr">
        <is>
          <t>SERVICES</t>
        </is>
      </c>
      <c r="Z7" t="inlineStr">
        <is>
          <t>Procédure Adaptée</t>
        </is>
      </c>
      <c r="AA7" t="inlineStr">
        <is>
          <t>Avis de marché</t>
        </is>
      </c>
      <c r="AB7" t="inlineStr">
        <is>
          <t>Nettoyage de locaux</t>
        </is>
      </c>
      <c r="AC7" t="inlineStr">
        <is>
          <t>['sociaux', 'environnementaux']</t>
        </is>
      </c>
      <c r="AD7" s="11" t="inlineStr">
        <is>
          <t>https://www.boamp.fr/pages/avis/?q=idweb:26-56654</t>
        </is>
      </c>
      <c r="AE7" t="inlineStr">
        <is>
          <t>https://www.marches-publics.gouv.fr/entreprise</t>
        </is>
      </c>
      <c r="AF7" t="inlineStr">
        <is>
          <t>https://www.marches-publics.gouv.fr/entreprise</t>
        </is>
      </c>
      <c r="AG7" t="inlineStr">
        <is>
          <t>nettoyage</t>
        </is>
      </c>
      <c r="AH7" t="inlineStr">
        <is>
          <t>4</t>
        </is>
      </c>
      <c r="AI7" t="inlineStr">
        <is>
          <t>78</t>
        </is>
      </c>
      <c r="AJ7" t="inlineStr">
        <is>
          <t>INFO_PARTIELLE</t>
        </is>
      </c>
      <c r="AK7" t="inlineStr">
        <is>
          <t>70</t>
        </is>
      </c>
      <c r="AL7" s="13" t="inlineStr">
        <is>
          <t>CHAUD</t>
        </is>
      </c>
      <c r="AM7" t="inlineStr"/>
      <c r="AN7" t="inlineStr"/>
      <c r="AO7" t="inlineStr"/>
      <c r="AP7" t="inlineStr"/>
      <c r="AQ7" t="inlineStr">
        <is>
          <t>IA_BUDGET_A_VERIFIER</t>
        </is>
      </c>
      <c r="AR7" t="inlineStr">
        <is>
          <t>Verifier le budget dans l'avis source ou le DCE avant decision commerciale.</t>
        </is>
      </c>
      <c r="AS7" t="inlineStr">
        <is>
          <t>SIRET, adresse, budget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7" t="inlineStr">
        <is>
          <t>Verifier url_avis et DCE si disponible</t>
        </is>
      </c>
      <c r="AV7" t="inlineStr">
        <is>
          <t>LIEN_SEUL</t>
        </is>
      </c>
      <c r="AW7" t="inlineStr"/>
      <c r="AX7" t="inlineStr"/>
      <c r="AY7" t="inlineStr"/>
      <c r="AZ7" t="inlineStr"/>
      <c r="BA7" t="inlineStr"/>
      <c r="BB7" t="inlineStr">
        <is>
          <t>+35 nettoyage + categorie claire | +10 budget non affiche (a verifier) | +15 procedure adaptee / MAPA / allotissement | +10 delai confortable 36j</t>
        </is>
      </c>
      <c r="BC7"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7"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7"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7" t="inlineStr"/>
      <c r="BG7" t="inlineStr"/>
      <c r="BH7" t="inlineStr"/>
      <c r="BI7" t="inlineStr"/>
      <c r="BJ7" t="inlineStr"/>
      <c r="BK7" t="inlineStr"/>
      <c r="BL7" t="inlineStr"/>
      <c r="BM7" t="inlineStr">
        <is>
          <t>2026-W24</t>
        </is>
      </c>
    </row>
    <row r="8">
      <c r="A8" t="inlineStr">
        <is>
          <t>BOAMP</t>
        </is>
      </c>
      <c r="B8" t="inlineStr">
        <is>
          <t>26-54018</t>
        </is>
      </c>
      <c r="C8" t="inlineStr">
        <is>
          <t>Accord-cadre relatif à la maintenance préventive et corrective des aires de jeux de la Ville</t>
        </is>
      </c>
      <c r="D8" t="inlineStr">
        <is>
          <t>Mairie de Mantes La Jolie</t>
        </is>
      </c>
      <c r="E8" t="inlineStr">
        <is>
          <t>21780361800016</t>
        </is>
      </c>
      <c r="F8" t="inlineStr">
        <is>
          <t>217803618</t>
        </is>
      </c>
      <c r="G8" t="inlineStr"/>
      <c r="H8" t="inlineStr"/>
      <c r="I8" t="inlineStr">
        <is>
          <t>marchespublics@manteslajolie.fr</t>
        </is>
      </c>
      <c r="J8" t="inlineStr">
        <is>
          <t>0361800016</t>
        </is>
      </c>
      <c r="K8" t="inlineStr"/>
      <c r="L8" t="inlineStr"/>
      <c r="M8" t="inlineStr"/>
      <c r="N8" t="inlineStr">
        <is>
          <t>78,27</t>
        </is>
      </c>
      <c r="O8" t="inlineStr"/>
      <c r="P8" t="inlineStr">
        <is>
          <t>Ile-de-France</t>
        </is>
      </c>
      <c r="Q8" s="15" t="n">
        <v>46176</v>
      </c>
      <c r="R8" s="15" t="n">
        <v>46211</v>
      </c>
      <c r="S8" s="14" t="n">
        <v>100000</v>
      </c>
      <c r="T8" t="inlineStr">
        <is>
          <t>BUDGET_EXPLICITE_OK</t>
        </is>
      </c>
      <c r="U8" t="inlineStr">
        <is>
          <t>100000.0</t>
        </is>
      </c>
      <c r="V8" t="inlineStr">
        <is>
          <t>non</t>
        </is>
      </c>
      <c r="W8" t="inlineStr">
        <is>
          <t>Mixte/Autre</t>
        </is>
      </c>
      <c r="X8" t="inlineStr">
        <is>
          <t>Mairie</t>
        </is>
      </c>
      <c r="Y8" t="inlineStr">
        <is>
          <t>SERVICES</t>
        </is>
      </c>
      <c r="Z8" t="inlineStr">
        <is>
          <t>Procédure Ouverte</t>
        </is>
      </c>
      <c r="AA8" t="inlineStr">
        <is>
          <t>Avis de marché</t>
        </is>
      </c>
      <c r="AB8" t="inlineStr">
        <is>
          <t>Maintenance, Aire de jeux</t>
        </is>
      </c>
      <c r="AC8" t="inlineStr">
        <is>
          <t>['environnementaux']</t>
        </is>
      </c>
      <c r="AD8" s="11" t="inlineStr">
        <is>
          <t>https://www.boamp.fr/pages/avis/?q=idweb:26-54018</t>
        </is>
      </c>
      <c r="AE8" t="inlineStr">
        <is>
          <t>https://www.achatpublic.com/sdm/ent/gen/ent_detail.do?PCSLID=CSL_2026_yXczYwEh1y</t>
        </is>
      </c>
      <c r="AF8" t="inlineStr">
        <is>
          <t>https://www.achatpublic.com/sdm/ent/gen/ent_detail.do?PCSLID=CSL_2026_yXczYwEh1y</t>
        </is>
      </c>
      <c r="AG8" t="inlineStr">
        <is>
          <t>nettoyage</t>
        </is>
      </c>
      <c r="AH8" t="inlineStr">
        <is>
          <t>3</t>
        </is>
      </c>
      <c r="AI8" t="inlineStr">
        <is>
          <t>68</t>
        </is>
      </c>
      <c r="AJ8" t="inlineStr">
        <is>
          <t>INFO_PARTIELLE</t>
        </is>
      </c>
      <c r="AK8" t="inlineStr">
        <is>
          <t>70</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adresse, ville</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26-54018. Objet: Accord-cadre relatif à la maintenance préventive et corrective des aires de jeux de la Ville. Acheteur: Mairie de Mantes La Jolie. Lien: https://www.boamp.fr/pages/avis/?q=idweb:26-54018.</t>
        </is>
      </c>
      <c r="AU8" t="inlineStr">
        <is>
          <t>Verifier url_avis et DCE si disponible</t>
        </is>
      </c>
      <c r="AV8" t="inlineStr"/>
      <c r="AW8" t="inlineStr"/>
      <c r="AX8" t="inlineStr"/>
      <c r="AY8" t="inlineStr"/>
      <c r="AZ8" t="inlineStr"/>
      <c r="BA8" t="inlineStr"/>
      <c r="BB8" t="inlineStr">
        <is>
          <t>+30 mots-cles nettoyage forts | +20 budget annualise &lt;= 100 000 EUR | +10 secteur cible Mairie | +10 delai confortable 21j</t>
        </is>
      </c>
      <c r="BC8" t="inlineStr">
        <is>
          <t>Mairie de Mantes La Jolie publie un AO potentiellement pertinent pour CHRUTH : Accord-cadre relatif à la maintenance préventive et corrective des aires de jeux de la Ville. Zone : 78,27. Budget detecte environ 100 000 EUR. Verifier le lien source avant contact.</t>
        </is>
      </c>
      <c r="BD8" t="inlineStr">
        <is>
          <t>Bonjour,
Je me permets de vous contacter au sujet de votre appel d'offres : Accord-cadre relatif à la maintenance préventive et corrective des aires de jeux de la Ville.
CHRUTH accompagne les structures publiques et privees sur les besoins de nettoyage, d'entretien des locaux et d'organisation de prestations de service.
Serait-il possible d'echanger rapidement afin de verifier les modalites de reponse et les attentes de Mairie de Mantes La Jolie ?
Cordialement,</t>
        </is>
      </c>
      <c r="BE8" t="inlineStr">
        <is>
          <t>Bonjour, je vous appelle concernant un appel d'offres publie par Mairie de Mantes La Jolie. Je souhaite verifier les informations pratiques : perimetre des prestations, date limite, modalites de visite, contact technique et pieces attendues. Pouvez-vous m'indiquer la bonne personne a contacter ?</t>
        </is>
      </c>
      <c r="BF8" t="inlineStr"/>
      <c r="BG8" t="inlineStr"/>
      <c r="BH8" t="inlineStr"/>
      <c r="BI8" t="inlineStr"/>
      <c r="BJ8" t="inlineStr"/>
      <c r="BK8" t="inlineStr"/>
      <c r="BL8" t="inlineStr"/>
      <c r="BM8" t="inlineStr">
        <is>
          <t>2026-W23</t>
        </is>
      </c>
    </row>
    <row r="9">
      <c r="A9" t="inlineStr">
        <is>
          <t>BOAMP</t>
        </is>
      </c>
      <c r="B9" t="inlineStr">
        <is>
          <t>26-64286</t>
        </is>
      </c>
      <c r="C9" t="inlineStr">
        <is>
          <t>Prestations de nettoyage des locaux</t>
        </is>
      </c>
      <c r="D9" t="inlineStr">
        <is>
          <t>Commune de Montfermeil</t>
        </is>
      </c>
      <c r="E9" t="inlineStr">
        <is>
          <t>21930047200194</t>
        </is>
      </c>
      <c r="F9" t="inlineStr">
        <is>
          <t>219300472</t>
        </is>
      </c>
      <c r="G9" t="inlineStr"/>
      <c r="H9" t="inlineStr"/>
      <c r="I9" t="inlineStr">
        <is>
          <t>service.marches@ville-montfermeil.fr</t>
        </is>
      </c>
      <c r="J9" t="inlineStr">
        <is>
          <t>0194 014170</t>
        </is>
      </c>
      <c r="K9" t="inlineStr"/>
      <c r="L9" t="inlineStr"/>
      <c r="M9" t="inlineStr"/>
      <c r="N9" t="inlineStr">
        <is>
          <t>93</t>
        </is>
      </c>
      <c r="O9" t="inlineStr"/>
      <c r="P9" t="inlineStr">
        <is>
          <t>Ile-de-France</t>
        </is>
      </c>
      <c r="Q9" s="15" t="n">
        <v>46204</v>
      </c>
      <c r="R9" s="15" t="n">
        <v>46237</v>
      </c>
      <c r="S9" t="inlineStr"/>
      <c r="T9" t="inlineStr">
        <is>
          <t>A_VERIFIER_BUDGET</t>
        </is>
      </c>
      <c r="U9" t="inlineStr"/>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c r="AD9" s="11" t="inlineStr">
        <is>
          <t>https://www.boamp.fr/pages/avis/?q=idweb:26-64286</t>
        </is>
      </c>
      <c r="AE9" t="inlineStr">
        <is>
          <t>https://marches.maximilien.fr/?page=Entreprise.EntrepriseAdvancedSearch&amp;AllCons&amp;id=933515&amp;orgAcronyme=y0w</t>
        </is>
      </c>
      <c r="AF9" t="inlineStr">
        <is>
          <t>https://marches.maximilien.fr/?page=Entreprise.EntrepriseAdvancedSearch&amp;AllCons&amp;id=933515&amp;orgAcronyme=y0w</t>
        </is>
      </c>
      <c r="AG9" t="inlineStr">
        <is>
          <t>nettoyage</t>
        </is>
      </c>
      <c r="AH9" t="inlineStr">
        <is>
          <t>3</t>
        </is>
      </c>
      <c r="AI9" t="inlineStr">
        <is>
          <t>68</t>
        </is>
      </c>
      <c r="AJ9" t="inlineStr">
        <is>
          <t>INFO_PARTIELLE</t>
        </is>
      </c>
      <c r="AK9" t="inlineStr">
        <is>
          <t>65</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adresse, ville,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9" t="inlineStr">
        <is>
          <t>Verifier url_avis et DCE si disponible</t>
        </is>
      </c>
      <c r="AV9" t="inlineStr"/>
      <c r="AW9" t="inlineStr"/>
      <c r="AX9" t="inlineStr"/>
      <c r="AY9" t="inlineStr"/>
      <c r="AZ9" t="inlineStr"/>
      <c r="BA9" t="inlineStr"/>
      <c r="BB9" t="inlineStr">
        <is>
          <t>+35 nettoyage + categorie claire | +10 budget non affiche (a verifier) | +10 secteur cible Mairie | +10 delai confortable 28j</t>
        </is>
      </c>
      <c r="BC9" t="inlineStr">
        <is>
          <t>Commune de Montfermeil publie un AO potentiellement pertinent pour CHRUTH : Prestations de nettoyage des locaux. Zone : 93. Budget a verifier. Verifier le lien source avant contact.</t>
        </is>
      </c>
      <c r="BD9"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9"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2026-W27</t>
        </is>
      </c>
    </row>
    <row r="10">
      <c r="A10" t="inlineStr">
        <is>
          <t>BOAMP</t>
        </is>
      </c>
      <c r="B10" t="inlineStr">
        <is>
          <t>26-63518</t>
        </is>
      </c>
      <c r="C10" t="inlineStr">
        <is>
          <t>NETTOYAGE DES BÂTIMENTS COMMUNAUX</t>
        </is>
      </c>
      <c r="D10" t="inlineStr">
        <is>
          <t>MAIRIE DE SAINT-CLAIR-SUR6epte</t>
        </is>
      </c>
      <c r="E10" t="inlineStr">
        <is>
          <t>21950541900016</t>
        </is>
      </c>
      <c r="F10" t="inlineStr">
        <is>
          <t>219505419</t>
        </is>
      </c>
      <c r="G10" t="inlineStr"/>
      <c r="H10" t="inlineStr"/>
      <c r="I10" t="inlineStr">
        <is>
          <t>charlotte.stclair@outlook.fr</t>
        </is>
      </c>
      <c r="J10" t="inlineStr">
        <is>
          <t>0541900016</t>
        </is>
      </c>
      <c r="K10" t="inlineStr"/>
      <c r="L10" t="inlineStr"/>
      <c r="M10" t="inlineStr"/>
      <c r="N10" t="inlineStr">
        <is>
          <t>95</t>
        </is>
      </c>
      <c r="O10" t="inlineStr"/>
      <c r="P10" t="inlineStr">
        <is>
          <t>Ile-de-France</t>
        </is>
      </c>
      <c r="Q10" s="15" t="n">
        <v>46201</v>
      </c>
      <c r="R10" s="15" t="n">
        <v>46276</v>
      </c>
      <c r="S10" t="inlineStr"/>
      <c r="T10" t="inlineStr">
        <is>
          <t>A_VERIFIER_BUDGET</t>
        </is>
      </c>
      <c r="U10" t="inlineStr"/>
      <c r="V10" t="inlineStr">
        <is>
          <t>non</t>
        </is>
      </c>
      <c r="W10" t="inlineStr">
        <is>
          <t>Batiments</t>
        </is>
      </c>
      <c r="X10" t="inlineStr">
        <is>
          <t>Mairie</t>
        </is>
      </c>
      <c r="Y10" t="inlineStr">
        <is>
          <t>SERVICES</t>
        </is>
      </c>
      <c r="Z10" t="inlineStr">
        <is>
          <t>Procédure Ouverte</t>
        </is>
      </c>
      <c r="AA10" t="inlineStr">
        <is>
          <t>Avis de marché</t>
        </is>
      </c>
      <c r="AB10" t="inlineStr">
        <is>
          <t>Nettoyage de locaux, Bâtiment</t>
        </is>
      </c>
      <c r="AC10" t="inlineStr"/>
      <c r="AD10" s="11" t="inlineStr">
        <is>
          <t>https://www.boamp.fr/pages/avis/?q=idweb:26-63518</t>
        </is>
      </c>
      <c r="AE10" t="inlineStr">
        <is>
          <t>https://marches.maximilien.fr/entreprise/consultation/942071?orgAcronyme=d8o</t>
        </is>
      </c>
      <c r="AF10" t="inlineStr">
        <is>
          <t>https://marches.maximilien.fr/entreprise/consultation/942071?orgAcronyme=d8o</t>
        </is>
      </c>
      <c r="AG10" t="inlineStr">
        <is>
          <t>nettoyage, menage</t>
        </is>
      </c>
      <c r="AH10" t="inlineStr">
        <is>
          <t>3</t>
        </is>
      </c>
      <c r="AI10" t="inlineStr">
        <is>
          <t>76</t>
        </is>
      </c>
      <c r="AJ10" t="inlineStr">
        <is>
          <t>INFO_PARTIELLE</t>
        </is>
      </c>
      <c r="AK10" t="inlineStr">
        <is>
          <t>65</t>
        </is>
      </c>
      <c r="AL10" s="13" t="inlineStr">
        <is>
          <t>CHAUD</t>
        </is>
      </c>
      <c r="AM10" t="inlineStr"/>
      <c r="AN10" t="inlineStr"/>
      <c r="AO10" t="inlineStr"/>
      <c r="AP10" t="inlineStr"/>
      <c r="AQ10" t="inlineStr">
        <is>
          <t>IA_BUDGET_A_VERIFIER</t>
        </is>
      </c>
      <c r="AR10" t="inlineStr">
        <is>
          <t>Verifier le budget dans l'avis source ou le DCE avant decision commerciale.</t>
        </is>
      </c>
      <c r="AS10" t="inlineStr">
        <is>
          <t>adresse, ville,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10" t="inlineStr">
        <is>
          <t>Verifier url_avis et DCE si disponible</t>
        </is>
      </c>
      <c r="AV10" t="inlineStr"/>
      <c r="AW10" t="inlineStr"/>
      <c r="AX10" t="inlineStr"/>
      <c r="AY10" t="inlineStr"/>
      <c r="AZ10" t="inlineStr"/>
      <c r="BA10" t="inlineStr"/>
      <c r="BB10" t="inlineStr">
        <is>
          <t>+35 nettoyage + categorie claire | +10 budget non affiche (a verifier) | +10 secteur cible Mairie | +10 delai confortable 67j</t>
        </is>
      </c>
      <c r="BC10" t="inlineStr">
        <is>
          <t>MAIRIE DE SAINT-CLAIR-SUR6epte publie un AO potentiellement pertinent pour CHRUTH : NETTOYAGE DES BÂTIMENTS COMMUNAUX. Zone : 95. Budget a verifier. Verifier le lien source avant contact.</t>
        </is>
      </c>
      <c r="BD10"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10"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2026-W26</t>
        </is>
      </c>
    </row>
    <row r="11">
      <c r="A11" t="inlineStr">
        <is>
          <t>BOAMP</t>
        </is>
      </c>
      <c r="B11" t="inlineStr">
        <is>
          <t>26-63201</t>
        </is>
      </c>
      <c r="C11" t="inlineStr">
        <is>
          <t>PRESTATION DE NETTOYAGE ET D'ENTRETIEN DES LOCAUX COMMUNAUX</t>
        </is>
      </c>
      <c r="D11" t="inlineStr">
        <is>
          <t>Commune de Saulx Les Chartreux</t>
        </is>
      </c>
      <c r="E11" t="inlineStr">
        <is>
          <t>21910587100012</t>
        </is>
      </c>
      <c r="F11" t="inlineStr">
        <is>
          <t>219105871</t>
        </is>
      </c>
      <c r="G11" t="inlineStr"/>
      <c r="H11" t="inlineStr"/>
      <c r="I11" t="inlineStr">
        <is>
          <t>finances@saulx.org</t>
        </is>
      </c>
      <c r="J11" t="inlineStr">
        <is>
          <t>0587100012</t>
        </is>
      </c>
      <c r="K11" t="inlineStr"/>
      <c r="L11" t="inlineStr"/>
      <c r="M11" t="inlineStr"/>
      <c r="N11" t="inlineStr">
        <is>
          <t>91,92,93,94</t>
        </is>
      </c>
      <c r="O11" t="inlineStr"/>
      <c r="P11" t="inlineStr">
        <is>
          <t>Ile-de-France</t>
        </is>
      </c>
      <c r="Q11" s="15" t="n">
        <v>46200</v>
      </c>
      <c r="R11" s="15" t="n">
        <v>46234</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is>
          <t>['environnementaux']</t>
        </is>
      </c>
      <c r="AD11" s="11" t="inlineStr">
        <is>
          <t>https://www.boamp.fr/pages/avis/?q=idweb:26-63201</t>
        </is>
      </c>
      <c r="AE11" t="inlineStr">
        <is>
          <t>https://www.achatpublic.com/sdm/ent/gen/ent_detail.do?PCSLID=CSL_2026_-rboFCvnvk</t>
        </is>
      </c>
      <c r="AF11" t="inlineStr">
        <is>
          <t>https://www.achatpublic.com/sdm/ent/gen/ent_detail.do?PCSLID=CSL_2026_-rboFCvnvk</t>
        </is>
      </c>
      <c r="AG11" t="inlineStr">
        <is>
          <t>nettoyage, entretien des locaux</t>
        </is>
      </c>
      <c r="AH11" t="inlineStr">
        <is>
          <t>3</t>
        </is>
      </c>
      <c r="AI11" t="inlineStr">
        <is>
          <t>76</t>
        </is>
      </c>
      <c r="AJ11" t="inlineStr">
        <is>
          <t>INFO_PARTIELLE</t>
        </is>
      </c>
      <c r="AK11" t="inlineStr">
        <is>
          <t>65</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11" t="inlineStr">
        <is>
          <t>Verifier url_avis et DCE si disponible</t>
        </is>
      </c>
      <c r="AV11" t="inlineStr"/>
      <c r="AW11" t="inlineStr"/>
      <c r="AX11" t="inlineStr"/>
      <c r="AY11" t="inlineStr"/>
      <c r="AZ11" t="inlineStr"/>
      <c r="BA11" t="inlineStr"/>
      <c r="BB11" t="inlineStr">
        <is>
          <t>+35 nettoyage + categorie claire | +10 budget non affiche (a verifier) | +10 secteur cible Mairie | +10 delai confortable 25j</t>
        </is>
      </c>
      <c r="BC11" t="inlineStr">
        <is>
          <t>Commune de Saulx Les Chartreux publie un AO potentiellement pertinent pour CHRUTH : PRESTATION DE NETTOYAGE ET D'ENTRETIEN DES LOCAUX COMMUNAUX. Zone : 91,92,93,94. Budget a verifier. Verifier le lien source avant contact.</t>
        </is>
      </c>
      <c r="BD11"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11"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2026-W26</t>
        </is>
      </c>
    </row>
    <row r="12">
      <c r="A12" t="inlineStr">
        <is>
          <t>BOAMP</t>
        </is>
      </c>
      <c r="B12" t="inlineStr">
        <is>
          <t>26-62837</t>
        </is>
      </c>
      <c r="C12" t="inlineStr">
        <is>
          <t>PRESTATION DE NETTOYAGE DES LOCAUX ET DE LA VITRERIE</t>
        </is>
      </c>
      <c r="D12" t="inlineStr">
        <is>
          <t>ENC-PSL</t>
        </is>
      </c>
      <c r="E12" t="inlineStr">
        <is>
          <t>19753478700043</t>
        </is>
      </c>
      <c r="F12" t="inlineStr">
        <is>
          <t>197534787</t>
        </is>
      </c>
      <c r="G12" t="inlineStr">
        <is>
          <t>ZAKARIA</t>
        </is>
      </c>
      <c r="H12" t="inlineStr"/>
      <c r="I12" t="inlineStr">
        <is>
          <t>yvan.zakaria@chartes.psl.eu</t>
        </is>
      </c>
      <c r="J12" t="inlineStr">
        <is>
          <t>+33 155422161</t>
        </is>
      </c>
      <c r="K12" t="inlineStr">
        <is>
          <t>PARIS</t>
        </is>
      </c>
      <c r="L12" t="inlineStr">
        <is>
          <t>75002</t>
        </is>
      </c>
      <c r="M12" t="inlineStr">
        <is>
          <t>Paris</t>
        </is>
      </c>
      <c r="N12" t="inlineStr">
        <is>
          <t>75</t>
        </is>
      </c>
      <c r="O12" t="inlineStr"/>
      <c r="P12" t="inlineStr">
        <is>
          <t>Ile-de-France</t>
        </is>
      </c>
      <c r="Q12" s="15" t="n">
        <v>46198</v>
      </c>
      <c r="R12" s="15" t="n">
        <v>46227</v>
      </c>
      <c r="S12" s="14" t="n">
        <v>75002</v>
      </c>
      <c r="T12" t="inlineStr">
        <is>
          <t>BUDGET_SOUS_SEUIL</t>
        </is>
      </c>
      <c r="U12" t="inlineStr">
        <is>
          <t>75002.0</t>
        </is>
      </c>
      <c r="V12" t="inlineStr">
        <is>
          <t>non</t>
        </is>
      </c>
      <c r="W12" t="inlineStr">
        <is>
          <t>Vitres</t>
        </is>
      </c>
      <c r="X12" t="inlineStr">
        <is>
          <t>Autre</t>
        </is>
      </c>
      <c r="Y12" t="inlineStr">
        <is>
          <t>SERVICES</t>
        </is>
      </c>
      <c r="Z12" t="inlineStr">
        <is>
          <t>Procédure Ouverte</t>
        </is>
      </c>
      <c r="AA12" t="inlineStr">
        <is>
          <t>Avis de marché</t>
        </is>
      </c>
      <c r="AB12" t="inlineStr">
        <is>
          <t>Nettoyage de locaux</t>
        </is>
      </c>
      <c r="AC12" t="inlineStr">
        <is>
          <t>['environnementaux']</t>
        </is>
      </c>
      <c r="AD12" s="11" t="inlineStr">
        <is>
          <t>https://www.boamp.fr/pages/avis/?q=idweb:26-62837</t>
        </is>
      </c>
      <c r="AE12" t="inlineStr">
        <is>
          <t>https://www.marches-publics.gouv.fr/entreprise/consultation/3025739?orgAcronyme=f2h</t>
        </is>
      </c>
      <c r="AF12" t="inlineStr">
        <is>
          <t>https://www.marches-publics.gouv.fr/entreprise/consultation/3025739?orgAcronyme=f2h</t>
        </is>
      </c>
      <c r="AG12" t="inlineStr">
        <is>
          <t>nettoyage</t>
        </is>
      </c>
      <c r="AH12" t="inlineStr">
        <is>
          <t>6</t>
        </is>
      </c>
      <c r="AI12" t="inlineStr">
        <is>
          <t>98</t>
        </is>
      </c>
      <c r="AJ12" t="inlineStr">
        <is>
          <t>INFO_PARTIELLE</t>
        </is>
      </c>
      <c r="AK12" t="inlineStr">
        <is>
          <t>65</t>
        </is>
      </c>
      <c r="AL12" s="13" t="inlineStr">
        <is>
          <t>CHAUD</t>
        </is>
      </c>
      <c r="AM12" t="inlineStr"/>
      <c r="AN12" t="inlineStr"/>
      <c r="AO12" t="inlineStr"/>
      <c r="AP12" t="inlineStr"/>
      <c r="AQ12" t="inlineStr">
        <is>
          <t>IA_CONTROLE_SOURCE</t>
        </is>
      </c>
      <c r="AR12" t="inlineStr">
        <is>
          <t>Verifier rapidement la source avant contact.</t>
        </is>
      </c>
      <c r="AS12" t="inlineStr">
        <is>
          <t>Aucun champ critique manquant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26-62837. Objet: PRESTATION DE NETTOYAGE DES LOCAUX ET DE LA VITRERIE. Acheteur: ENC-PSL. Lien: https://www.boamp.fr/pages/avis/?q=idweb:26-62837.</t>
        </is>
      </c>
      <c r="AU12" t="inlineStr">
        <is>
          <t>Verifier url_avis et DCE si disponible</t>
        </is>
      </c>
      <c r="AV12" t="inlineStr"/>
      <c r="AW12" t="inlineStr"/>
      <c r="AX12" t="inlineStr"/>
      <c r="AY12" t="inlineStr"/>
      <c r="AZ12" t="inlineStr"/>
      <c r="BA12" t="inlineStr"/>
      <c r="BB12" t="inlineStr">
        <is>
          <t>+35 nettoyage + categorie claire | +20 budget annualise &lt;= 100 000 EUR | +10 delai confortable 18j</t>
        </is>
      </c>
      <c r="BC12" t="inlineStr">
        <is>
          <t>ENC-PSL publie un AO potentiellement pertinent pour CHRUTH : PRESTATION DE NETTOYAGE DES LOCAUX ET DE LA VITRERIE. Zone : Paris. Budget detecte environ 75 002 EUR. Verifier le lien source avant contact.</t>
        </is>
      </c>
      <c r="BD12"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ENC-PSL ?
Cordialement,</t>
        </is>
      </c>
      <c r="BE12" t="inlineStr">
        <is>
          <t>Bonjour, je vous appelle concernant un appel d'offres publié par ENC-PSL.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26-62488</t>
        </is>
      </c>
      <c r="C13" t="inlineStr">
        <is>
          <t>Prestation de nettoyage des locaux et de la vitrerie</t>
        </is>
      </c>
      <c r="D13" t="inlineStr">
        <is>
          <t>ECOLE NATIONALE DES CHARTES</t>
        </is>
      </c>
      <c r="E13" t="inlineStr">
        <is>
          <t>19753478700043</t>
        </is>
      </c>
      <c r="F13" t="inlineStr">
        <is>
          <t>197534787</t>
        </is>
      </c>
      <c r="G13" t="inlineStr">
        <is>
          <t>service logistique</t>
        </is>
      </c>
      <c r="H13" t="inlineStr"/>
      <c r="I13" t="inlineStr">
        <is>
          <t>daf@chartes.psl.eu</t>
        </is>
      </c>
      <c r="J13" t="inlineStr">
        <is>
          <t>06-24 2026-07</t>
        </is>
      </c>
      <c r="K13" t="inlineStr">
        <is>
          <t>Paris 75002</t>
        </is>
      </c>
      <c r="L13" t="inlineStr">
        <is>
          <t>75002</t>
        </is>
      </c>
      <c r="M13" t="inlineStr">
        <is>
          <t>Paris</t>
        </is>
      </c>
      <c r="N13" t="inlineStr">
        <is>
          <t>75,77,78,91,92,93,94,95</t>
        </is>
      </c>
      <c r="O13" t="inlineStr"/>
      <c r="P13" t="inlineStr">
        <is>
          <t>Ile-de-France</t>
        </is>
      </c>
      <c r="Q13" s="15" t="n">
        <v>46197</v>
      </c>
      <c r="R13" s="15" t="n">
        <v>46227</v>
      </c>
      <c r="S13" t="inlineStr"/>
      <c r="T13" t="inlineStr">
        <is>
          <t>A_VERIFIER_BUDGET</t>
        </is>
      </c>
      <c r="U13" t="inlineStr"/>
      <c r="V13" t="inlineStr">
        <is>
          <t>non</t>
        </is>
      </c>
      <c r="W13" t="inlineStr">
        <is>
          <t>Vitres</t>
        </is>
      </c>
      <c r="X13" t="inlineStr">
        <is>
          <t>Ecole</t>
        </is>
      </c>
      <c r="Y13" t="inlineStr">
        <is>
          <t>SERVICES</t>
        </is>
      </c>
      <c r="Z13" t="inlineStr">
        <is>
          <t>Procédure Ouverte</t>
        </is>
      </c>
      <c r="AA13" t="inlineStr">
        <is>
          <t>Avis de marché</t>
        </is>
      </c>
      <c r="AB13" t="inlineStr">
        <is>
          <t>Nettoyage de locaux</t>
        </is>
      </c>
      <c r="AC13" t="inlineStr">
        <is>
          <t>['environnementaux']</t>
        </is>
      </c>
      <c r="AD13" s="11" t="inlineStr">
        <is>
          <t>https://www.boamp.fr/pages/avis/?q=idweb:26-62488</t>
        </is>
      </c>
      <c r="AE13" t="inlineStr"/>
      <c r="AF13" t="inlineStr"/>
      <c r="AG13" t="inlineStr">
        <is>
          <t>nettoyage</t>
        </is>
      </c>
      <c r="AH13" t="inlineStr">
        <is>
          <t>6</t>
        </is>
      </c>
      <c r="AI13" t="inlineStr">
        <is>
          <t>98</t>
        </is>
      </c>
      <c r="AJ13" t="inlineStr">
        <is>
          <t>INFO_PARTIELLE</t>
        </is>
      </c>
      <c r="AK13" t="inlineStr">
        <is>
          <t>65</t>
        </is>
      </c>
      <c r="AL13" s="13" t="inlineStr">
        <is>
          <t>CHAUD</t>
        </is>
      </c>
      <c r="AM13" t="inlineStr"/>
      <c r="AN13" t="inlineStr"/>
      <c r="AO13" t="inlineStr"/>
      <c r="AP13" t="inlineStr"/>
      <c r="AQ13" t="inlineStr">
        <is>
          <t>IA_BUDGET_A_VERIFIER</t>
        </is>
      </c>
      <c r="AR13" t="inlineStr">
        <is>
          <t>Verifier le budget dans l'avis source ou le DCE avant decision commerciale.</t>
        </is>
      </c>
      <c r="AS13" t="inlineStr">
        <is>
          <t>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13" t="inlineStr">
        <is>
          <t>Verifier url_avis et DCE si disponible</t>
        </is>
      </c>
      <c r="AV13" t="inlineStr"/>
      <c r="AW13" t="inlineStr"/>
      <c r="AX13" t="inlineStr"/>
      <c r="AY13" t="inlineStr"/>
      <c r="AZ13" t="inlineStr"/>
      <c r="BA13" t="inlineStr"/>
      <c r="BB13" t="inlineStr">
        <is>
          <t>+35 nettoyage + categorie claire | +10 budget non affiche (a verifier) | +10 secteur cible Ecole | +10 delai confortable 18j</t>
        </is>
      </c>
      <c r="BC13" t="inlineStr">
        <is>
          <t>ECOLE NATIONALE DES CHARTES publie un AO potentiellement pertinent pour CHRUTH : Prestation de nettoyage des locaux et de la vitrerie. Zone : Paris. Budget a verifier. Verifier le lien source avant contact.</t>
        </is>
      </c>
      <c r="BD13"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13"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26-61263</t>
        </is>
      </c>
      <c r="C14" t="inlineStr">
        <is>
          <t>NETTOYAGE ET ENTRETIEN DES BATIMENTS COMMUNAUX</t>
        </is>
      </c>
      <c r="D14" t="inlineStr">
        <is>
          <t>MAIRIE DE MERIEL</t>
        </is>
      </c>
      <c r="E14" t="inlineStr">
        <is>
          <t>21950392700010</t>
        </is>
      </c>
      <c r="F14" t="inlineStr">
        <is>
          <t>219503927</t>
        </is>
      </c>
      <c r="G14" t="inlineStr"/>
      <c r="H14" t="inlineStr"/>
      <c r="I14" t="inlineStr">
        <is>
          <t>dgs@meriel.fr</t>
        </is>
      </c>
      <c r="J14" t="inlineStr">
        <is>
          <t>0392700010</t>
        </is>
      </c>
      <c r="K14" t="inlineStr"/>
      <c r="L14" t="inlineStr"/>
      <c r="M14" t="inlineStr"/>
      <c r="N14" t="inlineStr">
        <is>
          <t>95</t>
        </is>
      </c>
      <c r="O14" t="inlineStr"/>
      <c r="P14" t="inlineStr">
        <is>
          <t>Ile-de-France</t>
        </is>
      </c>
      <c r="Q14" s="15" t="n">
        <v>46194</v>
      </c>
      <c r="R14" s="15" t="n">
        <v>46227</v>
      </c>
      <c r="S14" t="inlineStr"/>
      <c r="T14" t="inlineStr">
        <is>
          <t>A_VERIFIER_BUDGET</t>
        </is>
      </c>
      <c r="U14" t="inlineStr"/>
      <c r="V14" t="inlineStr">
        <is>
          <t>non</t>
        </is>
      </c>
      <c r="W14" t="inlineStr">
        <is>
          <t>Vitres</t>
        </is>
      </c>
      <c r="X14" t="inlineStr">
        <is>
          <t>Mairie</t>
        </is>
      </c>
      <c r="Y14" t="inlineStr">
        <is>
          <t>SERVICES</t>
        </is>
      </c>
      <c r="Z14" t="inlineStr">
        <is>
          <t>Procédure Ouverte</t>
        </is>
      </c>
      <c r="AA14" t="inlineStr">
        <is>
          <t>Avis de marché</t>
        </is>
      </c>
      <c r="AB14" t="inlineStr">
        <is>
          <t>Nettoyage de locaux</t>
        </is>
      </c>
      <c r="AC14" t="inlineStr"/>
      <c r="AD14" s="11" t="inlineStr">
        <is>
          <t>https://www.boamp.fr/pages/avis/?q=idweb:26-61263</t>
        </is>
      </c>
      <c r="AE14" t="inlineStr">
        <is>
          <t>https://www.maximilien.fr</t>
        </is>
      </c>
      <c r="AF14" t="inlineStr">
        <is>
          <t>https://www.maximilien.fr</t>
        </is>
      </c>
      <c r="AG14" t="inlineStr">
        <is>
          <t>nettoyage</t>
        </is>
      </c>
      <c r="AH14" t="inlineStr">
        <is>
          <t>3</t>
        </is>
      </c>
      <c r="AI14" t="inlineStr">
        <is>
          <t>68</t>
        </is>
      </c>
      <c r="AJ14" t="inlineStr">
        <is>
          <t>INFO_PARTIELLE</t>
        </is>
      </c>
      <c r="AK14" t="inlineStr">
        <is>
          <t>65</t>
        </is>
      </c>
      <c r="AL14" s="13" t="inlineStr">
        <is>
          <t>CHAUD</t>
        </is>
      </c>
      <c r="AM14" t="inlineStr"/>
      <c r="AN14" t="inlineStr"/>
      <c r="AO14" t="inlineStr"/>
      <c r="AP14" t="inlineStr"/>
      <c r="AQ14" t="inlineStr">
        <is>
          <t>IA_BUDGET_A_VERIFIER</t>
        </is>
      </c>
      <c r="AR14" t="inlineStr">
        <is>
          <t>Verifier le budget dans l'avis source ou le DCE avant decision commerciale.</t>
        </is>
      </c>
      <c r="AS14" t="inlineStr">
        <is>
          <t>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14" t="inlineStr">
        <is>
          <t>Verifier url_avis et DCE si disponible</t>
        </is>
      </c>
      <c r="AV14" t="inlineStr">
        <is>
          <t>LIEN_SEUL</t>
        </is>
      </c>
      <c r="AW14" t="inlineStr"/>
      <c r="AX14" t="inlineStr"/>
      <c r="AY14" t="inlineStr"/>
      <c r="AZ14" t="inlineStr"/>
      <c r="BA14" t="inlineStr"/>
      <c r="BB14" t="inlineStr">
        <is>
          <t>+35 nettoyage + categorie claire | +10 budget non affiche (a verifier) | +10 secteur cible Mairie | +10 delai confortable 19j</t>
        </is>
      </c>
      <c r="BC14" t="inlineStr">
        <is>
          <t>MAIRIE DE MERIEL publie un AO potentiellement pertinent pour CHRUTH : NETTOYAGE ET ENTRETIEN DES BATIMENTS COMMUNAUX. Zone : 95. Budget a verifier. Verifier le lien source avant contact.</t>
        </is>
      </c>
      <c r="BD14"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14"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2026-W25</t>
        </is>
      </c>
    </row>
    <row r="15">
      <c r="A15" t="inlineStr">
        <is>
          <t>BOAMP</t>
        </is>
      </c>
      <c r="B15" t="inlineStr">
        <is>
          <t>26-60231</t>
        </is>
      </c>
      <c r="C15" t="inlineStr">
        <is>
          <t>Nettoyage des locaux communaux et des vitreries des bâtiments communaux</t>
        </is>
      </c>
      <c r="D15" t="inlineStr">
        <is>
          <t>Ville de Fontenay-aux-Roses</t>
        </is>
      </c>
      <c r="E15" t="inlineStr"/>
      <c r="F15" t="inlineStr"/>
      <c r="G15" t="inlineStr"/>
      <c r="H15" t="inlineStr"/>
      <c r="I15" t="inlineStr">
        <is>
          <t>publications-joue@aws-france.com</t>
        </is>
      </c>
      <c r="J15" t="inlineStr">
        <is>
          <t>+33480041260</t>
        </is>
      </c>
      <c r="K15" t="inlineStr"/>
      <c r="L15" t="inlineStr"/>
      <c r="M15" t="inlineStr"/>
      <c r="N15" t="inlineStr">
        <is>
          <t>92</t>
        </is>
      </c>
      <c r="O15" t="inlineStr"/>
      <c r="P15" t="inlineStr">
        <is>
          <t>Ile-de-France</t>
        </is>
      </c>
      <c r="Q15" s="15" t="n">
        <v>46192</v>
      </c>
      <c r="R15" s="15" t="n">
        <v>46232</v>
      </c>
      <c r="S15" t="inlineStr"/>
      <c r="T15" t="inlineStr">
        <is>
          <t>A_VERIFIER_BUDGET</t>
        </is>
      </c>
      <c r="U15" t="inlineStr"/>
      <c r="V15" t="inlineStr">
        <is>
          <t>non</t>
        </is>
      </c>
      <c r="W15" t="inlineStr">
        <is>
          <t>Vitres</t>
        </is>
      </c>
      <c r="X15" t="inlineStr">
        <is>
          <t>Mairie</t>
        </is>
      </c>
      <c r="Y15" t="inlineStr">
        <is>
          <t>SERVICES</t>
        </is>
      </c>
      <c r="Z15" t="inlineStr">
        <is>
          <t>Procédure Ouverte</t>
        </is>
      </c>
      <c r="AA15" t="inlineStr">
        <is>
          <t>Avis de marché</t>
        </is>
      </c>
      <c r="AB15" t="inlineStr">
        <is>
          <t>Nettoyage de locaux, Vitrerie</t>
        </is>
      </c>
      <c r="AC15" t="inlineStr">
        <is>
          <t>['environnementaux']</t>
        </is>
      </c>
      <c r="AD15" s="11" t="inlineStr">
        <is>
          <t>https://www.boamp.fr/pages/avis/?q=idweb:26-60231</t>
        </is>
      </c>
      <c r="AE15" t="inlineStr">
        <is>
          <t>https://www.marches-publics.info/accueil.htm</t>
        </is>
      </c>
      <c r="AF15" t="inlineStr">
        <is>
          <t>https://www.marches-publics.info/accueil.htm</t>
        </is>
      </c>
      <c r="AG15" t="inlineStr">
        <is>
          <t>nettoyage</t>
        </is>
      </c>
      <c r="AH15" t="inlineStr">
        <is>
          <t>2</t>
        </is>
      </c>
      <c r="AI15" t="inlineStr">
        <is>
          <t>58</t>
        </is>
      </c>
      <c r="AJ15" t="inlineStr">
        <is>
          <t>INFO_PARTIELLE</t>
        </is>
      </c>
      <c r="AK15" t="inlineStr">
        <is>
          <t>65</t>
        </is>
      </c>
      <c r="AL15" s="13" t="inlineStr">
        <is>
          <t>CHAUD</t>
        </is>
      </c>
      <c r="AM15" t="inlineStr"/>
      <c r="AN15" t="inlineStr"/>
      <c r="AO15" t="inlineStr"/>
      <c r="AP15" t="inlineStr"/>
      <c r="AQ15" t="inlineStr">
        <is>
          <t>IA_BUDGET_A_VERIFIER</t>
        </is>
      </c>
      <c r="AR15" t="inlineStr">
        <is>
          <t>Verifier le budget dans l'avis source ou le DCE avant decision commerciale.</t>
        </is>
      </c>
      <c r="AS15" t="inlineStr">
        <is>
          <t>SIRET, 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15" t="inlineStr">
        <is>
          <t>Verifier url_avis et DCE si disponible</t>
        </is>
      </c>
      <c r="AV15" t="inlineStr">
        <is>
          <t>LIEN_SEUL</t>
        </is>
      </c>
      <c r="AW15" t="inlineStr"/>
      <c r="AX15" t="inlineStr"/>
      <c r="AY15" t="inlineStr"/>
      <c r="AZ15" t="inlineStr"/>
      <c r="BA15" t="inlineStr"/>
      <c r="BB15" t="inlineStr">
        <is>
          <t>+35 nettoyage + categorie claire | +10 budget non affiche (a verifier) | +10 secteur cible Mairie | +10 delai confortable 26j</t>
        </is>
      </c>
      <c r="BC15" t="inlineStr">
        <is>
          <t>Ville de Fontenay-aux-Roses publie un AO potentiellement pertinent pour CHRUTH : Nettoyage des locaux communaux et des vitreries des bâtiments communaux. Zone : 92. Budget a verifier. Verifier le lien source avant contact.</t>
        </is>
      </c>
      <c r="BD15"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5"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2026-W25</t>
        </is>
      </c>
    </row>
    <row r="16">
      <c r="A16" t="inlineStr">
        <is>
          <t>BOAMP</t>
        </is>
      </c>
      <c r="B16" t="inlineStr">
        <is>
          <t>26-59493</t>
        </is>
      </c>
      <c r="C16" t="inlineStr">
        <is>
          <t>Prestations de nettoyage des locaux administratifs et des espaces ouverts au public des tours de la Cathédrale Notre-Dame de Paris</t>
        </is>
      </c>
      <c r="D16" t="inlineStr">
        <is>
          <t>Centre des Monuments Nationaux</t>
        </is>
      </c>
      <c r="E16" t="inlineStr">
        <is>
          <t>18004601300017</t>
        </is>
      </c>
      <c r="F16" t="inlineStr">
        <is>
          <t>180046013</t>
        </is>
      </c>
      <c r="G16" t="inlineStr"/>
      <c r="H16" t="inlineStr"/>
      <c r="I16" t="inlineStr">
        <is>
          <t>marches-publics@monuments-nationaux.fr</t>
        </is>
      </c>
      <c r="J16" t="inlineStr">
        <is>
          <t>0460130001</t>
        </is>
      </c>
      <c r="K16" t="inlineStr"/>
      <c r="L16" t="inlineStr"/>
      <c r="M16" t="inlineStr"/>
      <c r="N16" t="inlineStr">
        <is>
          <t>75</t>
        </is>
      </c>
      <c r="O16" t="inlineStr"/>
      <c r="P16" t="inlineStr">
        <is>
          <t>Ile-de-France</t>
        </is>
      </c>
      <c r="Q16" s="15" t="n">
        <v>46190</v>
      </c>
      <c r="R16" s="15" t="n">
        <v>46220</v>
      </c>
      <c r="S16" s="14" t="n">
        <v>85000</v>
      </c>
      <c r="T16" t="inlineStr">
        <is>
          <t>BUDGET_SOUS_SEUIL</t>
        </is>
      </c>
      <c r="U16" t="inlineStr">
        <is>
          <t>85000</t>
        </is>
      </c>
      <c r="V16" t="inlineStr">
        <is>
          <t>oui</t>
        </is>
      </c>
      <c r="W16" t="inlineStr">
        <is>
          <t>Batiments</t>
        </is>
      </c>
      <c r="X16" t="inlineStr">
        <is>
          <t>Autre</t>
        </is>
      </c>
      <c r="Y16" t="inlineStr">
        <is>
          <t>SERVICES</t>
        </is>
      </c>
      <c r="Z16" t="inlineStr">
        <is>
          <t>Procédure Ouverte</t>
        </is>
      </c>
      <c r="AA16" t="inlineStr">
        <is>
          <t>Avis de marché</t>
        </is>
      </c>
      <c r="AB16" t="inlineStr">
        <is>
          <t>Nettoyage de locaux, Monuments historiques</t>
        </is>
      </c>
      <c r="AC16" t="inlineStr"/>
      <c r="AD16" s="11" t="inlineStr">
        <is>
          <t>https://www.boamp.fr/pages/avis/?q=idweb:26-59493</t>
        </is>
      </c>
      <c r="AE16" t="inlineStr">
        <is>
          <t>https://www.marches-publics.gouv.fr/?page=Entreprise.EntrepriseAdvancedSearch&amp;AllCons&amp;id=2577066&amp;orgAcronyme=f5j</t>
        </is>
      </c>
      <c r="AF16" t="inlineStr">
        <is>
          <t>https://www.marches-publics.gouv.fr/?page=Entreprise.EntrepriseAdvancedSearch&amp;AllCons&amp;id=2577066&amp;orgAcronyme=f5j</t>
        </is>
      </c>
      <c r="AG16" t="inlineStr">
        <is>
          <t>nettoyage</t>
        </is>
      </c>
      <c r="AH16" t="inlineStr">
        <is>
          <t>3</t>
        </is>
      </c>
      <c r="AI16" t="inlineStr">
        <is>
          <t>68</t>
        </is>
      </c>
      <c r="AJ16" t="inlineStr">
        <is>
          <t>INFO_PARTIELLE</t>
        </is>
      </c>
      <c r="AK16" t="inlineStr">
        <is>
          <t>65</t>
        </is>
      </c>
      <c r="AL16" s="13" t="inlineStr">
        <is>
          <t>CHAUD</t>
        </is>
      </c>
      <c r="AM16" t="inlineStr"/>
      <c r="AN16" t="inlineStr"/>
      <c r="AO16" t="inlineStr"/>
      <c r="AP16" t="inlineStr"/>
      <c r="AQ16" t="inlineStr">
        <is>
          <t>IA_CONTACT_A_COMPLETER</t>
        </is>
      </c>
      <c r="AR16" t="inlineStr">
        <is>
          <t>Completer les champs manquants depuis l'avis source, le site acheteur ou le DCE.</t>
        </is>
      </c>
      <c r="AS16" t="inlineStr">
        <is>
          <t>adresse, ville</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26-59493. Objet: Prestations de nettoyage des locaux administratifs et des espaces ouverts au public des tours de la Cathédrale Notre-Dame de Paris. Acheteur: Centre des Monuments Nationaux. Lien: https://www.boamp.fr/pages/avis/?q=idweb:26-59493.</t>
        </is>
      </c>
      <c r="AU16" t="inlineStr">
        <is>
          <t>Verifier url_avis et DCE si disponible</t>
        </is>
      </c>
      <c r="AV16" t="inlineStr"/>
      <c r="AW16" t="inlineStr"/>
      <c r="AX16" t="inlineStr"/>
      <c r="AY16" t="inlineStr"/>
      <c r="AZ16" t="inlineStr"/>
      <c r="BA16" t="inlineStr"/>
      <c r="BB16" t="inlineStr">
        <is>
          <t>+35 nettoyage + categorie claire | +20 budget annualise &lt;= 100 000 EUR | +10 delai confortable 25j</t>
        </is>
      </c>
      <c r="BC16" t="inlineStr">
        <is>
          <t>Centre des Monuments Nationaux publie un AO potentiellement pertinent pour CHRUTH : Prestations de nettoyage des locaux administratifs et des espaces ouverts au public des tours de la Cathédrale Notre-Dame de Paris. Zone : 75. Budget detecte environ 85 000 EUR. Verifier le lien source avant contact.</t>
        </is>
      </c>
      <c r="BD16" t="inlineStr">
        <is>
          <t>Bonjour,
Je me permets de vous contacter au sujet de votre appel d'offres : Prestations de nettoyage des locaux administratifs et des espaces ouverts au public des tours de la Cathédrale Notre-Dame de Paris.
CHRUTH accompagne les structures publiques et privees sur les besoins de nettoyage, d'entretien des locaux et d'organisation de prestations de service.
Serait-il possible d'echanger rapidement afin de verifier les modalites de reponse et les attentes de Centre des Monuments Nationaux ?
Cordialement,</t>
        </is>
      </c>
      <c r="BE16" t="inlineStr">
        <is>
          <t>Bonjour, je vous appelle concernant un appel d'offres publie par Centre des Monuments Nationaux. Je souhaite verifier les informations pratiques : perimetre des prestations, date limite, modalites de visite, contact technique et pieces attendues. Pouvez-vous m'indiquer la bonne personne a contacter ?</t>
        </is>
      </c>
      <c r="BF16" t="inlineStr"/>
      <c r="BG16" t="inlineStr"/>
      <c r="BH16" t="inlineStr"/>
      <c r="BI16" t="inlineStr"/>
      <c r="BJ16" t="inlineStr"/>
      <c r="BK16" t="inlineStr"/>
      <c r="BL16" t="inlineStr"/>
      <c r="BM16" t="inlineStr">
        <is>
          <t>2026-W25</t>
        </is>
      </c>
    </row>
    <row r="17">
      <c r="A17" t="inlineStr">
        <is>
          <t>BOAMP</t>
        </is>
      </c>
      <c r="B17" t="inlineStr">
        <is>
          <t>26-56367</t>
        </is>
      </c>
      <c r="C17" t="inlineStr">
        <is>
          <t>Prestations de nettoyage courant des locaux administratifs de Pantin Habitat</t>
        </is>
      </c>
      <c r="D17" t="inlineStr">
        <is>
          <t>Pantin Habitat</t>
        </is>
      </c>
      <c r="E17" t="inlineStr">
        <is>
          <t>31162223700049</t>
        </is>
      </c>
      <c r="F17" t="inlineStr">
        <is>
          <t>311622237</t>
        </is>
      </c>
      <c r="G17" t="inlineStr">
        <is>
          <t>PANTIN HABITAT</t>
        </is>
      </c>
      <c r="H17" t="inlineStr"/>
      <c r="I17" t="inlineStr">
        <is>
          <t>servicedesmarches@pantinhabitat.fr</t>
        </is>
      </c>
      <c r="J17" t="inlineStr">
        <is>
          <t>01 48 44 73 03</t>
        </is>
      </c>
      <c r="K17" t="inlineStr">
        <is>
          <t>Seine-Saint-Denis</t>
        </is>
      </c>
      <c r="L17" t="inlineStr">
        <is>
          <t>93697</t>
        </is>
      </c>
      <c r="M17" t="inlineStr">
        <is>
          <t>Pantin cedex</t>
        </is>
      </c>
      <c r="N17" t="inlineStr">
        <is>
          <t>93,75,92,94</t>
        </is>
      </c>
      <c r="O17" t="inlineStr"/>
      <c r="P17" t="inlineStr">
        <is>
          <t>Ile-de-France</t>
        </is>
      </c>
      <c r="Q17" s="15" t="n">
        <v>46181</v>
      </c>
      <c r="R17" s="15" t="n">
        <v>46211</v>
      </c>
      <c r="S17" s="14" t="n">
        <v>93697</v>
      </c>
      <c r="T17" t="inlineStr">
        <is>
          <t>BUDGET_SOUS_SEUIL</t>
        </is>
      </c>
      <c r="U17" t="inlineStr">
        <is>
          <t>93697.0</t>
        </is>
      </c>
      <c r="V17" t="inlineStr">
        <is>
          <t>non</t>
        </is>
      </c>
      <c r="W17" t="inlineStr">
        <is>
          <t>Vitres</t>
        </is>
      </c>
      <c r="X17" t="inlineStr">
        <is>
          <t>Autre</t>
        </is>
      </c>
      <c r="Y17" t="inlineStr">
        <is>
          <t>SERVICES</t>
        </is>
      </c>
      <c r="Z17" t="inlineStr">
        <is>
          <t>Procédure Ouverte</t>
        </is>
      </c>
      <c r="AA17" t="inlineStr">
        <is>
          <t>Avis de marché</t>
        </is>
      </c>
      <c r="AB17" t="inlineStr">
        <is>
          <t>Nettoyage de locaux</t>
        </is>
      </c>
      <c r="AC17" t="inlineStr">
        <is>
          <t>['sociaux', 'environnementaux']</t>
        </is>
      </c>
      <c r="AD17" s="11" t="inlineStr">
        <is>
          <t>https://www.boamp.fr/pages/avis/?q=idweb:26-56367</t>
        </is>
      </c>
      <c r="AE17" t="inlineStr">
        <is>
          <t>https://www.achatpublic.com/sdm/ent/gen/ent_detail.do?PCSLID=CSL_2026_KUKPQ4kzgA</t>
        </is>
      </c>
      <c r="AF17" t="inlineStr">
        <is>
          <t>https://www.achatpublic.com/sdm/ent/gen/ent_detail.do?PCSLID=CSL_2026_KUKPQ4kzgA</t>
        </is>
      </c>
      <c r="AG17" t="inlineStr">
        <is>
          <t>nettoyage</t>
        </is>
      </c>
      <c r="AH17" t="inlineStr">
        <is>
          <t>6</t>
        </is>
      </c>
      <c r="AI17" t="inlineStr">
        <is>
          <t>98</t>
        </is>
      </c>
      <c r="AJ17" t="inlineStr">
        <is>
          <t>INFO_PARTIELLE</t>
        </is>
      </c>
      <c r="AK17" t="inlineStr">
        <is>
          <t>65</t>
        </is>
      </c>
      <c r="AL17" s="13" t="inlineStr">
        <is>
          <t>CHAUD</t>
        </is>
      </c>
      <c r="AM17" t="inlineStr"/>
      <c r="AN17" t="inlineStr"/>
      <c r="AO17" t="inlineStr"/>
      <c r="AP17" t="inlineStr"/>
      <c r="AQ17" t="inlineStr">
        <is>
          <t>IA_CONTROLE_SOURCE</t>
        </is>
      </c>
      <c r="AR17" t="inlineStr">
        <is>
          <t>Verifier rapidement la source avant contact.</t>
        </is>
      </c>
      <c r="AS17" t="inlineStr">
        <is>
          <t>Aucun champ critique manquant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26-56367. Objet: Prestations de nettoyage courant des locaux administratifs de Pantin Habitat. Acheteur: Pantin Habitat. Lien: https://www.boamp.fr/pages/avis/?q=idweb:26-56367.</t>
        </is>
      </c>
      <c r="AU17" t="inlineStr">
        <is>
          <t>Verifier url_avis et DCE si disponible</t>
        </is>
      </c>
      <c r="AV17" t="inlineStr"/>
      <c r="AW17" t="inlineStr"/>
      <c r="AX17" t="inlineStr"/>
      <c r="AY17" t="inlineStr"/>
      <c r="AZ17" t="inlineStr"/>
      <c r="BA17" t="inlineStr"/>
      <c r="BB17" t="inlineStr">
        <is>
          <t>+35 nettoyage + categorie claire | +20 budget annualise &lt;= 100 000 EUR | +10 delai confortable 16j</t>
        </is>
      </c>
      <c r="BC17" t="inlineStr">
        <is>
          <t>Pantin Habitat publie un AO potentiellement pertinent pour CHRUTH : Prestations de nettoyage courant des locaux administratifs de Pantin Habitat. Zone : Pantin cedex. Budget detecte environ 93 697 EUR. Verifier le lien source avant contact.</t>
        </is>
      </c>
      <c r="BD17" t="inlineStr">
        <is>
          <t>Bonjour,
Je me permets de vous contacter au sujet de votre appel d'offres : Prestations de nettoyage courant des locaux administratifs de Pantin Habitat.
CHRUTH accompagne les structures publiques et privees sur les besoins de nettoyage, d'entretien des locaux et d'organisation de prestations de service.
Serait-il possible d'echanger rapidement afin de verifier les modalites de reponse et les attentes de Pantin Habitat ?
Cordialement,</t>
        </is>
      </c>
      <c r="BE17" t="inlineStr">
        <is>
          <t>Bonjour, je vous appelle concernant un appel d'offres publie par Pantin Habitat. Je souhaite verifier les informations pratiques : perimetre des prestations, date limite, modalites de visite, contact technique et pieces attendues. Pouvez-vous m'indiquer la bonne personne a contacter ?</t>
        </is>
      </c>
      <c r="BF17" t="inlineStr"/>
      <c r="BG17" t="inlineStr"/>
      <c r="BH17" t="inlineStr"/>
      <c r="BI17" t="inlineStr"/>
      <c r="BJ17" t="inlineStr"/>
      <c r="BK17" t="inlineStr"/>
      <c r="BL17" t="inlineStr"/>
      <c r="BM17" t="inlineStr">
        <is>
          <t>2026-W24</t>
        </is>
      </c>
    </row>
    <row r="18">
      <c r="A18" t="inlineStr">
        <is>
          <t>BOAMP</t>
        </is>
      </c>
      <c r="B18" t="inlineStr">
        <is>
          <t>26-55118</t>
        </is>
      </c>
      <c r="C18" t="inlineStr">
        <is>
          <t>Nettoyage des locaux des bâtiments de la commune de Châtillon (92320)</t>
        </is>
      </c>
      <c r="D18" t="inlineStr">
        <is>
          <t>Commune de CHATILLON</t>
        </is>
      </c>
      <c r="E18" t="inlineStr"/>
      <c r="F18" t="inlineStr"/>
      <c r="G18" t="inlineStr"/>
      <c r="H18" t="inlineStr"/>
      <c r="I18" t="inlineStr">
        <is>
          <t>publications-joue@aws-france.com</t>
        </is>
      </c>
      <c r="J18" t="inlineStr">
        <is>
          <t>+33480041260</t>
        </is>
      </c>
      <c r="K18" t="inlineStr"/>
      <c r="L18" t="inlineStr"/>
      <c r="M18" t="inlineStr"/>
      <c r="N18" t="inlineStr">
        <is>
          <t>92</t>
        </is>
      </c>
      <c r="O18" t="inlineStr"/>
      <c r="P18" t="inlineStr">
        <is>
          <t>Ile-de-France</t>
        </is>
      </c>
      <c r="Q18" s="15" t="n">
        <v>46179</v>
      </c>
      <c r="R18" s="15" t="n">
        <v>46213</v>
      </c>
      <c r="S18" t="inlineStr"/>
      <c r="T18" t="inlineStr">
        <is>
          <t>A_VERIFIER_BUDGET</t>
        </is>
      </c>
      <c r="U18" t="inlineStr"/>
      <c r="V18" t="inlineStr">
        <is>
          <t>non</t>
        </is>
      </c>
      <c r="W18" t="inlineStr">
        <is>
          <t>Batiments</t>
        </is>
      </c>
      <c r="X18" t="inlineStr">
        <is>
          <t>Mairie</t>
        </is>
      </c>
      <c r="Y18" t="inlineStr">
        <is>
          <t>SERVICES</t>
        </is>
      </c>
      <c r="Z18" t="inlineStr">
        <is>
          <t>Procédure Ouverte</t>
        </is>
      </c>
      <c r="AA18" t="inlineStr">
        <is>
          <t>Avis de marché</t>
        </is>
      </c>
      <c r="AB18" t="inlineStr">
        <is>
          <t>Nettoyage de locaux</t>
        </is>
      </c>
      <c r="AC18" t="inlineStr">
        <is>
          <t>['environnementaux']</t>
        </is>
      </c>
      <c r="AD18" s="11" t="inlineStr">
        <is>
          <t>https://www.boamp.fr/pages/avis/?q=idweb:26-55118</t>
        </is>
      </c>
      <c r="AE18" t="inlineStr">
        <is>
          <t>https://www.marches-publics.info</t>
        </is>
      </c>
      <c r="AF18" t="inlineStr">
        <is>
          <t>https://www.marches-publics.info</t>
        </is>
      </c>
      <c r="AG18" t="inlineStr">
        <is>
          <t>nettoyage</t>
        </is>
      </c>
      <c r="AH18" t="inlineStr">
        <is>
          <t>2</t>
        </is>
      </c>
      <c r="AI18" t="inlineStr">
        <is>
          <t>58</t>
        </is>
      </c>
      <c r="AJ18" t="inlineStr">
        <is>
          <t>INFO_PARTIELLE</t>
        </is>
      </c>
      <c r="AK18" t="inlineStr">
        <is>
          <t>65</t>
        </is>
      </c>
      <c r="AL18" s="13" t="inlineStr">
        <is>
          <t>CHAUD</t>
        </is>
      </c>
      <c r="AM18" t="inlineStr"/>
      <c r="AN18" t="inlineStr"/>
      <c r="AO18" t="inlineStr"/>
      <c r="AP18" t="inlineStr"/>
      <c r="AQ18" t="inlineStr">
        <is>
          <t>IA_BUDGET_A_VERIFIER</t>
        </is>
      </c>
      <c r="AR18" t="inlineStr">
        <is>
          <t>Verifier le budget dans l'avis source ou le DCE avant decision commerciale.</t>
        </is>
      </c>
      <c r="AS18" t="inlineStr">
        <is>
          <t>SIRET, 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18" t="inlineStr">
        <is>
          <t>Verifier url_avis et DCE si disponible</t>
        </is>
      </c>
      <c r="AV18" t="inlineStr">
        <is>
          <t>LIEN_SEUL</t>
        </is>
      </c>
      <c r="AW18" t="inlineStr"/>
      <c r="AX18" t="inlineStr"/>
      <c r="AY18" t="inlineStr"/>
      <c r="AZ18" t="inlineStr"/>
      <c r="BA18" t="inlineStr"/>
      <c r="BB18" t="inlineStr">
        <is>
          <t>+35 nettoyage + categorie claire | +10 budget non affiche (a verifier) | +10 secteur cible Mairie | +10 delai confortable 20j</t>
        </is>
      </c>
      <c r="BC18" t="inlineStr">
        <is>
          <t>Commune de CHATILLON publie un AO potentiellement pertinent pour CHRUTH : Nettoyage des locaux des bâtiments de la commune de Châtillon (92320). Zone : 92. Budget a verifier. Verifier le lien source avant contact.</t>
        </is>
      </c>
      <c r="BD18"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18"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18" t="inlineStr"/>
      <c r="BG18" t="inlineStr"/>
      <c r="BH18" t="inlineStr"/>
      <c r="BI18" t="inlineStr"/>
      <c r="BJ18" t="inlineStr"/>
      <c r="BK18" t="inlineStr"/>
      <c r="BL18" t="inlineStr"/>
      <c r="BM18" t="inlineStr">
        <is>
          <t>2026-W23</t>
        </is>
      </c>
    </row>
    <row r="19">
      <c r="A19" t="inlineStr">
        <is>
          <t>BOAMP</t>
        </is>
      </c>
      <c r="B19" t="inlineStr">
        <is>
          <t>26-54753</t>
        </is>
      </c>
      <c r="C19" t="inlineStr">
        <is>
          <t>PRESTATIONS DE NETTOYAGE DE LA MAISON DES JEUNES ET DE LA MAISON DE L'ENFANCE ET DE LA FAMILLE DE LA COMMUNE BOISSY-SAINT-LEGER</t>
        </is>
      </c>
      <c r="D19" t="inlineStr">
        <is>
          <t>Mairie Boissy Saint Léger</t>
        </is>
      </c>
      <c r="E19" t="inlineStr">
        <is>
          <t>21940004100014</t>
        </is>
      </c>
      <c r="F19" t="inlineStr">
        <is>
          <t>219400041</t>
        </is>
      </c>
      <c r="G19" t="inlineStr"/>
      <c r="H19" t="inlineStr"/>
      <c r="I19" t="inlineStr">
        <is>
          <t>marches.publics@ville-boissy.fr</t>
        </is>
      </c>
      <c r="J19" t="inlineStr">
        <is>
          <t>04100014 01</t>
        </is>
      </c>
      <c r="K19" t="inlineStr"/>
      <c r="L19" t="inlineStr"/>
      <c r="M19" t="inlineStr"/>
      <c r="N19" t="inlineStr">
        <is>
          <t>94,95</t>
        </is>
      </c>
      <c r="O19" t="inlineStr"/>
      <c r="P19" t="inlineStr">
        <is>
          <t>Ile-de-France</t>
        </is>
      </c>
      <c r="Q19" s="15" t="n">
        <v>46178</v>
      </c>
      <c r="R19" s="15" t="n">
        <v>46213</v>
      </c>
      <c r="S19" t="inlineStr"/>
      <c r="T19" t="inlineStr">
        <is>
          <t>A_VERIFIER_BUDGET</t>
        </is>
      </c>
      <c r="U19" t="inlineStr"/>
      <c r="V19" t="inlineStr">
        <is>
          <t>non</t>
        </is>
      </c>
      <c r="W19" t="inlineStr">
        <is>
          <t>Batiments</t>
        </is>
      </c>
      <c r="X19" t="inlineStr">
        <is>
          <t>Mairie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https://www.boamp.fr/pages/avis/?q=idweb:26-54753</t>
        </is>
      </c>
      <c r="AE19" t="inlineStr">
        <is>
          <t>https://www.achatpublic.com/sdm/ent/gen/ent_detail.do?PCSLID=CSL_2026_Q0MbHTHdpI</t>
        </is>
      </c>
      <c r="AF19" t="inlineStr">
        <is>
          <t>https://www.achatpublic.com/sdm/ent/gen/ent_detail.do?PCSLID=CSL_2026_Q0MbHTHdpI</t>
        </is>
      </c>
      <c r="AG19" t="inlineStr">
        <is>
          <t>nettoyage</t>
        </is>
      </c>
      <c r="AH19" t="inlineStr">
        <is>
          <t>3</t>
        </is>
      </c>
      <c r="AI19" t="inlineStr">
        <is>
          <t>68</t>
        </is>
      </c>
      <c r="AJ19" t="inlineStr">
        <is>
          <t>INFO_PARTIELLE</t>
        </is>
      </c>
      <c r="AK19" t="inlineStr">
        <is>
          <t>65</t>
        </is>
      </c>
      <c r="AL19" s="13" t="inlineStr">
        <is>
          <t>CHAUD</t>
        </is>
      </c>
      <c r="AM19" t="inlineStr"/>
      <c r="AN19" t="inlineStr"/>
      <c r="AO19" t="inlineStr"/>
      <c r="AP19" t="inlineStr"/>
      <c r="AQ19" t="inlineStr">
        <is>
          <t>IA_BUDGET_A_VERIFIER</t>
        </is>
      </c>
      <c r="AR19" t="inlineStr">
        <is>
          <t>Verifier le budget dans l'avis source ou le DCE avant decision commerciale.</t>
        </is>
      </c>
      <c r="AS19" t="inlineStr">
        <is>
          <t>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19" t="inlineStr">
        <is>
          <t>Verifier url_avis et DCE si disponible</t>
        </is>
      </c>
      <c r="AV19" t="inlineStr">
        <is>
          <t>LIEN_SEUL</t>
        </is>
      </c>
      <c r="AW19" t="inlineStr"/>
      <c r="AX19" t="inlineStr"/>
      <c r="AY19" t="inlineStr"/>
      <c r="AZ19" t="inlineStr"/>
      <c r="BA19" t="inlineStr"/>
      <c r="BB19" t="inlineStr">
        <is>
          <t>+35 nettoyage + categorie claire | +10 budget non affiche (a verifier) | +10 secteur cible Mairie | +10 delai confortable 21j</t>
        </is>
      </c>
      <c r="BC19"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19"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19"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19" t="inlineStr"/>
      <c r="BG19" t="inlineStr"/>
      <c r="BH19" t="inlineStr"/>
      <c r="BI19" t="inlineStr"/>
      <c r="BJ19" t="inlineStr"/>
      <c r="BK19" t="inlineStr"/>
      <c r="BL19" t="inlineStr"/>
      <c r="BM19" t="inlineStr">
        <is>
          <t>2026-W23</t>
        </is>
      </c>
    </row>
    <row r="20">
      <c r="A20" t="inlineStr">
        <is>
          <t>BOAMP</t>
        </is>
      </c>
      <c r="B20" t="inlineStr">
        <is>
          <t>26-53819</t>
        </is>
      </c>
      <c r="C20" t="inlineStr">
        <is>
          <t>ACCORD-CADRE DE PRESTATIONS D'ENTRETIEN DES INSTALLATIONS D'ASSAINISSSMENT DES PARCS DE STATIONNEMENT DE LA SPL LEVAPARC A LEVALLOIS-PERRET</t>
        </is>
      </c>
      <c r="D20" t="inlineStr">
        <is>
          <t>SPL LEVAPARC</t>
        </is>
      </c>
      <c r="E20" t="inlineStr"/>
      <c r="F20" t="inlineStr"/>
      <c r="G20" t="inlineStr"/>
      <c r="H20" t="inlineStr"/>
      <c r="I20" t="inlineStr">
        <is>
          <t>publications-joue@aws-france.com</t>
        </is>
      </c>
      <c r="J20" t="inlineStr">
        <is>
          <t>+33480041260</t>
        </is>
      </c>
      <c r="K20" t="inlineStr"/>
      <c r="L20" t="inlineStr"/>
      <c r="M20" t="inlineStr"/>
      <c r="N20" t="inlineStr">
        <is>
          <t>92</t>
        </is>
      </c>
      <c r="O20" t="inlineStr"/>
      <c r="P20" t="inlineStr">
        <is>
          <t>Ile-de-France</t>
        </is>
      </c>
      <c r="Q20" s="15" t="n">
        <v>46176</v>
      </c>
      <c r="R20" s="15" t="n">
        <v>46206</v>
      </c>
      <c r="S20" s="14" t="n">
        <v>100000</v>
      </c>
      <c r="T20" t="inlineStr">
        <is>
          <t>BUDGET_EXPLICITE_OK</t>
        </is>
      </c>
      <c r="U20" t="inlineStr">
        <is>
          <t>100000.0</t>
        </is>
      </c>
      <c r="V20" t="inlineStr">
        <is>
          <t>non</t>
        </is>
      </c>
      <c r="W20" t="inlineStr">
        <is>
          <t>Batiments</t>
        </is>
      </c>
      <c r="X20" t="inlineStr">
        <is>
          <t>Autre</t>
        </is>
      </c>
      <c r="Y20" t="inlineStr">
        <is>
          <t>SERVICES</t>
        </is>
      </c>
      <c r="Z20" t="inlineStr">
        <is>
          <t>Procédure Ouverte</t>
        </is>
      </c>
      <c r="AA20" t="inlineStr">
        <is>
          <t>Avis de marché</t>
        </is>
      </c>
      <c r="AB20" t="inlineStr">
        <is>
          <t>Assainissement</t>
        </is>
      </c>
      <c r="AC20" t="inlineStr">
        <is>
          <t>['environnementaux']</t>
        </is>
      </c>
      <c r="AD20" s="11" t="inlineStr">
        <is>
          <t>https://www.boamp.fr/pages/avis/?q=idweb:26-53819</t>
        </is>
      </c>
      <c r="AE20" t="inlineStr">
        <is>
          <t>https://www.marches-publics.info</t>
        </is>
      </c>
      <c r="AF20" t="inlineStr">
        <is>
          <t>https://www.marches-publics.info</t>
        </is>
      </c>
      <c r="AG20" t="inlineStr">
        <is>
          <t>nettoyage</t>
        </is>
      </c>
      <c r="AH20" t="inlineStr">
        <is>
          <t>2</t>
        </is>
      </c>
      <c r="AI20" t="inlineStr">
        <is>
          <t>58</t>
        </is>
      </c>
      <c r="AJ20" t="inlineStr">
        <is>
          <t>INFO_PARTIELLE</t>
        </is>
      </c>
      <c r="AK20" t="inlineStr">
        <is>
          <t>65</t>
        </is>
      </c>
      <c r="AL20" s="13" t="inlineStr">
        <is>
          <t>CHAUD</t>
        </is>
      </c>
      <c r="AM20" t="inlineStr"/>
      <c r="AN20" t="inlineStr"/>
      <c r="AO20" t="inlineStr"/>
      <c r="AP20" t="inlineStr"/>
      <c r="AQ20" t="inlineStr">
        <is>
          <t>IA_CONTACT_A_COMPLETER</t>
        </is>
      </c>
      <c r="AR20" t="inlineStr">
        <is>
          <t>Completer les champs manquants depuis l'avis source, le site acheteur ou le DCE.</t>
        </is>
      </c>
      <c r="AS20" t="inlineStr">
        <is>
          <t>SIRET, adresse, ville</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26-53819. Objet: ACCORD-CADRE DE PRESTATIONS D'ENTRETIEN DES INSTALLATIONS D'ASSAINISSSMENT DES PARCS DE STATIONNEMENT DE LA SPL LEVAPARC A LEVALLOIS-PERRET. Acheteur: SPL LEVAPARC. Lien: https://www.boamp.fr/pages/avis/?q=idweb:26-53819.</t>
        </is>
      </c>
      <c r="AU20" t="inlineStr">
        <is>
          <t>Verifier url_avis et DCE si disponible</t>
        </is>
      </c>
      <c r="AV20" t="inlineStr"/>
      <c r="AW20" t="inlineStr"/>
      <c r="AX20" t="inlineStr"/>
      <c r="AY20" t="inlineStr"/>
      <c r="AZ20" t="inlineStr"/>
      <c r="BA20" t="inlineStr"/>
      <c r="BB20" t="inlineStr">
        <is>
          <t>+35 nettoyage + categorie claire | +20 budget annualise &lt;= 100 000 EUR | +10 delai confortable 16j</t>
        </is>
      </c>
      <c r="BC20" t="inlineStr">
        <is>
          <t>SPL LEVAPARC publie un AO potentiellement pertinent pour CHRUTH : ACCORD-CADRE DE PRESTATIONS D'ENTRETIEN DES INSTALLATIONS D'ASSAINISSSMENT DES PARCS DE STATIONNEMENT DE LA SPL LEVAPARC A LEVALLOIS-PERRET. Zone : 92. Budget detecte environ 100 000 EUR. Verifier le lien source avant contact.</t>
        </is>
      </c>
      <c r="BD20" t="inlineStr">
        <is>
          <t>Bonjour,
Je me permets de vous contacter au sujet de votre appel d'offres : ACCORD-CADRE DE PRESTATIONS D'ENTRETIEN DES INSTALLATIONS D'ASSAINISSSMENT DES PARCS DE STATIONNEMENT DE LA SPL LEVAPARC A LEVALLOIS-PERRET.
CHRUTH accompagne les structures publiques et privees sur les besoins de nettoyage, d'entretien des locaux et d'organisation de prestations de service.
Serait-il possible d'echanger rapidement afin de verifier les modalites de reponse et les attentes de SPL LEVAPARC ?
Cordialement,</t>
        </is>
      </c>
      <c r="BE20" t="inlineStr">
        <is>
          <t>Bonjour, je vous appelle concernant un appel d'offres publie par SPL LEVAPARC.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2026-W23</t>
        </is>
      </c>
    </row>
    <row r="21">
      <c r="A21" t="inlineStr">
        <is>
          <t>BOAMP</t>
        </is>
      </c>
      <c r="B21" t="inlineStr">
        <is>
          <t>26-64633</t>
        </is>
      </c>
      <c r="C21" t="inlineStr">
        <is>
          <t>Entretien des locaux municipaux de Villenoy</t>
        </is>
      </c>
      <c r="D21" t="inlineStr">
        <is>
          <t>Commune de Villenoy</t>
        </is>
      </c>
      <c r="E21" t="inlineStr">
        <is>
          <t>21770513600109</t>
        </is>
      </c>
      <c r="F21" t="inlineStr">
        <is>
          <t>217705136</t>
        </is>
      </c>
      <c r="G21" t="inlineStr"/>
      <c r="H21" t="inlineStr"/>
      <c r="I21" t="inlineStr">
        <is>
          <t>mairie@villenoy.fr</t>
        </is>
      </c>
      <c r="J21" t="inlineStr">
        <is>
          <t>0513600109</t>
        </is>
      </c>
      <c r="K21" t="inlineStr"/>
      <c r="L21" t="inlineStr"/>
      <c r="M21" t="inlineStr"/>
      <c r="N21" t="inlineStr">
        <is>
          <t>77</t>
        </is>
      </c>
      <c r="O21" t="inlineStr"/>
      <c r="P21" t="inlineStr">
        <is>
          <t>Ile-de-France</t>
        </is>
      </c>
      <c r="Q21" s="15" t="n">
        <v>46204</v>
      </c>
      <c r="R21" s="15" t="n">
        <v>46234</v>
      </c>
      <c r="S21" s="14" t="n">
        <v>200000</v>
      </c>
      <c r="T21" t="inlineStr">
        <is>
          <t>BUDGET_EXPLICITE_OK</t>
        </is>
      </c>
      <c r="U21" t="inlineStr">
        <is>
          <t>200000.0</t>
        </is>
      </c>
      <c r="V21" t="inlineStr">
        <is>
          <t>non</t>
        </is>
      </c>
      <c r="W21" t="inlineStr">
        <is>
          <t>Batiments</t>
        </is>
      </c>
      <c r="X21" t="inlineStr">
        <is>
          <t>Mairie</t>
        </is>
      </c>
      <c r="Y21" t="inlineStr">
        <is>
          <t>SERVICES</t>
        </is>
      </c>
      <c r="Z21" t="inlineStr">
        <is>
          <t>Procédure Ouverte</t>
        </is>
      </c>
      <c r="AA21" t="inlineStr">
        <is>
          <t>Avis de marché</t>
        </is>
      </c>
      <c r="AB21" t="inlineStr">
        <is>
          <t>Nettoyage de locaux</t>
        </is>
      </c>
      <c r="AC21" t="inlineStr"/>
      <c r="AD21" s="11" t="inlineStr">
        <is>
          <t>https://www.boamp.fr/pages/avis/?q=idweb:26-64633</t>
        </is>
      </c>
      <c r="AE21" t="inlineStr">
        <is>
          <t>https://marches.maximilien.fr/entreprise/consultation/942278?orgAcronyme=a4n</t>
        </is>
      </c>
      <c r="AF21" t="inlineStr">
        <is>
          <t>https://marches.maximilien.fr/entreprise/consultation/942278?orgAcronyme=a4n</t>
        </is>
      </c>
      <c r="AG21" t="inlineStr">
        <is>
          <t>nettoyage, entretien des locaux, menage</t>
        </is>
      </c>
      <c r="AH21" t="inlineStr">
        <is>
          <t>3</t>
        </is>
      </c>
      <c r="AI21" t="inlineStr">
        <is>
          <t>84</t>
        </is>
      </c>
      <c r="AJ21" t="inlineStr">
        <is>
          <t>INFO_PARTIELLE</t>
        </is>
      </c>
      <c r="AK21" t="inlineStr">
        <is>
          <t>60</t>
        </is>
      </c>
      <c r="AL21" t="inlineStr">
        <is>
          <t>TIEDE</t>
        </is>
      </c>
      <c r="AM21" t="inlineStr"/>
      <c r="AN21" t="inlineStr"/>
      <c r="AO21" t="inlineStr"/>
      <c r="AP21" t="inlineStr"/>
      <c r="AQ21" t="inlineStr">
        <is>
          <t>IA_CONTACT_A_COMPLETER</t>
        </is>
      </c>
      <c r="AR21" t="inlineStr">
        <is>
          <t>Completer les champs manquants depuis l'avis source, le site acheteur ou le DCE.</t>
        </is>
      </c>
      <c r="AS21" t="inlineStr">
        <is>
          <t>adresse, ville</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26-64633. Objet: Entretien des locaux municipaux de Villenoy. Acheteur: Commune de Villenoy. Lien: https://www.boamp.fr/pages/avis/?q=idweb:26-64633.</t>
        </is>
      </c>
      <c r="AU21" t="inlineStr">
        <is>
          <t>Verifier url_avis et DCE si disponible</t>
        </is>
      </c>
      <c r="AV21" t="inlineStr"/>
      <c r="AW21" t="inlineStr"/>
      <c r="AX21" t="inlineStr"/>
      <c r="AY21" t="inlineStr"/>
      <c r="AZ21" t="inlineStr"/>
      <c r="BA21" t="inlineStr"/>
      <c r="BB21" t="inlineStr">
        <is>
          <t>+35 nettoyage + categorie claire | +5 budget annualise &lt;= 200 000 EUR | +10 secteur cible Mairie | +10 delai confortable 28j</t>
        </is>
      </c>
      <c r="BC21" t="inlineStr">
        <is>
          <t>Commune de Villenoy publie un AO potentiellement pertinent pour CHRUTH : Entretien des locaux municipaux de Villenoy. Zone : 77. Budget detecte environ 200 000 EUR. Verifier le lien source avant contact.</t>
        </is>
      </c>
      <c r="BD21" t="inlineStr">
        <is>
          <t>Bonjour,
Je me permets de vous contacter au sujet de votre appel d'offres : Entretien des locaux municipaux de Villenoy.
CHRUTH accompagne les structures publiques et privées sur les besoins de nettoyage, d'entretien des locaux et d'organisation de prestations de service.
Serait-il possible d'échanger rapidement afin de vérifier les modalités de réponse et les attentes de Commune de Villenoy ?
Cordialement,</t>
        </is>
      </c>
      <c r="BE21" t="inlineStr">
        <is>
          <t>Bonjour, je vous appelle concernant un appel d'offres publié par Commune de Villenoy.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2026-W27</t>
        </is>
      </c>
    </row>
    <row r="22">
      <c r="A22" t="inlineStr">
        <is>
          <t>BOAMP</t>
        </is>
      </c>
      <c r="B22" t="inlineStr">
        <is>
          <t>26-63220</t>
        </is>
      </c>
      <c r="C22" t="inlineStr">
        <is>
          <t>Prestations de propreté urbaine de la Ville de Choisy-le-Roi</t>
        </is>
      </c>
      <c r="D22" t="inlineStr">
        <is>
          <t>Mairie de Choisy-le-Roi</t>
        </is>
      </c>
      <c r="E22" t="inlineStr">
        <is>
          <t>21940022300018</t>
        </is>
      </c>
      <c r="F22" t="inlineStr">
        <is>
          <t>219400223</t>
        </is>
      </c>
      <c r="G22" t="inlineStr"/>
      <c r="H22" t="inlineStr"/>
      <c r="I22" t="inlineStr">
        <is>
          <t>marches.publics@choisyleroi.fr</t>
        </is>
      </c>
      <c r="J22" t="inlineStr">
        <is>
          <t>0148924444</t>
        </is>
      </c>
      <c r="K22" t="inlineStr"/>
      <c r="L22" t="inlineStr"/>
      <c r="M22" t="inlineStr"/>
      <c r="N22" t="inlineStr">
        <is>
          <t>94,91</t>
        </is>
      </c>
      <c r="O22" t="inlineStr"/>
      <c r="P22" t="inlineStr">
        <is>
          <t>Ile-de-France</t>
        </is>
      </c>
      <c r="Q22" s="15" t="n">
        <v>46200</v>
      </c>
      <c r="R22" s="15" t="n">
        <v>46237</v>
      </c>
      <c r="S22" t="inlineStr"/>
      <c r="T22" t="inlineStr">
        <is>
          <t>A_VERIFIER_BUDGET</t>
        </is>
      </c>
      <c r="U22" t="inlineStr"/>
      <c r="V22" t="inlineStr">
        <is>
          <t>non</t>
        </is>
      </c>
      <c r="W22" t="inlineStr">
        <is>
          <t>Mixte/Autre</t>
        </is>
      </c>
      <c r="X22" t="inlineStr">
        <is>
          <t>Mairie</t>
        </is>
      </c>
      <c r="Y22" t="inlineStr">
        <is>
          <t>SERVICES</t>
        </is>
      </c>
      <c r="Z22" t="inlineStr">
        <is>
          <t>Procédure Ouverte</t>
        </is>
      </c>
      <c r="AA22" t="inlineStr">
        <is>
          <t>Avis de marché</t>
        </is>
      </c>
      <c r="AB22" t="inlineStr">
        <is>
          <t>Nettoyage urbain</t>
        </is>
      </c>
      <c r="AC22" t="inlineStr">
        <is>
          <t>['sociaux', 'environnementaux']</t>
        </is>
      </c>
      <c r="AD22" s="11" t="inlineStr">
        <is>
          <t>https://www.boamp.fr/pages/avis/?q=idweb:26-63220</t>
        </is>
      </c>
      <c r="AE22" t="inlineStr">
        <is>
          <t>https://www.achatpublic.com/sdm/ent/gen/ent_detail.do?PCSLID=CSL_2026_IDV3YK-Eq_</t>
        </is>
      </c>
      <c r="AF22" t="inlineStr">
        <is>
          <t>https://www.achatpublic.com/sdm/ent/gen/ent_detail.do?PCSLID=CSL_2026_IDV3YK-Eq_</t>
        </is>
      </c>
      <c r="AG22" t="inlineStr">
        <is>
          <t>nettoyage, proprete</t>
        </is>
      </c>
      <c r="AH22" t="inlineStr">
        <is>
          <t>3</t>
        </is>
      </c>
      <c r="AI22" t="inlineStr">
        <is>
          <t>76</t>
        </is>
      </c>
      <c r="AJ22" t="inlineStr">
        <is>
          <t>INFO_PARTIELLE</t>
        </is>
      </c>
      <c r="AK22" t="inlineStr">
        <is>
          <t>60</t>
        </is>
      </c>
      <c r="AL22" t="inlineStr">
        <is>
          <t>TIEDE</t>
        </is>
      </c>
      <c r="AM22" t="inlineStr"/>
      <c r="AN22" t="inlineStr"/>
      <c r="AO22" t="inlineStr"/>
      <c r="AP22" t="inlineStr"/>
      <c r="AQ22" t="inlineStr">
        <is>
          <t>IA_BUDGET_A_VERIFIER</t>
        </is>
      </c>
      <c r="AR22" t="inlineStr">
        <is>
          <t>Verifier le budget dans l'avis source ou le DCE avant decision commerciale.</t>
        </is>
      </c>
      <c r="AS22" t="inlineStr">
        <is>
          <t>adresse, ville,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26-63220. Objet: Prestations de propreté urbaine de la Ville de Choisy-le-Roi. Acheteur: Mairie de Choisy-le-Roi. Lien: https://www.boamp.fr/pages/avis/?q=idweb:26-63220.</t>
        </is>
      </c>
      <c r="AU22" t="inlineStr">
        <is>
          <t>Verifier url_avis et DCE si disponible</t>
        </is>
      </c>
      <c r="AV22" t="inlineStr"/>
      <c r="AW22" t="inlineStr"/>
      <c r="AX22" t="inlineStr"/>
      <c r="AY22" t="inlineStr"/>
      <c r="AZ22" t="inlineStr"/>
      <c r="BA22" t="inlineStr"/>
      <c r="BB22" t="inlineStr">
        <is>
          <t>+30 mots-cles nettoyage forts | +10 budget non affiche (a verifier) | +10 secteur cible Mairie | +10 delai confortable 28j</t>
        </is>
      </c>
      <c r="BC22" t="inlineStr">
        <is>
          <t>Mairie de Choisy-le-Roi publie un AO potentiellement pertinent pour CHRUTH : Prestations de propreté urbaine de la Ville de Choisy-le-Roi. Zone : 94,91. Budget a verifier. Verifier le lien source avant contact.</t>
        </is>
      </c>
      <c r="BD22" t="inlineStr">
        <is>
          <t>Bonjour,
Je me permets de vous contacter au sujet de votre appel d'offres : Prestations de propreté urbaine de la Ville de Choisy-le-Roi.
CHRUTH accompagne les structures publiques et privées sur les besoins de nettoyage, d'entretien des locaux et d'organisation de prestations de service.
Serait-il possible d'échanger rapidement afin de vérifier les modalités de réponse et les attentes de Mairie de Choisy-le-Roi ?
Cordialement,</t>
        </is>
      </c>
      <c r="BE22" t="inlineStr">
        <is>
          <t>Bonjour, je vous appelle concernant un appel d'offres publié par Mairie de Choisy-le-Roi.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2026-W26</t>
        </is>
      </c>
    </row>
    <row r="23">
      <c r="A23" t="inlineStr">
        <is>
          <t>BOAMP</t>
        </is>
      </c>
      <c r="B23" t="inlineStr">
        <is>
          <t>26-62559</t>
        </is>
      </c>
      <c r="C23" t="inlineStr">
        <is>
          <t>Achat et livraison de produits, matériels  et consommables d'entretien pour la ville  de Villeneuve Saint Georges</t>
        </is>
      </c>
      <c r="D23" t="inlineStr">
        <is>
          <t>MAIRIE DE VILLENEUVE-SAINT-GEORGES</t>
        </is>
      </c>
      <c r="E23" t="inlineStr">
        <is>
          <t>21940078500016</t>
        </is>
      </c>
      <c r="F23" t="inlineStr">
        <is>
          <t>219400785</t>
        </is>
      </c>
      <c r="G23" t="inlineStr"/>
      <c r="H23" t="inlineStr"/>
      <c r="I23" t="inlineStr">
        <is>
          <t>jlassoued@villeneuve-saint-georges.fr</t>
        </is>
      </c>
      <c r="J23" t="inlineStr">
        <is>
          <t>0171346029</t>
        </is>
      </c>
      <c r="K23" t="inlineStr"/>
      <c r="L23" t="inlineStr"/>
      <c r="M23" t="inlineStr"/>
      <c r="N23" t="inlineStr">
        <is>
          <t>94,75,91</t>
        </is>
      </c>
      <c r="O23" t="inlineStr"/>
      <c r="P23" t="inlineStr">
        <is>
          <t>Ile-de-France</t>
        </is>
      </c>
      <c r="Q23" s="15" t="n">
        <v>46198</v>
      </c>
      <c r="R23" s="15" t="n">
        <v>46233</v>
      </c>
      <c r="S23" t="inlineStr"/>
      <c r="T23" t="inlineStr">
        <is>
          <t>A_VERIFIER_BUDGET</t>
        </is>
      </c>
      <c r="U23" t="inlineStr"/>
      <c r="V23" t="inlineStr">
        <is>
          <t>non</t>
        </is>
      </c>
      <c r="W23" t="inlineStr">
        <is>
          <t>Mixte/Autre</t>
        </is>
      </c>
      <c r="X23" t="inlineStr">
        <is>
          <t>Mairie</t>
        </is>
      </c>
      <c r="Y23" t="inlineStr">
        <is>
          <t>FOURNITURES</t>
        </is>
      </c>
      <c r="Z23" t="inlineStr">
        <is>
          <t>Procédure Ouverte</t>
        </is>
      </c>
      <c r="AA23" t="inlineStr">
        <is>
          <t>Avis de marché</t>
        </is>
      </c>
      <c r="AB23" t="inlineStr">
        <is>
          <t>Produits d'entretien</t>
        </is>
      </c>
      <c r="AC23" t="inlineStr">
        <is>
          <t>['environnementaux']</t>
        </is>
      </c>
      <c r="AD23" s="11" t="inlineStr">
        <is>
          <t>https://www.boamp.fr/pages/avis/?q=idweb:26-62559</t>
        </is>
      </c>
      <c r="AE23" t="inlineStr">
        <is>
          <t>https://www.achatpublic.com/sdm/ent/gen/ent_detail.do?PCSLID=CSL_2026_hmulkPQYm7</t>
        </is>
      </c>
      <c r="AF23" t="inlineStr">
        <is>
          <t>https://www.achatpublic.com/sdm/ent/gen/ent_detail.do?PCSLID=CSL_2026_hmulkPQYm7</t>
        </is>
      </c>
      <c r="AG23" t="inlineStr">
        <is>
          <t>menage</t>
        </is>
      </c>
      <c r="AH23" t="inlineStr">
        <is>
          <t>3</t>
        </is>
      </c>
      <c r="AI23" t="inlineStr">
        <is>
          <t>68</t>
        </is>
      </c>
      <c r="AJ23" t="inlineStr">
        <is>
          <t>INFO_PARTIELLE</t>
        </is>
      </c>
      <c r="AK23" t="inlineStr">
        <is>
          <t>60</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26-62559. Objet: Achat et livraison de produits, matériels  et consommables d'entretien pour la ville  de Villeneuve Saint Georges. Acheteur: MAIRIE DE VILLENEUVE-SAINT-GEORGES. Lien: https://www.boamp.fr/pages/avis/?q=idweb:26-62559.</t>
        </is>
      </c>
      <c r="AU23" t="inlineStr">
        <is>
          <t>Verifier url_avis et DCE si disponible</t>
        </is>
      </c>
      <c r="AV23" t="inlineStr"/>
      <c r="AW23" t="inlineStr"/>
      <c r="AX23" t="inlineStr"/>
      <c r="AY23" t="inlineStr"/>
      <c r="AZ23" t="inlineStr"/>
      <c r="BA23" t="inlineStr"/>
      <c r="BB23" t="inlineStr">
        <is>
          <t>+30 mots-cles nettoyage forts | +10 budget non affiche (a verifier) | +10 secteur cible Mairie | +10 delai confortable 24j</t>
        </is>
      </c>
      <c r="BC23" t="inlineStr">
        <is>
          <t>MAIRIE DE VILLENEUVE-SAINT-GEORGES publie un AO potentiellement pertinent pour CHRUTH : Achat et livraison de produits, matériels  et consommables d'entretien pour la ville  de Villeneuve Saint Georges. Zone : 94,75,91. Budget a verifier. Verifier le lien source avant contact.</t>
        </is>
      </c>
      <c r="BD23" t="inlineStr">
        <is>
          <t>Bonjour,
Je me permets de vous contacter au sujet de votre appel d'offres : Achat et livraison de produits, matériels  et consommables d'entretien pour la ville  de Villeneuve Saint Georges.
CHRUTH accompagne les structures publiques et privées sur les besoins de nettoyage, d'entretien des locaux et d'organisation de prestations de service.
Serait-il possible d'échanger rapidement afin de vérifier les modalités de réponse et les attentes de MAIRIE DE VILLENEUVE-SAINT-GEORGES ?
Cordialement,</t>
        </is>
      </c>
      <c r="BE23" t="inlineStr">
        <is>
          <t>Bonjour, je vous appelle concernant un appel d'offres publié par MAIRIE DE VILLENEUVE-SAINT-GEORGES.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2026-W26</t>
        </is>
      </c>
    </row>
    <row r="24">
      <c r="A24" t="inlineStr">
        <is>
          <t>BOAMP</t>
        </is>
      </c>
      <c r="B24" t="inlineStr">
        <is>
          <t>26-58404</t>
        </is>
      </c>
      <c r="C24" t="inlineStr">
        <is>
          <t>Concession de service public portant sur la gestion et l'exploitation du Marché Saint-Louis pour le compte de la ville de Fontainebleau</t>
        </is>
      </c>
      <c r="D24" t="inlineStr">
        <is>
          <t>Ville De Fontainebleau</t>
        </is>
      </c>
      <c r="E24" t="inlineStr"/>
      <c r="F24" t="inlineStr">
        <is>
          <t>160746464</t>
        </is>
      </c>
      <c r="G24" t="inlineStr">
        <is>
          <t>Le Maire</t>
        </is>
      </c>
      <c r="H24" t="inlineStr"/>
      <c r="I24" t="inlineStr">
        <is>
          <t>catherine.durbecq@fontainebleau.fr</t>
        </is>
      </c>
      <c r="J24" t="inlineStr">
        <is>
          <t>+33 160746464</t>
        </is>
      </c>
      <c r="K24" t="inlineStr"/>
      <c r="L24" t="inlineStr">
        <is>
          <t>77303</t>
        </is>
      </c>
      <c r="M24" t="inlineStr">
        <is>
          <t>Fontainebleau</t>
        </is>
      </c>
      <c r="N24" t="inlineStr">
        <is>
          <t>77</t>
        </is>
      </c>
      <c r="O24" t="inlineStr"/>
      <c r="P24" t="inlineStr">
        <is>
          <t>Ile-de-France</t>
        </is>
      </c>
      <c r="Q24" s="15" t="n">
        <v>46185</v>
      </c>
      <c r="R24" s="15" t="n">
        <v>46234</v>
      </c>
      <c r="S24" t="inlineStr"/>
      <c r="T24" t="inlineStr">
        <is>
          <t>A_VERIFIER_BUDGET</t>
        </is>
      </c>
      <c r="U24" t="inlineStr"/>
      <c r="V24" t="inlineStr">
        <is>
          <t>non</t>
        </is>
      </c>
      <c r="W24" t="inlineStr">
        <is>
          <t>Mixte/Autre</t>
        </is>
      </c>
      <c r="X24" t="inlineStr">
        <is>
          <t>Mairie</t>
        </is>
      </c>
      <c r="Y24" t="inlineStr">
        <is>
          <t>SERVICES</t>
        </is>
      </c>
      <c r="Z24" t="inlineStr">
        <is>
          <t>Procédure NC</t>
        </is>
      </c>
      <c r="AA24" t="inlineStr">
        <is>
          <t>Avis de marché</t>
        </is>
      </c>
      <c r="AB24" t="inlineStr">
        <is>
          <t>Délégation de service public</t>
        </is>
      </c>
      <c r="AC24" t="inlineStr">
        <is>
          <t>['sociaux', 'environnementaux']</t>
        </is>
      </c>
      <c r="AD24" s="11" t="inlineStr">
        <is>
          <t>https://www.boamp.fr/pages/avis/?q=idweb:26-58404</t>
        </is>
      </c>
      <c r="AE24" t="inlineStr">
        <is>
          <t>http://www.fontainebleau.fr</t>
        </is>
      </c>
      <c r="AF24" t="inlineStr"/>
      <c r="AG24" t="inlineStr">
        <is>
          <t>nettoyage</t>
        </is>
      </c>
      <c r="AH24" t="inlineStr">
        <is>
          <t>4</t>
        </is>
      </c>
      <c r="AI24" t="inlineStr">
        <is>
          <t>78</t>
        </is>
      </c>
      <c r="AJ24" t="inlineStr">
        <is>
          <t>INFO_PARTIELLE</t>
        </is>
      </c>
      <c r="AK24" t="inlineStr">
        <is>
          <t>60</t>
        </is>
      </c>
      <c r="AL24" t="inlineStr">
        <is>
          <t>TIEDE</t>
        </is>
      </c>
      <c r="AM24" t="inlineStr"/>
      <c r="AN24" t="inlineStr"/>
      <c r="AO24" t="inlineStr"/>
      <c r="AP24" t="inlineStr"/>
      <c r="AQ24" t="inlineStr">
        <is>
          <t>IA_BUDGET_A_VERIFIER</t>
        </is>
      </c>
      <c r="AR24" t="inlineStr">
        <is>
          <t>Verifier le budget dans l'avis source ou le DCE avant decision commerciale.</t>
        </is>
      </c>
      <c r="AS24" t="inlineStr">
        <is>
          <t>SIRET, adresse,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26-58404. Objet: Concession de service public portant sur la gestion et l'exploitation du Marché Saint-Louis pour le compte de la ville de Fontainebleau. Acheteur: Ville De Fontainebleau. Lien: https://www.boamp.fr/pages/avis/?q=idweb:26-58404.</t>
        </is>
      </c>
      <c r="AU24" t="inlineStr">
        <is>
          <t>Verifier url_avis et DCE si disponible</t>
        </is>
      </c>
      <c r="AV24" t="inlineStr">
        <is>
          <t>LIEN_SEUL</t>
        </is>
      </c>
      <c r="AW24" t="inlineStr"/>
      <c r="AX24" t="inlineStr"/>
      <c r="AY24" t="inlineStr"/>
      <c r="AZ24" t="inlineStr"/>
      <c r="BA24" t="inlineStr"/>
      <c r="BB24" t="inlineStr">
        <is>
          <t>+30 mots-cles nettoyage forts | +10 budget non affiche (a verifier) | +10 secteur cible Mairie | +10 delai confortable 39j</t>
        </is>
      </c>
      <c r="BC24" t="inlineStr">
        <is>
          <t>Ville De Fontainebleau publie un AO potentiellement pertinent pour CHRUTH : Concession de service public portant sur la gestion et l'exploitation du Marché Saint-Louis pour le compte de la ville de Fontainebleau. Zone : Fontainebleau. Budget a verifier. Verifier le lien source avant contact.</t>
        </is>
      </c>
      <c r="BD24" t="inlineStr">
        <is>
          <t>Bonjour,
Je me permets de vous contacter au sujet de votre appel d'offres : Concession de service public portant sur la gestion et l'exploitation du Marché Saint-Louis pour le compte de la ville de Fontainebleau.
CHRUTH accompagne les structures publiques et privees sur les besoins de nettoyage, d'entretien des locaux et d'organisation de prestations de service.
Serait-il possible d'echanger rapidement afin de verifier les modalites de reponse et les attentes de Ville De Fontainebleau ?
Cordialement,</t>
        </is>
      </c>
      <c r="BE24" t="inlineStr">
        <is>
          <t>Bonjour, je vous appelle concernant un appel d'offres publie par Ville De Fontainebleau. Je souhaite verifier les informations pratiques : perimetre des prestations, date limite, modalites de visite, contact technique et pieces attendues. Pouvez-vous m'indiquer la bonne personne a contacter ?</t>
        </is>
      </c>
      <c r="BF24" t="inlineStr"/>
      <c r="BG24" t="inlineStr"/>
      <c r="BH24" t="inlineStr"/>
      <c r="BI24" t="inlineStr"/>
      <c r="BJ24" t="inlineStr"/>
      <c r="BK24" t="inlineStr"/>
      <c r="BL24" t="inlineStr"/>
      <c r="BM24" t="inlineStr">
        <is>
          <t>2026-W24</t>
        </is>
      </c>
    </row>
    <row r="25">
      <c r="A25" t="inlineStr">
        <is>
          <t>BOAMP</t>
        </is>
      </c>
      <c r="B25" t="inlineStr">
        <is>
          <t>26-55484</t>
        </is>
      </c>
      <c r="C25" t="inlineStr">
        <is>
          <t>Nettoyage Courant Et Remise En Etat De Locaux Sociaux Et Administratifs (sur tout le territoire Sitreva : département 27, 28 et 78)</t>
        </is>
      </c>
      <c r="D25" t="inlineStr">
        <is>
          <t>Sitreva</t>
        </is>
      </c>
      <c r="E25" t="inlineStr">
        <is>
          <t>25280334100236</t>
        </is>
      </c>
      <c r="F25" t="inlineStr">
        <is>
          <t>252803341</t>
        </is>
      </c>
      <c r="G25" t="inlineStr">
        <is>
          <t>Nathalie corniaux</t>
        </is>
      </c>
      <c r="H25" t="inlineStr"/>
      <c r="I25" t="inlineStr"/>
      <c r="J25" t="inlineStr">
        <is>
          <t>0334100236</t>
        </is>
      </c>
      <c r="K25" t="inlineStr">
        <is>
          <t>19 rue Gustave Eiffel 78120 - Rambouillet</t>
        </is>
      </c>
      <c r="L25" t="inlineStr">
        <is>
          <t>78120</t>
        </is>
      </c>
      <c r="M25" t="inlineStr">
        <is>
          <t>Rambouillet</t>
        </is>
      </c>
      <c r="N25" t="inlineStr">
        <is>
          <t>78,28</t>
        </is>
      </c>
      <c r="O25" t="inlineStr"/>
      <c r="P25" t="inlineStr">
        <is>
          <t>Ile-de-France</t>
        </is>
      </c>
      <c r="Q25" s="15" t="n">
        <v>46178</v>
      </c>
      <c r="R25" s="15" t="n">
        <v>46206</v>
      </c>
      <c r="S25" s="14" t="n">
        <v>78120</v>
      </c>
      <c r="T25" t="inlineStr">
        <is>
          <t>BUDGET_SOUS_SEUIL</t>
        </is>
      </c>
      <c r="U25" t="inlineStr">
        <is>
          <t>78120</t>
        </is>
      </c>
      <c r="V25" t="inlineStr">
        <is>
          <t>oui</t>
        </is>
      </c>
      <c r="W25" t="inlineStr">
        <is>
          <t>Batiments</t>
        </is>
      </c>
      <c r="X25" t="inlineStr">
        <is>
          <t>Autre</t>
        </is>
      </c>
      <c r="Y25" t="inlineStr">
        <is>
          <t>SERVICES</t>
        </is>
      </c>
      <c r="Z25" t="inlineStr">
        <is>
          <t>Procédure Ouverte</t>
        </is>
      </c>
      <c r="AA25" t="inlineStr">
        <is>
          <t>Avis de marché</t>
        </is>
      </c>
      <c r="AB25" t="inlineStr">
        <is>
          <t>Nettoyage de locaux, Prestations de services</t>
        </is>
      </c>
      <c r="AC25" t="inlineStr">
        <is>
          <t>['sociaux', 'environnementaux']</t>
        </is>
      </c>
      <c r="AD25" s="11" t="inlineStr">
        <is>
          <t>https://www.boamp.fr/pages/avis/?q=idweb:26-55484</t>
        </is>
      </c>
      <c r="AE25" t="inlineStr">
        <is>
          <t>https://www.marches-publics.info/mpiaws/index.cfm?fuseaction=dematent.login&amp;type=Dce&amp;Idm=1831542</t>
        </is>
      </c>
      <c r="AF25" t="inlineStr">
        <is>
          <t>https://www.marches-publics.info/mpiaws/index.cfm?fuseaction=dematent.login&amp;type=Dce&amp;Idm=1831542</t>
        </is>
      </c>
      <c r="AG25" t="inlineStr">
        <is>
          <t>nettoyage, proprete</t>
        </is>
      </c>
      <c r="AH25" t="inlineStr">
        <is>
          <t>5</t>
        </is>
      </c>
      <c r="AI25" t="inlineStr">
        <is>
          <t>96</t>
        </is>
      </c>
      <c r="AJ25" t="inlineStr">
        <is>
          <t>INFO_PARTIELLE</t>
        </is>
      </c>
      <c r="AK25" t="inlineStr">
        <is>
          <t>60</t>
        </is>
      </c>
      <c r="AL25" t="inlineStr">
        <is>
          <t>TIEDE</t>
        </is>
      </c>
      <c r="AM25" t="inlineStr"/>
      <c r="AN25" t="inlineStr"/>
      <c r="AO25" t="inlineStr"/>
      <c r="AP25" t="inlineStr"/>
      <c r="AQ25" t="inlineStr">
        <is>
          <t>IA_CONTACT_A_COMPLETER</t>
        </is>
      </c>
      <c r="AR25" t="inlineStr">
        <is>
          <t>Completer les champs manquants depuis l'avis source, le site acheteur ou le DCE.</t>
        </is>
      </c>
      <c r="AS25" t="inlineStr">
        <is>
          <t>email</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26-55484. Objet: Nettoyage Courant Et Remise En Etat De Locaux Sociaux Et Administratifs (sur tout le territoire Sitreva : département 27, 28 et 78). Acheteur: Sitreva. Lien: https://www.boamp.fr/pages/avis/?q=idweb:26-55484.</t>
        </is>
      </c>
      <c r="AU25" t="inlineStr">
        <is>
          <t>Verifier url_avis et DCE si disponible</t>
        </is>
      </c>
      <c r="AV25" t="inlineStr">
        <is>
          <t>LIEN_SEUL</t>
        </is>
      </c>
      <c r="AW25" t="inlineStr"/>
      <c r="AX25" t="inlineStr"/>
      <c r="AY25" t="inlineStr"/>
      <c r="AZ25" t="inlineStr"/>
      <c r="BA25" t="inlineStr"/>
      <c r="BB25" t="inlineStr">
        <is>
          <t>+35 nettoyage + categorie claire | +20 budget annualise &lt;= 100 000 EUR | +5 delai court 14j</t>
        </is>
      </c>
      <c r="BC25" t="inlineStr">
        <is>
          <t>Sitreva publie un AO potentiellement pertinent pour CHRUTH : Nettoyage Courant Et Remise En Etat De Locaux Sociaux Et Administratifs (sur tout le territoire Sitreva : département 27, 28 et 78). Zone : Rambouillet. Budget detecte environ 78 120 EUR. Verifier le lien source avant contact.</t>
        </is>
      </c>
      <c r="BD25" t="inlineStr">
        <is>
          <t>Bonjour,
Je me permets de vous contacter au sujet de votre appel d'offres : Nettoyage Courant Et Remise En Etat De Locaux Sociaux Et Administratifs (sur tout le territoire Sitreva : département 27, 28 et 78).
CHRUTH accompagne les structures publiques et privees sur les besoins de nettoyage, d'entretien des locaux et d'organisation de prestations de service.
Serait-il possible d'echanger rapidement afin de verifier les modalites de reponse et les attentes de Sitreva ?
Cordialement,</t>
        </is>
      </c>
      <c r="BE25" t="inlineStr">
        <is>
          <t>Bonjour, je vous appelle concernant un appel d'offres publie par Sitreva. Je souhaite verifier les informations pratiques : perimetre des prestations, date limite, modalites de visite, contact technique et pieces attendues. Pouvez-vous m'indiquer la bonne personne a contacter ?</t>
        </is>
      </c>
      <c r="BF25" t="inlineStr"/>
      <c r="BG25" t="inlineStr"/>
      <c r="BH25" t="inlineStr"/>
      <c r="BI25" t="inlineStr"/>
      <c r="BJ25" t="inlineStr"/>
      <c r="BK25" t="inlineStr"/>
      <c r="BL25" t="inlineStr"/>
      <c r="BM25" t="inlineStr">
        <is>
          <t>2026-W23</t>
        </is>
      </c>
    </row>
    <row r="26">
      <c r="A26" t="inlineStr">
        <is>
          <t>BOAMP</t>
        </is>
      </c>
      <c r="B26" t="inlineStr">
        <is>
          <t>26-54754</t>
        </is>
      </c>
      <c r="C26" t="inlineStr">
        <is>
          <t>Nettoyage et entretien courant des locaux de la commune de Combs-la-Ville</t>
        </is>
      </c>
      <c r="D26" t="inlineStr">
        <is>
          <t>Mairie de Combs-la-Ville</t>
        </is>
      </c>
      <c r="E26" t="inlineStr">
        <is>
          <t>17770704900017</t>
        </is>
      </c>
      <c r="F26" t="inlineStr">
        <is>
          <t>177707049</t>
        </is>
      </c>
      <c r="G26" t="inlineStr"/>
      <c r="H26" t="inlineStr"/>
      <c r="I26" t="inlineStr">
        <is>
          <t>nantene.diallo@mairie-combs-la-ville.fr</t>
        </is>
      </c>
      <c r="J26" t="inlineStr">
        <is>
          <t>+33 164131684</t>
        </is>
      </c>
      <c r="K26" t="inlineStr"/>
      <c r="L26" t="inlineStr"/>
      <c r="M26" t="inlineStr"/>
      <c r="N26" t="inlineStr">
        <is>
          <t>77,91,92,93,94,95,75</t>
        </is>
      </c>
      <c r="O26" t="inlineStr"/>
      <c r="P26" t="inlineStr">
        <is>
          <t>Ile-de-France</t>
        </is>
      </c>
      <c r="Q26" s="15" t="n">
        <v>46178</v>
      </c>
      <c r="R26" s="15" t="n">
        <v>46220</v>
      </c>
      <c r="S26" s="14" t="n">
        <v>150000</v>
      </c>
      <c r="T26" t="inlineStr">
        <is>
          <t>BUDGET_EXPLICITE_OK</t>
        </is>
      </c>
      <c r="U26" t="inlineStr">
        <is>
          <t>150000</t>
        </is>
      </c>
      <c r="V26" t="inlineStr">
        <is>
          <t>oui</t>
        </is>
      </c>
      <c r="W26" t="inlineStr">
        <is>
          <t>Batiments</t>
        </is>
      </c>
      <c r="X26" t="inlineStr">
        <is>
          <t>Mairie</t>
        </is>
      </c>
      <c r="Y26" t="inlineStr">
        <is>
          <t>SERVICES</t>
        </is>
      </c>
      <c r="Z26" t="inlineStr">
        <is>
          <t>Procédure Ouverte</t>
        </is>
      </c>
      <c r="AA26" t="inlineStr">
        <is>
          <t>Avis de marché</t>
        </is>
      </c>
      <c r="AB26" t="inlineStr">
        <is>
          <t>Prestations de services, Nettoyage de locaux</t>
        </is>
      </c>
      <c r="AC26" t="inlineStr">
        <is>
          <t>['sociaux', 'environnementaux']</t>
        </is>
      </c>
      <c r="AD26" s="11" t="inlineStr">
        <is>
          <t>https://www.boamp.fr/pages/avis/?q=idweb:26-54754</t>
        </is>
      </c>
      <c r="AE26" t="inlineStr">
        <is>
          <t>https://www.e-marchespublics.com/appel-offre/1164729</t>
        </is>
      </c>
      <c r="AF26" t="inlineStr">
        <is>
          <t>https://www.e-marchespublics.com/appel-offre/1164729</t>
        </is>
      </c>
      <c r="AG26" t="inlineStr">
        <is>
          <t>nettoyage</t>
        </is>
      </c>
      <c r="AH26" t="inlineStr">
        <is>
          <t>3</t>
        </is>
      </c>
      <c r="AI26" t="inlineStr">
        <is>
          <t>68</t>
        </is>
      </c>
      <c r="AJ26" t="inlineStr">
        <is>
          <t>INFO_PARTIELLE</t>
        </is>
      </c>
      <c r="AK26" t="inlineStr">
        <is>
          <t>60</t>
        </is>
      </c>
      <c r="AL26" t="inlineStr">
        <is>
          <t>TIEDE</t>
        </is>
      </c>
      <c r="AM26" t="inlineStr"/>
      <c r="AN26" t="inlineStr"/>
      <c r="AO26" t="inlineStr"/>
      <c r="AP26" t="inlineStr"/>
      <c r="AQ26" t="inlineStr">
        <is>
          <t>IA_CONTACT_A_COMPLETER</t>
        </is>
      </c>
      <c r="AR26" t="inlineStr">
        <is>
          <t>Completer les champs manquants depuis l'avis source, le site acheteur ou le DCE.</t>
        </is>
      </c>
      <c r="AS26" t="inlineStr">
        <is>
          <t>adresse, ville</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26-54754. Objet: Nettoyage et entretien courant des locaux de la commune de Combs-la-Ville. Acheteur: Mairie de Combs-la-Ville. Lien: https://www.boamp.fr/pages/avis/?q=idweb:26-54754.</t>
        </is>
      </c>
      <c r="AU26" t="inlineStr">
        <is>
          <t>Verifier url_avis et DCE si disponible</t>
        </is>
      </c>
      <c r="AV26" t="inlineStr"/>
      <c r="AW26" t="inlineStr"/>
      <c r="AX26" t="inlineStr"/>
      <c r="AY26" t="inlineStr"/>
      <c r="AZ26" t="inlineStr"/>
      <c r="BA26" t="inlineStr"/>
      <c r="BB26" t="inlineStr">
        <is>
          <t>+35 nettoyage + categorie claire | +5 budget annualise &lt;= 200 000 EUR | +10 secteur cible Mairie | +10 delai confortable 28j</t>
        </is>
      </c>
      <c r="BC26" t="inlineStr">
        <is>
          <t>Mairie de Combs-la-Ville publie un AO potentiellement pertinent pour CHRUTH : Nettoyage et entretien courant des locaux de la commune de Combs-la-Ville. Zone : 77,91,92,93,94,95,75. Budget detecte environ 150 000 EUR. Verifier le lien source avant contact.</t>
        </is>
      </c>
      <c r="BD26" t="inlineStr">
        <is>
          <t>Bonjour,
Je me permets de vous contacter au sujet de votre appel d'offres : Nettoyage et entretien courant des locaux de la commune de Combs-la-Ville.
CHRUTH accompagne les structures publiques et privees sur les besoins de nettoyage, d'entretien des locaux et d'organisation de prestations de service.
Serait-il possible d'echanger rapidement afin de verifier les modalites de reponse et les attentes de Mairie de Combs-la-Ville ?
Cordialement,</t>
        </is>
      </c>
      <c r="BE26" t="inlineStr">
        <is>
          <t>Bonjour, je vous appelle concernant un appel d'offres publie par Mairie de Combs-la-Ville. Je souhaite verifier les informations pratiques : perimetre des prestations, date limite, modalites de visite, contact technique et pieces attendues. Pouvez-vous m'indiquer la bonne personne a contacter ?</t>
        </is>
      </c>
      <c r="BF26" t="inlineStr"/>
      <c r="BG26" t="inlineStr"/>
      <c r="BH26" t="inlineStr"/>
      <c r="BI26" t="inlineStr"/>
      <c r="BJ26" t="inlineStr"/>
      <c r="BK26" t="inlineStr"/>
      <c r="BL26" t="inlineStr"/>
      <c r="BM26" t="inlineStr">
        <is>
          <t>2026-W23</t>
        </is>
      </c>
    </row>
    <row r="27">
      <c r="A27" t="inlineStr">
        <is>
          <t>BOAMP</t>
        </is>
      </c>
      <c r="B27" t="inlineStr">
        <is>
          <t>26-66211</t>
        </is>
      </c>
      <c r="C27" t="inlineStr">
        <is>
          <t>Accord-cadre de prestations de nettoyage des bâtiments du Département de la Seine-Saint-Denis</t>
        </is>
      </c>
      <c r="D27" t="inlineStr">
        <is>
          <t>Département de la Seine-Saint-Denis</t>
        </is>
      </c>
      <c r="E27" t="inlineStr"/>
      <c r="F27" t="inlineStr"/>
      <c r="G27" t="inlineStr"/>
      <c r="H27" t="inlineStr"/>
      <c r="I27" t="inlineStr">
        <is>
          <t>publications-joue@aws-france.com</t>
        </is>
      </c>
      <c r="J27" t="inlineStr">
        <is>
          <t>+33480041260</t>
        </is>
      </c>
      <c r="K27" t="inlineStr"/>
      <c r="L27" t="inlineStr"/>
      <c r="M27" t="inlineStr"/>
      <c r="N27" t="inlineStr">
        <is>
          <t>93</t>
        </is>
      </c>
      <c r="O27" t="inlineStr"/>
      <c r="P27" t="inlineStr">
        <is>
          <t>Ile-de-France</t>
        </is>
      </c>
      <c r="Q27" s="15" t="n">
        <v>46208</v>
      </c>
      <c r="R27" s="15" t="n">
        <v>46237</v>
      </c>
      <c r="S27" t="inlineStr"/>
      <c r="T27" t="inlineStr">
        <is>
          <t>A_VERIFIER_BUDGET</t>
        </is>
      </c>
      <c r="U27" t="inlineStr"/>
      <c r="V27" t="inlineStr">
        <is>
          <t>non</t>
        </is>
      </c>
      <c r="W27" t="inlineStr">
        <is>
          <t>Vitres</t>
        </is>
      </c>
      <c r="X27" t="inlineStr">
        <is>
          <t>Autre</t>
        </is>
      </c>
      <c r="Y27" t="inlineStr">
        <is>
          <t>SERVICES</t>
        </is>
      </c>
      <c r="Z27" t="inlineStr">
        <is>
          <t>Procédure Ouverte</t>
        </is>
      </c>
      <c r="AA27" t="inlineStr">
        <is>
          <t>Avis de marché</t>
        </is>
      </c>
      <c r="AB27" t="inlineStr">
        <is>
          <t>Nettoyage de locaux</t>
        </is>
      </c>
      <c r="AC27" t="inlineStr">
        <is>
          <t>['sociaux', 'environnementaux']</t>
        </is>
      </c>
      <c r="AD27" s="11" t="inlineStr">
        <is>
          <t>https://www.boamp.fr/pages/avis/?q=idweb:26-66211</t>
        </is>
      </c>
      <c r="AE27" t="inlineStr">
        <is>
          <t>https://www.marches-publics.info/mpiaws/index.cfm?fuseaction=dematEnt.login&amp;amp;type=DCE&amp;amp;IDM=1845738</t>
        </is>
      </c>
      <c r="AF27" t="inlineStr">
        <is>
          <t>https://www.marches-publics.info/mpiaws/index.cfm?fuseaction=dematEnt.login&amp;amp;type=DCE&amp;amp;IDM=1845738</t>
        </is>
      </c>
      <c r="AG27" t="inlineStr">
        <is>
          <t>nettoyage, proprete, proprete des locaux</t>
        </is>
      </c>
      <c r="AH27" t="inlineStr">
        <is>
          <t>2</t>
        </is>
      </c>
      <c r="AI27" t="inlineStr">
        <is>
          <t>70</t>
        </is>
      </c>
      <c r="AJ27" t="inlineStr">
        <is>
          <t>INFO_PARTIELLE</t>
        </is>
      </c>
      <c r="AK27" t="inlineStr">
        <is>
          <t>55</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SIRET, 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26-66211. Objet: Accord-cadre de prestations de nettoyage des bâtiments du Département de la Seine-Saint-Denis. Acheteur: Département de la Seine-Saint-Denis. Lien: https://www.boamp.fr/pages/avis/?q=idweb:26-66211.</t>
        </is>
      </c>
      <c r="AU27" t="inlineStr">
        <is>
          <t>Verifier url_avis et DCE si disponible</t>
        </is>
      </c>
      <c r="AV27" t="inlineStr"/>
      <c r="AW27" t="inlineStr"/>
      <c r="AX27" t="inlineStr"/>
      <c r="AY27" t="inlineStr"/>
      <c r="AZ27" t="inlineStr"/>
      <c r="BA27" t="inlineStr"/>
      <c r="BB27" t="inlineStr">
        <is>
          <t>+35 nettoyage + categorie claire | +10 budget non affiche (a verifier) | +10 delai confortable 28j</t>
        </is>
      </c>
      <c r="BC27" t="inlineStr">
        <is>
          <t>Département de la Seine-Saint-Denis publie un AO potentiellement pertinent pour CHRUTH : Accord-cadre de prestations de nettoyage des bâtiments du Département de la Seine-Saint-Denis. Zone : 93. Budget a verifier. Verifier le lien source avant contact.</t>
        </is>
      </c>
      <c r="BD27" t="inlineStr">
        <is>
          <t>Bonjour,
Je me permets de vous contacter au sujet de votre appel d'offres : Accord-cadre de prestations de nettoyage des bâtiments du Département de la Seine-Saint-Denis.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27"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2026-W27</t>
        </is>
      </c>
    </row>
    <row r="28">
      <c r="A28" t="inlineStr">
        <is>
          <t>BOAMP</t>
        </is>
      </c>
      <c r="B28" t="inlineStr">
        <is>
          <t>26-66164</t>
        </is>
      </c>
      <c r="C28" t="inlineStr">
        <is>
          <t>PRESTATIONS DE NETTOYAGE CAF77</t>
        </is>
      </c>
      <c r="D28" t="inlineStr">
        <is>
          <t>CAF77</t>
        </is>
      </c>
      <c r="E28" t="inlineStr">
        <is>
          <t>17750111100476</t>
        </is>
      </c>
      <c r="F28" t="inlineStr">
        <is>
          <t>177501111</t>
        </is>
      </c>
      <c r="G28" t="inlineStr"/>
      <c r="H28" t="inlineStr"/>
      <c r="I28" t="inlineStr">
        <is>
          <t>achatsmarches@caf77.caf.fr</t>
        </is>
      </c>
      <c r="J28" t="inlineStr">
        <is>
          <t>0670576838</t>
        </is>
      </c>
      <c r="K28" t="inlineStr"/>
      <c r="L28" t="inlineStr"/>
      <c r="M28" t="inlineStr"/>
      <c r="N28" t="inlineStr">
        <is>
          <t>75,77,91,94</t>
        </is>
      </c>
      <c r="O28" t="inlineStr"/>
      <c r="P28" t="inlineStr">
        <is>
          <t>Ile-de-France</t>
        </is>
      </c>
      <c r="Q28" s="15" t="n">
        <v>46208</v>
      </c>
      <c r="R28" s="15" t="n">
        <v>46255</v>
      </c>
      <c r="S28" t="inlineStr"/>
      <c r="T28" t="inlineStr">
        <is>
          <t>A_VERIFIER_BUDGET</t>
        </is>
      </c>
      <c r="U28" t="inlineStr"/>
      <c r="V28" t="inlineStr">
        <is>
          <t>non</t>
        </is>
      </c>
      <c r="W28" t="inlineStr">
        <is>
          <t>Vitres</t>
        </is>
      </c>
      <c r="X28" t="inlineStr">
        <is>
          <t>Autre</t>
        </is>
      </c>
      <c r="Y28" t="inlineStr">
        <is>
          <t>SERVICES</t>
        </is>
      </c>
      <c r="Z28" t="inlineStr">
        <is>
          <t>Procédure Ouverte</t>
        </is>
      </c>
      <c r="AA28" t="inlineStr">
        <is>
          <t>Avis de marché</t>
        </is>
      </c>
      <c r="AB28" t="inlineStr">
        <is>
          <t>Nettoyage de locaux, Vitrerie</t>
        </is>
      </c>
      <c r="AC28" t="inlineStr">
        <is>
          <t>['sociaux', 'environnementaux']</t>
        </is>
      </c>
      <c r="AD28" s="11" t="inlineStr">
        <is>
          <t>https://www.boamp.fr/pages/avis/?q=idweb:26-66164</t>
        </is>
      </c>
      <c r="AE28" t="inlineStr">
        <is>
          <t>https://www.marches-publics.gouv.fr/entreprise</t>
        </is>
      </c>
      <c r="AF28" t="inlineStr">
        <is>
          <t>https://www.marches-publics.gouv.fr/entreprise</t>
        </is>
      </c>
      <c r="AG28" t="inlineStr">
        <is>
          <t>nettoyage, menage</t>
        </is>
      </c>
      <c r="AH28" t="inlineStr">
        <is>
          <t>3</t>
        </is>
      </c>
      <c r="AI28" t="inlineStr">
        <is>
          <t>76</t>
        </is>
      </c>
      <c r="AJ28" t="inlineStr">
        <is>
          <t>INFO_PARTIELLE</t>
        </is>
      </c>
      <c r="AK28" t="inlineStr">
        <is>
          <t>55</t>
        </is>
      </c>
      <c r="AL28" t="inlineStr">
        <is>
          <t>TIEDE</t>
        </is>
      </c>
      <c r="AM28" t="inlineStr"/>
      <c r="AN28" t="inlineStr"/>
      <c r="AO28" t="inlineStr"/>
      <c r="AP28" t="inlineStr"/>
      <c r="AQ28" t="inlineStr">
        <is>
          <t>IA_BUDGET_A_VERIFIER</t>
        </is>
      </c>
      <c r="AR28" t="inlineStr">
        <is>
          <t>Verifier le budget dans l'avis source ou le DCE avant decision commerciale.</t>
        </is>
      </c>
      <c r="AS28" t="inlineStr">
        <is>
          <t>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26-66164. Objet: PRESTATIONS DE NETTOYAGE CAF77. Acheteur: CAF77. Lien: https://www.boamp.fr/pages/avis/?q=idweb:26-66164.</t>
        </is>
      </c>
      <c r="AU28" t="inlineStr">
        <is>
          <t>Verifier url_avis et DCE si disponible</t>
        </is>
      </c>
      <c r="AV28" t="inlineStr"/>
      <c r="AW28" t="inlineStr"/>
      <c r="AX28" t="inlineStr"/>
      <c r="AY28" t="inlineStr"/>
      <c r="AZ28" t="inlineStr"/>
      <c r="BA28" t="inlineStr"/>
      <c r="BB28" t="inlineStr">
        <is>
          <t>+35 nettoyage + categorie claire | +10 budget non affiche (a verifier) | +10 delai confortable 46j</t>
        </is>
      </c>
      <c r="BC28" t="inlineStr">
        <is>
          <t>CAF77 publie un AO potentiellement pertinent pour CHRUTH : PRESTATIONS DE NETTOYAGE CAF77. Zone : 75,77,91,94. Budget a verifier. Verifier le lien source avant contact.</t>
        </is>
      </c>
      <c r="BD28" t="inlineStr">
        <is>
          <t>Bonjour,
Je me permets de vous contacter au sujet de votre appel d'offres : PRESTATIONS DE NETTOYAGE CAF77.
CHRUTH accompagne les structures publiques et privées sur les besoins de nettoyage, d'entretien des locaux et d'organisation de prestations de service.
Serait-il possible d'échanger rapidement afin de vérifier les modalités de réponse et les attentes de CAF77 ?
Cordialement,</t>
        </is>
      </c>
      <c r="BE28" t="inlineStr">
        <is>
          <t>Bonjour, je vous appelle concernant un appel d'offres publié par CAF77.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2026-W27</t>
        </is>
      </c>
    </row>
    <row r="29">
      <c r="A29" t="inlineStr">
        <is>
          <t>BOAMP</t>
        </is>
      </c>
      <c r="B29" t="inlineStr">
        <is>
          <t>26-66494</t>
        </is>
      </c>
      <c r="C29" t="inlineStr">
        <is>
          <t>ENTRETIEN DES LOCAUX POUR LES BESOINS DE L’EPMS DE LA FONDATION HARDY</t>
        </is>
      </c>
      <c r="D29" t="inlineStr">
        <is>
          <t>EPMS FONDATION HARDY</t>
        </is>
      </c>
      <c r="E29" t="inlineStr">
        <is>
          <t>26770033400019</t>
        </is>
      </c>
      <c r="F29" t="inlineStr">
        <is>
          <t>267700334</t>
        </is>
      </c>
      <c r="G29" t="inlineStr"/>
      <c r="H29" t="inlineStr"/>
      <c r="I29" t="inlineStr">
        <is>
          <t>service.depenses@epms-hardy.fr</t>
        </is>
      </c>
      <c r="J29" t="inlineStr">
        <is>
          <t>+33 164252034</t>
        </is>
      </c>
      <c r="K29" t="inlineStr"/>
      <c r="L29" t="inlineStr"/>
      <c r="M29" t="inlineStr"/>
      <c r="N29" t="inlineStr">
        <is>
          <t>77</t>
        </is>
      </c>
      <c r="O29" t="inlineStr"/>
      <c r="P29" t="inlineStr">
        <is>
          <t>Ile-de-France</t>
        </is>
      </c>
      <c r="Q29" s="15" t="n">
        <v>46208</v>
      </c>
      <c r="R29" s="15" t="n">
        <v>46241</v>
      </c>
      <c r="S29" t="inlineStr"/>
      <c r="T29" t="inlineStr">
        <is>
          <t>A_VERIFIER_BUDGET</t>
        </is>
      </c>
      <c r="U29" t="inlineStr"/>
      <c r="V29" t="inlineStr">
        <is>
          <t>non</t>
        </is>
      </c>
      <c r="W29" t="inlineStr">
        <is>
          <t>Batiments</t>
        </is>
      </c>
      <c r="X29" t="inlineStr">
        <is>
          <t>Autre</t>
        </is>
      </c>
      <c r="Y29" t="inlineStr">
        <is>
          <t>SERVICES</t>
        </is>
      </c>
      <c r="Z29" t="inlineStr">
        <is>
          <t>Procédure Ouverte</t>
        </is>
      </c>
      <c r="AA29" t="inlineStr">
        <is>
          <t>Avis de marché</t>
        </is>
      </c>
      <c r="AB29" t="inlineStr">
        <is>
          <t>Nettoyage de locaux</t>
        </is>
      </c>
      <c r="AC29" t="inlineStr"/>
      <c r="AD29" s="11" t="inlineStr">
        <is>
          <t>https://www.boamp.fr/pages/avis/?q=idweb:26-66494</t>
        </is>
      </c>
      <c r="AE29" t="inlineStr">
        <is>
          <t>https://marches.maximilien.fr/entreprise/consultation/942574?orgAcronyme=a1i</t>
        </is>
      </c>
      <c r="AF29" t="inlineStr">
        <is>
          <t>https://marches.maximilien.fr/entreprise/consultation/942574?orgAcronyme=a1i</t>
        </is>
      </c>
      <c r="AG29" t="inlineStr">
        <is>
          <t>nettoyage, entretien des locaux</t>
        </is>
      </c>
      <c r="AH29" t="inlineStr">
        <is>
          <t>3</t>
        </is>
      </c>
      <c r="AI29" t="inlineStr">
        <is>
          <t>76</t>
        </is>
      </c>
      <c r="AJ29" t="inlineStr">
        <is>
          <t>INFO_PARTIELLE</t>
        </is>
      </c>
      <c r="AK29" t="inlineStr">
        <is>
          <t>55</t>
        </is>
      </c>
      <c r="AL29" t="inlineStr">
        <is>
          <t>TIEDE</t>
        </is>
      </c>
      <c r="AM29" t="inlineStr"/>
      <c r="AN29" t="inlineStr"/>
      <c r="AO29" t="inlineStr"/>
      <c r="AP29" t="inlineStr"/>
      <c r="AQ29" t="inlineStr">
        <is>
          <t>IA_BUDGET_A_VERIFIER</t>
        </is>
      </c>
      <c r="AR29" t="inlineStr">
        <is>
          <t>Verifier le budget dans l'avis source ou le DCE avant decision commerciale.</t>
        </is>
      </c>
      <c r="AS29" t="inlineStr">
        <is>
          <t>adresse, ville, budget</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26-66494. Objet: ENTRETIEN DES LOCAUX POUR LES BESOINS DE L’EPMS DE LA FONDATION HARDY. Acheteur: EPMS FONDATION HARDY. Lien: https://www.boamp.fr/pages/avis/?q=idweb:26-66494.</t>
        </is>
      </c>
      <c r="AU29" t="inlineStr">
        <is>
          <t>Verifier url_avis et DCE si disponible</t>
        </is>
      </c>
      <c r="AV29" t="inlineStr"/>
      <c r="AW29" t="inlineStr"/>
      <c r="AX29" t="inlineStr"/>
      <c r="AY29" t="inlineStr"/>
      <c r="AZ29" t="inlineStr"/>
      <c r="BA29" t="inlineStr"/>
      <c r="BB29" t="inlineStr">
        <is>
          <t>+35 nettoyage + categorie claire | +10 budget non affiche (a verifier) | +10 delai confortable 32j</t>
        </is>
      </c>
      <c r="BC29" t="inlineStr">
        <is>
          <t>EPMS FONDATION HARDY publie un AO potentiellement pertinent pour CHRUTH : ENTRETIEN DES LOCAUX POUR LES BESOINS DE L’EPMS DE LA FONDATION HARDY. Zone : 77. Budget a verifier. Verifier le lien source avant contact.</t>
        </is>
      </c>
      <c r="BD29" t="inlineStr">
        <is>
          <t>Bonjour,
Je me permets de vous contacter au sujet de votre appel d'offres : ENTRETIEN DES LOCAUX POUR LES BESOINS DE L’EPMS DE LA FONDATION HARDY.
CHRUTH accompagne les structures publiques et privées sur les besoins de nettoyage, d'entretien des locaux et d'organisation de prestations de service.
Serait-il possible d'échanger rapidement afin de vérifier les modalités de réponse et les attentes de EPMS FONDATION HARDY ?
Cordialement,</t>
        </is>
      </c>
      <c r="BE29" t="inlineStr">
        <is>
          <t>Bonjour, je vous appelle concernant un appel d'offres publié par EPMS FONDATION HARDY.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2026-W27</t>
        </is>
      </c>
    </row>
    <row r="30">
      <c r="A30" t="inlineStr">
        <is>
          <t>BOAMP</t>
        </is>
      </c>
      <c r="B30" t="inlineStr">
        <is>
          <t>26-64372</t>
        </is>
      </c>
      <c r="C30" t="inlineStr">
        <is>
          <t>Marché public de prestations de services relatif au nettoyage des locaux administratifs du SIAH.</t>
        </is>
      </c>
      <c r="D30" t="inlineStr">
        <is>
          <t>SIAH (Syndicat Mixte d’Aménagement Hydraulique du Croult et du Petit Rosne)</t>
        </is>
      </c>
      <c r="E30" t="inlineStr">
        <is>
          <t>20004931000010</t>
        </is>
      </c>
      <c r="F30" t="inlineStr">
        <is>
          <t>200049310</t>
        </is>
      </c>
      <c r="G30" t="inlineStr"/>
      <c r="H30" t="inlineStr"/>
      <c r="I30" t="inlineStr">
        <is>
          <t>dce@siah-croult.org</t>
        </is>
      </c>
      <c r="J30" t="inlineStr">
        <is>
          <t>0493100001</t>
        </is>
      </c>
      <c r="K30" t="inlineStr"/>
      <c r="L30" t="inlineStr"/>
      <c r="M30" t="inlineStr"/>
      <c r="N30" t="inlineStr">
        <is>
          <t>95</t>
        </is>
      </c>
      <c r="O30" t="inlineStr"/>
      <c r="P30" t="inlineStr">
        <is>
          <t>Ile-de-France</t>
        </is>
      </c>
      <c r="Q30" s="15" t="n">
        <v>46204</v>
      </c>
      <c r="R30" s="15" t="n">
        <v>46234</v>
      </c>
      <c r="S30" t="inlineStr"/>
      <c r="T30" t="inlineStr">
        <is>
          <t>A_VERIFIER_BUDGET</t>
        </is>
      </c>
      <c r="U30" t="inlineStr"/>
      <c r="V30" t="inlineStr">
        <is>
          <t>non</t>
        </is>
      </c>
      <c r="W30" t="inlineStr">
        <is>
          <t>Batiments</t>
        </is>
      </c>
      <c r="X30" t="inlineStr">
        <is>
          <t>Autre</t>
        </is>
      </c>
      <c r="Y30" t="inlineStr">
        <is>
          <t>SERVICES</t>
        </is>
      </c>
      <c r="Z30" t="inlineStr">
        <is>
          <t>Procédure Ouverte</t>
        </is>
      </c>
      <c r="AA30" t="inlineStr">
        <is>
          <t>Avis de marché</t>
        </is>
      </c>
      <c r="AB30" t="inlineStr">
        <is>
          <t>Nettoyage de locaux</t>
        </is>
      </c>
      <c r="AC30" t="inlineStr"/>
      <c r="AD30" s="11" t="inlineStr">
        <is>
          <t>https://www.boamp.fr/pages/avis/?q=idweb:26-64372</t>
        </is>
      </c>
      <c r="AE30" t="inlineStr">
        <is>
          <t>https://www.achatpublic.com/sdm/ent/gen/ent_detail.do?PCSLID=CSL_2026_Pbs6BRZ3AV</t>
        </is>
      </c>
      <c r="AF30" t="inlineStr">
        <is>
          <t>https://www.achatpublic.com/sdm/ent/gen/ent_detail.do?PCSLID=CSL_2026_Pbs6BRZ3AV</t>
        </is>
      </c>
      <c r="AG30" t="inlineStr">
        <is>
          <t>nettoyage</t>
        </is>
      </c>
      <c r="AH30" t="inlineStr">
        <is>
          <t>3</t>
        </is>
      </c>
      <c r="AI30" t="inlineStr">
        <is>
          <t>68</t>
        </is>
      </c>
      <c r="AJ30" t="inlineStr">
        <is>
          <t>INFO_PARTIELLE</t>
        </is>
      </c>
      <c r="AK30" t="inlineStr">
        <is>
          <t>55</t>
        </is>
      </c>
      <c r="AL30" t="inlineStr">
        <is>
          <t>TIEDE</t>
        </is>
      </c>
      <c r="AM30" t="inlineStr"/>
      <c r="AN30" t="inlineStr"/>
      <c r="AO30" t="inlineStr"/>
      <c r="AP30" t="inlineStr"/>
      <c r="AQ30" t="inlineStr">
        <is>
          <t>IA_BUDGET_A_VERIFIER</t>
        </is>
      </c>
      <c r="AR30" t="inlineStr">
        <is>
          <t>Verifier le budget dans l'avis source ou le DCE avant decision commerciale.</t>
        </is>
      </c>
      <c r="AS30" t="inlineStr">
        <is>
          <t>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26-64372. Objet: Marché public de prestations de services relatif au nettoyage des locaux administratifs du SIAH.. Acheteur: SIAH (Syndicat Mixte d’Aménagement Hydraulique du Croult et du Petit Rosne). Lien: https://www.boamp.fr/pages/avis/?q=idweb:26-64372.</t>
        </is>
      </c>
      <c r="AU30" t="inlineStr">
        <is>
          <t>Verifier url_avis et DCE si disponible</t>
        </is>
      </c>
      <c r="AV30" t="inlineStr"/>
      <c r="AW30" t="inlineStr"/>
      <c r="AX30" t="inlineStr"/>
      <c r="AY30" t="inlineStr"/>
      <c r="AZ30" t="inlineStr"/>
      <c r="BA30" t="inlineStr"/>
      <c r="BB30" t="inlineStr">
        <is>
          <t>+35 nettoyage + categorie claire | +10 budget non affiche (a verifier) | +10 delai confortable 25j</t>
        </is>
      </c>
      <c r="BC30" t="inlineStr">
        <is>
          <t>SIAH (Syndicat Mixte d’Aménagement Hydraulique du Croult et du Petit Rosne) publie un AO potentiellement pertinent pour CHRUTH : Marché public de prestations de services relatif au nettoyage des locaux administratifs du SIAH.. Zone : 95. Budget a verifier. Verifier le lien source avant contact.</t>
        </is>
      </c>
      <c r="BD30" t="inlineStr">
        <is>
          <t>Bonjour,
Je me permets de vous contacter au sujet de votre appel d'offres : Marché public de prestations de services relatif au nettoyage des locaux administratifs du SIAH..
CHRUTH accompagne les structures publiques et privées sur les besoins de nettoyage, d'entretien des locaux et d'organisation de prestations de service.
Serait-il possible d'échanger rapidement afin de vérifier les modalités de réponse et les attentes de SIAH (Syndicat Mixte d’Aménagement Hydraulique du Croult et du Petit Rosne) ?
Cordialement,</t>
        </is>
      </c>
      <c r="BE30" t="inlineStr">
        <is>
          <t>Bonjour, je vous appelle concernant un appel d'offres publié par SIAH (Syndicat Mixte d’Aménagement Hydraulique du Croult et du Petit Rosne).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2026-W27</t>
        </is>
      </c>
    </row>
    <row r="31">
      <c r="A31" t="inlineStr">
        <is>
          <t>BOAMP</t>
        </is>
      </c>
      <c r="B31" t="inlineStr">
        <is>
          <t>26-63717</t>
        </is>
      </c>
      <c r="C31" t="inlineStr">
        <is>
          <t>Nettoyage des locaux et des vitres des sites de la délégation Nouvelle Aquitaine du CNFPT</t>
        </is>
      </c>
      <c r="D31" t="inlineStr">
        <is>
          <t>CNFPT - Direction de l'achat public</t>
        </is>
      </c>
      <c r="E31" t="inlineStr"/>
      <c r="F31" t="inlineStr"/>
      <c r="G31" t="inlineStr"/>
      <c r="H31" t="inlineStr"/>
      <c r="I31" t="inlineStr">
        <is>
          <t>publications-joue@aws-france.com</t>
        </is>
      </c>
      <c r="J31" t="inlineStr">
        <is>
          <t>+33480041260</t>
        </is>
      </c>
      <c r="K31" t="inlineStr"/>
      <c r="L31" t="inlineStr"/>
      <c r="M31" t="inlineStr"/>
      <c r="N31" t="inlineStr">
        <is>
          <t>75</t>
        </is>
      </c>
      <c r="O31" t="inlineStr"/>
      <c r="P31" t="inlineStr">
        <is>
          <t>Ile-de-France</t>
        </is>
      </c>
      <c r="Q31" s="15" t="n">
        <v>46201</v>
      </c>
      <c r="R31" s="15" t="n">
        <v>46276</v>
      </c>
      <c r="S31" t="inlineStr"/>
      <c r="T31" t="inlineStr">
        <is>
          <t>A_VERIFIER_BUDGET</t>
        </is>
      </c>
      <c r="U31" t="inlineStr"/>
      <c r="V31" t="inlineStr">
        <is>
          <t>non</t>
        </is>
      </c>
      <c r="W31" t="inlineStr">
        <is>
          <t>Vitres</t>
        </is>
      </c>
      <c r="X31" t="inlineStr">
        <is>
          <t>Autre</t>
        </is>
      </c>
      <c r="Y31" t="inlineStr">
        <is>
          <t>SERVICES</t>
        </is>
      </c>
      <c r="Z31" t="inlineStr">
        <is>
          <t>Procédure Ouverte</t>
        </is>
      </c>
      <c r="AA31" t="inlineStr">
        <is>
          <t>Avis de marché</t>
        </is>
      </c>
      <c r="AB31" t="inlineStr">
        <is>
          <t>Nettoyage de locaux</t>
        </is>
      </c>
      <c r="AC31" t="inlineStr">
        <is>
          <t>['sociaux', 'environnementaux']</t>
        </is>
      </c>
      <c r="AD31" s="11" t="inlineStr">
        <is>
          <t>https://www.boamp.fr/pages/avis/?q=idweb:26-63717</t>
        </is>
      </c>
      <c r="AE31" t="inlineStr">
        <is>
          <t>https://cnfpt.marches-publics.info/</t>
        </is>
      </c>
      <c r="AF31" t="inlineStr">
        <is>
          <t>https://cnfpt.marches-publics.info/</t>
        </is>
      </c>
      <c r="AG31" t="inlineStr">
        <is>
          <t>nettoyage</t>
        </is>
      </c>
      <c r="AH31" t="inlineStr">
        <is>
          <t>2</t>
        </is>
      </c>
      <c r="AI31" t="inlineStr">
        <is>
          <t>58</t>
        </is>
      </c>
      <c r="AJ31" t="inlineStr">
        <is>
          <t>INFO_PARTIELLE</t>
        </is>
      </c>
      <c r="AK31" t="inlineStr">
        <is>
          <t>55</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SIRET, 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26-63717. Objet: Nettoyage des locaux et des vitres des sites de la délégation Nouvelle Aquitaine du CNFPT. Acheteur: CNFPT - Direction de l'achat public. Lien: https://www.boamp.fr/pages/avis/?q=idweb:26-63717.</t>
        </is>
      </c>
      <c r="AU31" t="inlineStr">
        <is>
          <t>Verifier url_avis et DCE si disponible</t>
        </is>
      </c>
      <c r="AV31" t="inlineStr"/>
      <c r="AW31" t="inlineStr"/>
      <c r="AX31" t="inlineStr"/>
      <c r="AY31" t="inlineStr"/>
      <c r="AZ31" t="inlineStr"/>
      <c r="BA31" t="inlineStr"/>
      <c r="BB31" t="inlineStr">
        <is>
          <t>+35 nettoyage + categorie claire | +10 budget non affiche (a verifier) | +10 delai confortable 67j</t>
        </is>
      </c>
      <c r="BC31" t="inlineStr">
        <is>
          <t>CNFPT - Direction de l'achat public publie un AO potentiellement pertinent pour CHRUTH : Nettoyage des locaux et des vitres des sites de la délégation Nouvelle Aquitaine du CNFPT. Zone : 75. Budget a verifier. Verifier le lien source avant contact.</t>
        </is>
      </c>
      <c r="BD31" t="inlineStr">
        <is>
          <t>Bonjour,
Je me permets de vous contacter au sujet de votre appel d'offres : Nettoyage des locaux et des vitres des sites de la délégation Nouvelle Aquitaine du CNFPT.
CHRUTH accompagne les structures publiques et privées sur les besoins de nettoyage, d'entretien des locaux et d'organisation de prestations de service.
Serait-il possible d'échanger rapidement afin de vérifier les modalités de réponse et les attentes de CNFPT - Direction de l'achat public ?
Cordialement,</t>
        </is>
      </c>
      <c r="BE31" t="inlineStr">
        <is>
          <t>Bonjour, je vous appelle concernant un appel d'offres publié par CNFPT - Direction de l'achat public.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2026-W26</t>
        </is>
      </c>
    </row>
    <row r="32">
      <c r="A32" t="inlineStr">
        <is>
          <t>BOAMP</t>
        </is>
      </c>
      <c r="B32" t="inlineStr">
        <is>
          <t>26-59151</t>
        </is>
      </c>
      <c r="C32" t="inlineStr">
        <is>
          <t>Prestations de nettoyage des surfaces vitrées, vitrines, baies vitrées, verrières et éléments assimilés des bâtiments de l’Université Paris 8 ainsi que de ses sites rattachés</t>
        </is>
      </c>
      <c r="D32" t="inlineStr">
        <is>
          <t>UNIVERSITE PARIS 8</t>
        </is>
      </c>
      <c r="E32" t="inlineStr">
        <is>
          <t>19931827000014</t>
        </is>
      </c>
      <c r="F32" t="inlineStr">
        <is>
          <t>199318270</t>
        </is>
      </c>
      <c r="G32" t="inlineStr"/>
      <c r="H32" t="inlineStr"/>
      <c r="I32" t="inlineStr">
        <is>
          <t>nicolas.luczak@univ-paris8.fr</t>
        </is>
      </c>
      <c r="J32" t="inlineStr">
        <is>
          <t>+33149406761</t>
        </is>
      </c>
      <c r="K32" t="inlineStr"/>
      <c r="L32" t="inlineStr"/>
      <c r="M32" t="inlineStr"/>
      <c r="N32" t="inlineStr">
        <is>
          <t>93</t>
        </is>
      </c>
      <c r="O32" t="inlineStr"/>
      <c r="P32" t="inlineStr">
        <is>
          <t>Ile-de-France</t>
        </is>
      </c>
      <c r="Q32" s="15" t="n">
        <v>46190</v>
      </c>
      <c r="R32" s="15" t="n">
        <v>46213</v>
      </c>
      <c r="S32" t="inlineStr"/>
      <c r="T32" t="inlineStr">
        <is>
          <t>A_VERIFIER_BUDGET</t>
        </is>
      </c>
      <c r="U32" t="inlineStr"/>
      <c r="V32" t="inlineStr">
        <is>
          <t>non</t>
        </is>
      </c>
      <c r="W32" t="inlineStr">
        <is>
          <t>Vitres</t>
        </is>
      </c>
      <c r="X32" t="inlineStr">
        <is>
          <t>Autre</t>
        </is>
      </c>
      <c r="Y32" t="inlineStr">
        <is>
          <t>SERVICES</t>
        </is>
      </c>
      <c r="Z32" t="inlineStr">
        <is>
          <t>Procédure Ouverte</t>
        </is>
      </c>
      <c r="AA32" t="inlineStr">
        <is>
          <t>Avis de marché</t>
        </is>
      </c>
      <c r="AB32" t="inlineStr">
        <is>
          <t>Vitrerie, Nettoyage de locaux</t>
        </is>
      </c>
      <c r="AC32" t="inlineStr"/>
      <c r="AD32" s="11" t="inlineStr">
        <is>
          <t>https://www.boamp.fr/pages/avis/?q=idweb:26-59151</t>
        </is>
      </c>
      <c r="AE32" t="inlineStr">
        <is>
          <t>https://www.marches-publics.gouv.fr/entreprise</t>
        </is>
      </c>
      <c r="AF32" t="inlineStr">
        <is>
          <t>https://www.marches-publics.gouv.fr/entreprise</t>
        </is>
      </c>
      <c r="AG32" t="inlineStr">
        <is>
          <t>nettoyage</t>
        </is>
      </c>
      <c r="AH32" t="inlineStr">
        <is>
          <t>3</t>
        </is>
      </c>
      <c r="AI32" t="inlineStr">
        <is>
          <t>68</t>
        </is>
      </c>
      <c r="AJ32" t="inlineStr">
        <is>
          <t>INFO_PARTIELLE</t>
        </is>
      </c>
      <c r="AK32" t="inlineStr">
        <is>
          <t>55</t>
        </is>
      </c>
      <c r="AL32" t="inlineStr">
        <is>
          <t>TIEDE</t>
        </is>
      </c>
      <c r="AM32" t="inlineStr"/>
      <c r="AN32" t="inlineStr"/>
      <c r="AO32" t="inlineStr"/>
      <c r="AP32" t="inlineStr"/>
      <c r="AQ32" t="inlineStr">
        <is>
          <t>IA_BUDGET_A_VERIFIER</t>
        </is>
      </c>
      <c r="AR32" t="inlineStr">
        <is>
          <t>Verifier le budget dans l'avis source ou le DCE avant decision commerciale.</t>
        </is>
      </c>
      <c r="AS32" t="inlineStr">
        <is>
          <t>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26-59151. Objet: Prestations de nettoyage des surfaces vitrées, vitrines, baies vitrées, verrières et éléments assimilés des bâtiments de l’Université Paris 8 ainsi que de ses sites rattachés. Acheteur: UNIVERSITE PARIS 8. Lien: https://www.boamp.fr/pages/avis/?q=idweb:26-59151.</t>
        </is>
      </c>
      <c r="AU32" t="inlineStr">
        <is>
          <t>Verifier url_avis et DCE si disponible</t>
        </is>
      </c>
      <c r="AV32" t="inlineStr">
        <is>
          <t>LIEN_SEUL</t>
        </is>
      </c>
      <c r="AW32" t="inlineStr"/>
      <c r="AX32" t="inlineStr"/>
      <c r="AY32" t="inlineStr"/>
      <c r="AZ32" t="inlineStr"/>
      <c r="BA32" t="inlineStr"/>
      <c r="BB32" t="inlineStr">
        <is>
          <t>+35 nettoyage + categorie claire | +10 budget non affiche (a verifier) | +10 delai confortable 18j</t>
        </is>
      </c>
      <c r="BC32"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2"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2"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2" t="inlineStr"/>
      <c r="BG32" t="inlineStr"/>
      <c r="BH32" t="inlineStr"/>
      <c r="BI32" t="inlineStr"/>
      <c r="BJ32" t="inlineStr"/>
      <c r="BK32" t="inlineStr"/>
      <c r="BL32" t="inlineStr"/>
      <c r="BM32" t="inlineStr">
        <is>
          <t>2026-W25</t>
        </is>
      </c>
    </row>
    <row r="33">
      <c r="A33" t="inlineStr">
        <is>
          <t>BOAMP</t>
        </is>
      </c>
      <c r="B33" t="inlineStr">
        <is>
          <t>26-57705</t>
        </is>
      </c>
      <c r="C33" t="inlineStr">
        <is>
          <t>MARCHE PUBLIC RELATIF AU NETTOYAGE DES LOCAUX DE LA MISSION LOCALE DE PARIS</t>
        </is>
      </c>
      <c r="D33" t="inlineStr">
        <is>
          <t>MISSION LOCALE DE PARIS</t>
        </is>
      </c>
      <c r="E33" t="inlineStr">
        <is>
          <t>53132862300149</t>
        </is>
      </c>
      <c r="F33" t="inlineStr">
        <is>
          <t>531328623</t>
        </is>
      </c>
      <c r="G33" t="inlineStr"/>
      <c r="H33" t="inlineStr"/>
      <c r="I33" t="inlineStr">
        <is>
          <t>achats@missionlocaledeparis.fr</t>
        </is>
      </c>
      <c r="J33" t="inlineStr">
        <is>
          <t>0149 076467</t>
        </is>
      </c>
      <c r="K33" t="inlineStr"/>
      <c r="L33" t="inlineStr"/>
      <c r="M33" t="inlineStr"/>
      <c r="N33" t="inlineStr">
        <is>
          <t>75</t>
        </is>
      </c>
      <c r="O33" t="inlineStr"/>
      <c r="P33" t="inlineStr">
        <is>
          <t>Ile-de-France</t>
        </is>
      </c>
      <c r="Q33" s="15" t="n">
        <v>46185</v>
      </c>
      <c r="R33" s="15" t="n">
        <v>46213</v>
      </c>
      <c r="S33" t="inlineStr"/>
      <c r="T33" t="inlineStr">
        <is>
          <t>A_VERIFIER_BUDGET</t>
        </is>
      </c>
      <c r="U33" t="inlineStr"/>
      <c r="V33" t="inlineStr">
        <is>
          <t>non</t>
        </is>
      </c>
      <c r="W33" t="inlineStr">
        <is>
          <t>Vitres</t>
        </is>
      </c>
      <c r="X33" t="inlineStr">
        <is>
          <t>Autre</t>
        </is>
      </c>
      <c r="Y33" t="inlineStr">
        <is>
          <t>SERVICES</t>
        </is>
      </c>
      <c r="Z33" t="inlineStr">
        <is>
          <t>Procédure Ouverte</t>
        </is>
      </c>
      <c r="AA33" t="inlineStr">
        <is>
          <t>Avis de marché</t>
        </is>
      </c>
      <c r="AB33" t="inlineStr">
        <is>
          <t>Nettoyage de locaux</t>
        </is>
      </c>
      <c r="AC33" t="inlineStr"/>
      <c r="AD33" s="11" t="inlineStr">
        <is>
          <t>https://www.boamp.fr/pages/avis/?q=idweb:26-57705</t>
        </is>
      </c>
      <c r="AE33" t="inlineStr">
        <is>
          <t>https://www.achatpublic.com/sdm/ent/gen/ent_detail.do?PCSLID=CSL_2026_GODJdYpugJ</t>
        </is>
      </c>
      <c r="AF33" t="inlineStr">
        <is>
          <t>https://www.achatpublic.com/sdm/ent/gen/ent_detail.do?PCSLID=CSL_2026_GODJdYpugJ</t>
        </is>
      </c>
      <c r="AG33" t="inlineStr">
        <is>
          <t>nettoyage, proprete</t>
        </is>
      </c>
      <c r="AH33" t="inlineStr">
        <is>
          <t>3</t>
        </is>
      </c>
      <c r="AI33" t="inlineStr">
        <is>
          <t>76</t>
        </is>
      </c>
      <c r="AJ33" t="inlineStr">
        <is>
          <t>INFO_PARTIELLE</t>
        </is>
      </c>
      <c r="AK33" t="inlineStr">
        <is>
          <t>55</t>
        </is>
      </c>
      <c r="AL33" t="inlineStr">
        <is>
          <t>TIEDE</t>
        </is>
      </c>
      <c r="AM33" t="inlineStr"/>
      <c r="AN33" t="inlineStr"/>
      <c r="AO33" t="inlineStr"/>
      <c r="AP33" t="inlineStr"/>
      <c r="AQ33" t="inlineStr">
        <is>
          <t>IA_BUDGET_A_VERIFIER</t>
        </is>
      </c>
      <c r="AR33" t="inlineStr">
        <is>
          <t>Verifier le budget dans l'avis source ou le DCE avant decision commerciale.</t>
        </is>
      </c>
      <c r="AS33" t="inlineStr">
        <is>
          <t>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26-57705. Objet: MARCHE PUBLIC RELATIF AU NETTOYAGE DES LOCAUX DE LA MISSION LOCALE DE PARIS. Acheteur: MISSION LOCALE DE PARIS. Lien: https://www.boamp.fr/pages/avis/?q=idweb:26-57705.</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delai confortable 18j</t>
        </is>
      </c>
      <c r="BC33" t="inlineStr">
        <is>
          <t>MISSION LOCALE DE PARIS publie un AO potentiellement pertinent pour CHRUTH : MARCHE PUBLIC RELATIF AU NETTOYAGE DES LOCAUX DE LA MISSION LOCALE DE PARIS. Zone : 75. Budget a verifier. Verifier le lien source avant contact.</t>
        </is>
      </c>
      <c r="BD33" t="inlineStr">
        <is>
          <t>Bonjour,
Je me permets de vous contacter au sujet de votre appel d'offres : MARCHE PUBLIC RELATIF AU NETTOYAGE DES LOCAUX DE LA MISSION LOCALE DE PARIS.
CHRUTH accompagne les structures publiques et privees sur les besoins de nettoyage, d'entretien des locaux et d'organisation de prestations de service.
Serait-il possible d'echanger rapidement afin de verifier les modalites de reponse et les attentes de MISSION LOCALE DE PARIS ?
Cordialement,</t>
        </is>
      </c>
      <c r="BE33" t="inlineStr">
        <is>
          <t>Bonjour, je vous appelle concernant un appel d'offres publie par MISSION LOCALE DE PARIS. Je souhaite verifier les informations pratiques : perimetre des prestations, date limite, modalites de visite, contact technique et pieces attendues. Pouvez-vous m'indiquer la bonne personne a contacter ?</t>
        </is>
      </c>
      <c r="BF33" t="inlineStr"/>
      <c r="BG33" t="inlineStr"/>
      <c r="BH33" t="inlineStr"/>
      <c r="BI33" t="inlineStr"/>
      <c r="BJ33" t="inlineStr"/>
      <c r="BK33" t="inlineStr"/>
      <c r="BL33" t="inlineStr"/>
      <c r="BM33" t="inlineStr">
        <is>
          <t>2026-W24</t>
        </is>
      </c>
    </row>
    <row r="34">
      <c r="A34" t="inlineStr">
        <is>
          <t>BOAMP</t>
        </is>
      </c>
      <c r="B34" t="inlineStr">
        <is>
          <t>26-57778</t>
        </is>
      </c>
      <c r="C34" t="inlineStr">
        <is>
          <t>Prestations de nettoyage des surfaces vitrées, vitrines, baies vitrées, verrières et éléments assimilés des bâtiments de l’Université Paris 8 ainsi que de ses sites rattachés</t>
        </is>
      </c>
      <c r="D34" t="inlineStr">
        <is>
          <t>UNIVERSITE PARIS 8</t>
        </is>
      </c>
      <c r="E34" t="inlineStr">
        <is>
          <t>19931827000014</t>
        </is>
      </c>
      <c r="F34" t="inlineStr">
        <is>
          <t>199318270</t>
        </is>
      </c>
      <c r="G34" t="inlineStr"/>
      <c r="H34" t="inlineStr"/>
      <c r="I34" t="inlineStr">
        <is>
          <t>nicolas.luczak@univ-paris8.fr</t>
        </is>
      </c>
      <c r="J34" t="inlineStr">
        <is>
          <t>+33149406761</t>
        </is>
      </c>
      <c r="K34" t="inlineStr"/>
      <c r="L34" t="inlineStr"/>
      <c r="M34" t="inlineStr"/>
      <c r="N34" t="inlineStr">
        <is>
          <t>93</t>
        </is>
      </c>
      <c r="O34" t="inlineStr"/>
      <c r="P34" t="inlineStr">
        <is>
          <t>Ile-de-France</t>
        </is>
      </c>
      <c r="Q34" s="15" t="n">
        <v>46185</v>
      </c>
      <c r="R34" s="15" t="n">
        <v>46213</v>
      </c>
      <c r="S34" t="inlineStr"/>
      <c r="T34" t="inlineStr">
        <is>
          <t>A_VERIFIER_BUDGET</t>
        </is>
      </c>
      <c r="U34" t="inlineStr"/>
      <c r="V34" t="inlineStr">
        <is>
          <t>non</t>
        </is>
      </c>
      <c r="W34" t="inlineStr">
        <is>
          <t>Vitres</t>
        </is>
      </c>
      <c r="X34" t="inlineStr">
        <is>
          <t>Autre</t>
        </is>
      </c>
      <c r="Y34" t="inlineStr">
        <is>
          <t>SERVICES</t>
        </is>
      </c>
      <c r="Z34" t="inlineStr">
        <is>
          <t>Procédure Ouverte</t>
        </is>
      </c>
      <c r="AA34" t="inlineStr">
        <is>
          <t>Avis de marché</t>
        </is>
      </c>
      <c r="AB34" t="inlineStr">
        <is>
          <t>Vitrerie, Nettoyage de locaux</t>
        </is>
      </c>
      <c r="AC34" t="inlineStr">
        <is>
          <t>['sociaux']</t>
        </is>
      </c>
      <c r="AD34" s="11" t="inlineStr">
        <is>
          <t>https://www.boamp.fr/pages/avis/?q=idweb:26-57778</t>
        </is>
      </c>
      <c r="AE34" t="inlineStr">
        <is>
          <t>https://www.marches-publics.gouv.fr/entreprise</t>
        </is>
      </c>
      <c r="AF34" t="inlineStr">
        <is>
          <t>https://www.marches-publics.gouv.fr/entreprise</t>
        </is>
      </c>
      <c r="AG34" t="inlineStr">
        <is>
          <t>nettoyage</t>
        </is>
      </c>
      <c r="AH34" t="inlineStr">
        <is>
          <t>3</t>
        </is>
      </c>
      <c r="AI34" t="inlineStr">
        <is>
          <t>68</t>
        </is>
      </c>
      <c r="AJ34" t="inlineStr">
        <is>
          <t>INFO_PARTIELLE</t>
        </is>
      </c>
      <c r="AK34" t="inlineStr">
        <is>
          <t>55</t>
        </is>
      </c>
      <c r="AL34" t="inlineStr">
        <is>
          <t>TIEDE</t>
        </is>
      </c>
      <c r="AM34" t="inlineStr"/>
      <c r="AN34" t="inlineStr"/>
      <c r="AO34" t="inlineStr"/>
      <c r="AP34" t="inlineStr"/>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26-57778. Objet: Prestations de nettoyage des surfaces vitrées, vitrines, baies vitrées, verrières et éléments assimilés des bâtiments de l’Université Paris 8 ainsi que de ses sites rattachés. Acheteur: UNIVERSITE PARIS 8. Lien: https://www.boamp.fr/pages/avis/?q=idweb:26-57778.</t>
        </is>
      </c>
      <c r="AU34" t="inlineStr">
        <is>
          <t>Verifier url_avis et DCE si disponible</t>
        </is>
      </c>
      <c r="AV34" t="inlineStr">
        <is>
          <t>LIEN_SEUL</t>
        </is>
      </c>
      <c r="AW34" t="inlineStr"/>
      <c r="AX34" t="inlineStr"/>
      <c r="AY34" t="inlineStr"/>
      <c r="AZ34" t="inlineStr"/>
      <c r="BA34" t="inlineStr"/>
      <c r="BB34" t="inlineStr">
        <is>
          <t>+35 nettoyage + categorie claire | +10 budget non affiche (a verifier) | +10 delai confortable 18j</t>
        </is>
      </c>
      <c r="BC34"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4"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4"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4" t="inlineStr"/>
      <c r="BG34" t="inlineStr"/>
      <c r="BH34" t="inlineStr"/>
      <c r="BI34" t="inlineStr"/>
      <c r="BJ34" t="inlineStr"/>
      <c r="BK34" t="inlineStr"/>
      <c r="BL34" t="inlineStr"/>
      <c r="BM34" t="inlineStr">
        <is>
          <t>2026-W24</t>
        </is>
      </c>
    </row>
    <row r="35">
      <c r="A35" t="inlineStr">
        <is>
          <t>BOAMP</t>
        </is>
      </c>
      <c r="B35" t="inlineStr">
        <is>
          <t>26-57678</t>
        </is>
      </c>
      <c r="C35" t="inlineStr">
        <is>
          <t>Prestations d'entretien ménager, de fourniture de consommables pour sanitaires et de nettoyage des vitres des locaux de la délégation Auvergne Rhône-Alpes du CNFPT</t>
        </is>
      </c>
      <c r="D35" t="inlineStr">
        <is>
          <t>CNFPT - Direction de l'achat public</t>
        </is>
      </c>
      <c r="E35" t="inlineStr"/>
      <c r="F35" t="inlineStr"/>
      <c r="G35" t="inlineStr"/>
      <c r="H35" t="inlineStr"/>
      <c r="I35" t="inlineStr">
        <is>
          <t>publications-joue@aws-france.com</t>
        </is>
      </c>
      <c r="J35" t="inlineStr">
        <is>
          <t>+33480041260</t>
        </is>
      </c>
      <c r="K35" t="inlineStr"/>
      <c r="L35" t="inlineStr"/>
      <c r="M35" t="inlineStr"/>
      <c r="N35" t="inlineStr">
        <is>
          <t>75</t>
        </is>
      </c>
      <c r="O35" t="inlineStr"/>
      <c r="P35" t="inlineStr">
        <is>
          <t>Ile-de-France</t>
        </is>
      </c>
      <c r="Q35" s="15" t="n">
        <v>46185</v>
      </c>
      <c r="R35" s="15" t="n">
        <v>46218</v>
      </c>
      <c r="S35" t="inlineStr"/>
      <c r="T35" t="inlineStr">
        <is>
          <t>A_VERIFIER_BUDGET</t>
        </is>
      </c>
      <c r="U35" t="inlineStr"/>
      <c r="V35" t="inlineStr">
        <is>
          <t>non</t>
        </is>
      </c>
      <c r="W35" t="inlineStr">
        <is>
          <t>Vitres</t>
        </is>
      </c>
      <c r="X35" t="inlineStr">
        <is>
          <t>Autre</t>
        </is>
      </c>
      <c r="Y35" t="inlineStr">
        <is>
          <t>SERVICES</t>
        </is>
      </c>
      <c r="Z35" t="inlineStr">
        <is>
          <t>Procédure Ouverte</t>
        </is>
      </c>
      <c r="AA35" t="inlineStr">
        <is>
          <t>Avis de marché</t>
        </is>
      </c>
      <c r="AB35" t="inlineStr">
        <is>
          <t>Nettoyage de locaux</t>
        </is>
      </c>
      <c r="AC35" t="inlineStr">
        <is>
          <t>['sociaux', 'environnementaux']</t>
        </is>
      </c>
      <c r="AD35" s="11" t="inlineStr">
        <is>
          <t>https://www.boamp.fr/pages/avis/?q=idweb:26-57678</t>
        </is>
      </c>
      <c r="AE35" t="inlineStr">
        <is>
          <t>https://cnfpt.marches-publics.info/</t>
        </is>
      </c>
      <c r="AF35" t="inlineStr">
        <is>
          <t>https://cnfpt.marches-publics.info/</t>
        </is>
      </c>
      <c r="AG35" t="inlineStr">
        <is>
          <t>nettoyage, entretien menager</t>
        </is>
      </c>
      <c r="AH35" t="inlineStr">
        <is>
          <t>2</t>
        </is>
      </c>
      <c r="AI35" t="inlineStr">
        <is>
          <t>62</t>
        </is>
      </c>
      <c r="AJ35" t="inlineStr">
        <is>
          <t>INFO_PARTIELLE</t>
        </is>
      </c>
      <c r="AK35" t="inlineStr">
        <is>
          <t>55</t>
        </is>
      </c>
      <c r="AL35" t="inlineStr">
        <is>
          <t>TIEDE</t>
        </is>
      </c>
      <c r="AM35" t="inlineStr"/>
      <c r="AN35" t="inlineStr"/>
      <c r="AO35" t="inlineStr"/>
      <c r="AP35" t="inlineStr"/>
      <c r="AQ35" t="inlineStr">
        <is>
          <t>IA_BUDGET_A_VERIFIER</t>
        </is>
      </c>
      <c r="AR35" t="inlineStr">
        <is>
          <t>Verifier le budget dans l'avis source ou le DCE avant decision commerciale.</t>
        </is>
      </c>
      <c r="AS35" t="inlineStr">
        <is>
          <t>SIRET, 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26-57678. Objet: Prestations d'entretien ménager, de fourniture de consommables pour sanitaires et de nettoyage des vitres des locaux de la délégation Auvergne Rhône-Alpes du CNFPT. Acheteur: CNFPT - Direction de l'achat public. Lien: https://www.boamp.fr/pages/avis/?q=idweb:26-57678.</t>
        </is>
      </c>
      <c r="AU35" t="inlineStr">
        <is>
          <t>Verifier url_avis et DCE si disponible</t>
        </is>
      </c>
      <c r="AV35" t="inlineStr">
        <is>
          <t>LIEN_SEUL</t>
        </is>
      </c>
      <c r="AW35" t="inlineStr"/>
      <c r="AX35" t="inlineStr"/>
      <c r="AY35" t="inlineStr"/>
      <c r="AZ35" t="inlineStr"/>
      <c r="BA35" t="inlineStr"/>
      <c r="BB35" t="inlineStr">
        <is>
          <t>+35 nettoyage + categorie claire | +10 budget non affiche (a verifier) | +10 delai confortable 23j</t>
        </is>
      </c>
      <c r="BC35" t="inlineStr">
        <is>
          <t>CNFPT - Direction de l'achat public publie un AO potentiellement pertinent pour CHRUTH : Prestations d'entretien ménager, de fourniture de consommables pour sanitaires et de nettoyage des vitres des locaux de la délégation Auvergne Rhône-Alpes du CNFPT. Zone : 75. Budget a verifier. Verifier le lien source avant contact.</t>
        </is>
      </c>
      <c r="BD35" t="inlineStr">
        <is>
          <t>Bonjour,
Je me permets de vous contacter au sujet de votre appel d'offres : Prestations d'entretien ménager, de fourniture de consommables pour sanitaires et de nettoyage des vitres des locaux de la délégation Auvergne Rhône-Alpes du CNFPT.
CHRUTH accompagne les structures publiques et privees sur les besoins de nettoyage, d'entretien des locaux et d'organisation de prestations de service.
Serait-il possible d'echanger rapidement afin de verifier les modalites de reponse et les attentes de CNFPT - Direction de l'achat public ?
Cordialement,</t>
        </is>
      </c>
      <c r="BE35" t="inlineStr">
        <is>
          <t>Bonjour, je vous appelle concernant un appel d'offres publie par CNFPT - Direction de l'achat public. Je souhaite verifier les informations pratiques : perimetre des prestations, date limite, modalites de visite, contact technique et pieces attendues. Pouvez-vous m'indiquer la bonne personne a contacter ?</t>
        </is>
      </c>
      <c r="BF35" t="inlineStr"/>
      <c r="BG35" t="inlineStr"/>
      <c r="BH35" t="inlineStr"/>
      <c r="BI35" t="inlineStr"/>
      <c r="BJ35" t="inlineStr"/>
      <c r="BK35" t="inlineStr"/>
      <c r="BL35" t="inlineStr"/>
      <c r="BM35" t="inlineStr">
        <is>
          <t>2026-W24</t>
        </is>
      </c>
    </row>
    <row r="36">
      <c r="A36" t="inlineStr">
        <is>
          <t>BOAMP</t>
        </is>
      </c>
      <c r="B36" t="inlineStr">
        <is>
          <t>26-57231</t>
        </is>
      </c>
      <c r="C36" t="inlineStr">
        <is>
          <t>Prestations de nettoyage des surfaces vitrées, vitrines, baies vitrées, verrières et éléments assimilés des bâtiments de l’Université Paris 8 ainsi que de ses sites rattachés</t>
        </is>
      </c>
      <c r="D36" t="inlineStr">
        <is>
          <t>UNIVERSITE PARIS 8</t>
        </is>
      </c>
      <c r="E36" t="inlineStr">
        <is>
          <t>19931827000014</t>
        </is>
      </c>
      <c r="F36" t="inlineStr">
        <is>
          <t>199318270</t>
        </is>
      </c>
      <c r="G36" t="inlineStr"/>
      <c r="H36" t="inlineStr"/>
      <c r="I36" t="inlineStr">
        <is>
          <t>nicolas.luczak@univ-paris8.fr</t>
        </is>
      </c>
      <c r="J36" t="inlineStr">
        <is>
          <t>+33149406761</t>
        </is>
      </c>
      <c r="K36" t="inlineStr"/>
      <c r="L36" t="inlineStr"/>
      <c r="M36" t="inlineStr"/>
      <c r="N36" t="inlineStr">
        <is>
          <t>93</t>
        </is>
      </c>
      <c r="O36" t="inlineStr"/>
      <c r="P36" t="inlineStr">
        <is>
          <t>Ile-de-France</t>
        </is>
      </c>
      <c r="Q36" s="15" t="n">
        <v>46184</v>
      </c>
      <c r="R36" s="15" t="n">
        <v>46213</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Vitrerie, Nettoyage de locaux</t>
        </is>
      </c>
      <c r="AC36" t="inlineStr"/>
      <c r="AD36" s="11" t="inlineStr">
        <is>
          <t>https://www.boamp.fr/pages/avis/?q=idweb:26-57231</t>
        </is>
      </c>
      <c r="AE36" t="inlineStr">
        <is>
          <t>https://www.marches-publics.gouv.fr/entreprise</t>
        </is>
      </c>
      <c r="AF36" t="inlineStr">
        <is>
          <t>https://www.marches-publics.gouv.fr/entreprise</t>
        </is>
      </c>
      <c r="AG36" t="inlineStr">
        <is>
          <t>nettoyage</t>
        </is>
      </c>
      <c r="AH36" t="inlineStr">
        <is>
          <t>3</t>
        </is>
      </c>
      <c r="AI36" t="inlineStr">
        <is>
          <t>68</t>
        </is>
      </c>
      <c r="AJ36" t="inlineStr">
        <is>
          <t>INFO_PARTIELLE</t>
        </is>
      </c>
      <c r="AK36" t="inlineStr">
        <is>
          <t>55</t>
        </is>
      </c>
      <c r="AL36" t="inlineStr">
        <is>
          <t>TIEDE</t>
        </is>
      </c>
      <c r="AM36" t="inlineStr"/>
      <c r="AN36" t="inlineStr"/>
      <c r="AO36" t="inlineStr"/>
      <c r="AP36" t="inlineStr"/>
      <c r="AQ36" t="inlineStr">
        <is>
          <t>IA_BUDGET_A_VERIFIER</t>
        </is>
      </c>
      <c r="AR36" t="inlineStr">
        <is>
          <t>Verifier le budget dans l'avis source ou le DCE avant decision commerciale.</t>
        </is>
      </c>
      <c r="AS36" t="inlineStr">
        <is>
          <t>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26-57231. Objet: Prestations de nettoyage des surfaces vitrées, vitrines, baies vitrées, verrières et éléments assimilés des bâtiments de l’Université Paris 8 ainsi que de ses sites rattachés. Acheteur: UNIVERSITE PARIS 8. Lien: https://www.boamp.fr/pages/avis/?q=idweb:26-57231.</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18j</t>
        </is>
      </c>
      <c r="BC36"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6"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6"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6" t="inlineStr"/>
      <c r="BG36" t="inlineStr"/>
      <c r="BH36" t="inlineStr"/>
      <c r="BI36" t="inlineStr"/>
      <c r="BJ36" t="inlineStr"/>
      <c r="BK36" t="inlineStr"/>
      <c r="BL36" t="inlineStr"/>
      <c r="BM36" t="inlineStr">
        <is>
          <t>2026-W24</t>
        </is>
      </c>
    </row>
    <row r="37">
      <c r="A37" t="inlineStr">
        <is>
          <t>BOAMP</t>
        </is>
      </c>
      <c r="B37" t="inlineStr">
        <is>
          <t>26-62297</t>
        </is>
      </c>
      <c r="C37" t="inlineStr">
        <is>
          <t>Nettoyage des locaux du siège du SIAAP</t>
        </is>
      </c>
      <c r="D37" t="inlineStr">
        <is>
          <t>Syndicat interdépartemental pour l'assainissement de l'agglomération parisienne (SIAAP)</t>
        </is>
      </c>
      <c r="E37" t="inlineStr"/>
      <c r="F37" t="inlineStr"/>
      <c r="G37" t="inlineStr"/>
      <c r="H37" t="inlineStr"/>
      <c r="I37" t="inlineStr">
        <is>
          <t>publications-joue@aws-france.com</t>
        </is>
      </c>
      <c r="J37" t="inlineStr">
        <is>
          <t>+33480041260</t>
        </is>
      </c>
      <c r="K37" t="inlineStr"/>
      <c r="L37" t="inlineStr"/>
      <c r="M37" t="inlineStr"/>
      <c r="N37" t="inlineStr">
        <is>
          <t>75</t>
        </is>
      </c>
      <c r="O37" t="inlineStr"/>
      <c r="P37" t="inlineStr">
        <is>
          <t>Ile-de-France</t>
        </is>
      </c>
      <c r="Q37" s="15" t="n">
        <v>46198</v>
      </c>
      <c r="R37" s="15" t="n">
        <v>46218</v>
      </c>
      <c r="S37" t="inlineStr"/>
      <c r="T37" t="inlineStr">
        <is>
          <t>A_VERIFIER_BUDGET</t>
        </is>
      </c>
      <c r="U37" t="inlineStr"/>
      <c r="V37" t="inlineStr">
        <is>
          <t>non</t>
        </is>
      </c>
      <c r="W37" t="inlineStr">
        <is>
          <t>Batiments</t>
        </is>
      </c>
      <c r="X37" t="inlineStr">
        <is>
          <t>Autre</t>
        </is>
      </c>
      <c r="Y37" t="inlineStr">
        <is>
          <t>SERVICES</t>
        </is>
      </c>
      <c r="Z37" t="inlineStr">
        <is>
          <t>Procédure Ouverte</t>
        </is>
      </c>
      <c r="AA37" t="inlineStr">
        <is>
          <t>Avis de marché</t>
        </is>
      </c>
      <c r="AB37" t="inlineStr">
        <is>
          <t>Nettoyage de locaux, Prestations de services</t>
        </is>
      </c>
      <c r="AC37" t="inlineStr"/>
      <c r="AD37" s="11" t="inlineStr">
        <is>
          <t>https://www.boamp.fr/pages/avis/?q=idweb:26-62297</t>
        </is>
      </c>
      <c r="AE37" t="inlineStr">
        <is>
          <t>https://www.marches-publics.info/mpiaws/index.cfm?fuseaction=dematEnt.login&amp;amp;type=DCE&amp;amp;IDM=1840671</t>
        </is>
      </c>
      <c r="AF37" t="inlineStr">
        <is>
          <t>https://www.marches-publics.info/mpiaws/index.cfm?fuseaction=dematEnt.login&amp;amp;type=DCE&amp;amp;IDM=1840671</t>
        </is>
      </c>
      <c r="AG37" t="inlineStr">
        <is>
          <t>nettoyage</t>
        </is>
      </c>
      <c r="AH37" t="inlineStr">
        <is>
          <t>2</t>
        </is>
      </c>
      <c r="AI37" t="inlineStr">
        <is>
          <t>58</t>
        </is>
      </c>
      <c r="AJ37" t="inlineStr">
        <is>
          <t>INFO_PARTIELLE</t>
        </is>
      </c>
      <c r="AK37" t="inlineStr">
        <is>
          <t>50</t>
        </is>
      </c>
      <c r="AL37" t="inlineStr">
        <is>
          <t>TIEDE</t>
        </is>
      </c>
      <c r="AM37" t="inlineStr"/>
      <c r="AN37" t="inlineStr"/>
      <c r="AO37" t="inlineStr"/>
      <c r="AP37" t="inlineStr"/>
      <c r="AQ37" t="inlineStr">
        <is>
          <t>IA_BUDGET_A_VERIFIER</t>
        </is>
      </c>
      <c r="AR37" t="inlineStr">
        <is>
          <t>Verifier le budget dans l'avis source ou le DCE avant decision commerciale.</t>
        </is>
      </c>
      <c r="AS37" t="inlineStr">
        <is>
          <t>SIRET, adresse, ville, budget</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26-62297. Objet: Nettoyage des locaux du siège du SIAAP. Acheteur: Syndicat interdépartemental pour l'assainissement de l'agglomération parisienne (SIAAP). Lien: https://www.boamp.fr/pages/avis/?q=idweb:26-62297.</t>
        </is>
      </c>
      <c r="AU37" t="inlineStr">
        <is>
          <t>Verifier url_avis et DCE si disponible</t>
        </is>
      </c>
      <c r="AV37" t="inlineStr">
        <is>
          <t>LIEN_SEUL</t>
        </is>
      </c>
      <c r="AW37" t="inlineStr"/>
      <c r="AX37" t="inlineStr"/>
      <c r="AY37" t="inlineStr"/>
      <c r="AZ37" t="inlineStr"/>
      <c r="BA37" t="inlineStr"/>
      <c r="BB37" t="inlineStr">
        <is>
          <t>+35 nettoyage + categorie claire | +10 budget non affiche (a verifier) | +5 delai court 12j</t>
        </is>
      </c>
      <c r="BC37" t="inlineStr">
        <is>
          <t>Syndicat interdépartemental pour l'assainissement de l'agglomération parisienne (SIAAP) publie un AO potentiellement pertinent pour CHRUTH : Nettoyage des locaux du siège du SIAAP. Zone : 75. Budget a verifier. Verifier le lien source avant contact.</t>
        </is>
      </c>
      <c r="BD37" t="inlineStr">
        <is>
          <t>Bonjour,
Je me permets de vous contacter au sujet de votre appel d'offres : Nettoyage des locaux du siège du SIAAP.
CHRUTH accompagne les structures publiques et privées sur les besoins de nettoyage, d'entretien des locaux et d'organisation de prestations de service.
Serait-il possible d'échanger rapidement afin de vérifier les modalités de réponse et les attentes de Syndicat interdépartemental pour l'assainissement de l'agglomération parisienne (SIAAP) ?
Cordialement,</t>
        </is>
      </c>
      <c r="BE37" t="inlineStr">
        <is>
          <t>Bonjour, je vous appelle concernant un appel d'offres publié par Syndicat interdépartemental pour l'assainissement de l'agglomération parisienne (SIAAP). Je souhaite vérifier les informations pratiques : périmètre des prestations, date limite, modalités de visite, contact technique et pièces attendues. Pouvez-vous m'indiquer la bonne personne à contacter ?</t>
        </is>
      </c>
      <c r="BF37" t="inlineStr"/>
      <c r="BG37" t="inlineStr"/>
      <c r="BH37" t="inlineStr"/>
      <c r="BI37" t="inlineStr"/>
      <c r="BJ37" t="inlineStr"/>
      <c r="BK37" t="inlineStr"/>
      <c r="BL37" t="inlineStr"/>
      <c r="BM37" t="inlineStr">
        <is>
          <t>2026-W26</t>
        </is>
      </c>
    </row>
    <row r="38">
      <c r="A38" t="inlineStr">
        <is>
          <t>BOAMP</t>
        </is>
      </c>
      <c r="B38" t="inlineStr">
        <is>
          <t>26-61419</t>
        </is>
      </c>
      <c r="C38" t="inlineStr">
        <is>
          <t>Prestations de mise en propreté et la gestion des déchets du réseau routier national et de ses dépendances gérés par les 4 arrondissements de la DiRIF</t>
        </is>
      </c>
      <c r="D38" t="inlineStr">
        <is>
          <t>Direction régionale et interdépartementale de l'Environnement, de l'Aménagement et des Transports d'Ile-de-France (DRIEAT-IF)</t>
        </is>
      </c>
      <c r="E38" t="inlineStr">
        <is>
          <t>13002932500011</t>
        </is>
      </c>
      <c r="F38" t="inlineStr">
        <is>
          <t>130029325</t>
        </is>
      </c>
      <c r="G38" t="inlineStr"/>
      <c r="H38" t="inlineStr"/>
      <c r="I38" t="inlineStr">
        <is>
          <t>dcppa.sg.drieat-if@developpement-durable.gouv.fr</t>
        </is>
      </c>
      <c r="J38" t="inlineStr">
        <is>
          <t>0293250001</t>
        </is>
      </c>
      <c r="K38" t="inlineStr"/>
      <c r="L38" t="inlineStr"/>
      <c r="M38" t="inlineStr"/>
      <c r="N38" t="inlineStr">
        <is>
          <t>75,77,78,91,92,93,94,95</t>
        </is>
      </c>
      <c r="O38" t="inlineStr"/>
      <c r="P38" t="inlineStr">
        <is>
          <t>Ile-de-France</t>
        </is>
      </c>
      <c r="Q38" s="15" t="n">
        <v>46197</v>
      </c>
      <c r="R38" s="15" t="n">
        <v>46237</v>
      </c>
      <c r="S38" t="inlineStr"/>
      <c r="T38" t="inlineStr">
        <is>
          <t>A_VERIFIER_BUDGET</t>
        </is>
      </c>
      <c r="U38" t="inlineStr"/>
      <c r="V38" t="inlineStr">
        <is>
          <t>non</t>
        </is>
      </c>
      <c r="W38" t="inlineStr">
        <is>
          <t>Mixte/Autre</t>
        </is>
      </c>
      <c r="X38" t="inlineStr">
        <is>
          <t>Autre</t>
        </is>
      </c>
      <c r="Y38" t="inlineStr">
        <is>
          <t>SERVICES</t>
        </is>
      </c>
      <c r="Z38" t="inlineStr">
        <is>
          <t>Procédure Ouverte</t>
        </is>
      </c>
      <c r="AA38" t="inlineStr">
        <is>
          <t>Avis de marché</t>
        </is>
      </c>
      <c r="AB38" t="inlineStr">
        <is>
          <t>Déchets non ménagers (prestations), Prestations de services</t>
        </is>
      </c>
      <c r="AC38" t="inlineStr">
        <is>
          <t>['sociaux', 'environnementaux']</t>
        </is>
      </c>
      <c r="AD38" s="11" t="inlineStr">
        <is>
          <t>https://www.boamp.fr/pages/avis/?q=idweb:26-61419</t>
        </is>
      </c>
      <c r="AE38" t="inlineStr">
        <is>
          <t>https://www.marches-publics.gouv.fr/entreprise</t>
        </is>
      </c>
      <c r="AF38" t="inlineStr">
        <is>
          <t>https://www.marches-publics.gouv.fr/entreprise</t>
        </is>
      </c>
      <c r="AG38" t="inlineStr">
        <is>
          <t>nettoyage, proprete</t>
        </is>
      </c>
      <c r="AH38" t="inlineStr">
        <is>
          <t>3</t>
        </is>
      </c>
      <c r="AI38" t="inlineStr">
        <is>
          <t>76</t>
        </is>
      </c>
      <c r="AJ38" t="inlineStr">
        <is>
          <t>INFO_PARTIELLE</t>
        </is>
      </c>
      <c r="AK38" t="inlineStr">
        <is>
          <t>50</t>
        </is>
      </c>
      <c r="AL38" t="inlineStr">
        <is>
          <t>TIEDE</t>
        </is>
      </c>
      <c r="AM38" t="inlineStr"/>
      <c r="AN38" t="inlineStr"/>
      <c r="AO38" t="inlineStr"/>
      <c r="AP38" t="inlineStr"/>
      <c r="AQ38" t="inlineStr">
        <is>
          <t>IA_BUDGET_A_VERIFIER</t>
        </is>
      </c>
      <c r="AR38" t="inlineStr">
        <is>
          <t>Verifier le budget dans l'avis source ou le DCE avant decision commerciale.</t>
        </is>
      </c>
      <c r="AS38" t="inlineStr">
        <is>
          <t>adresse, ville, budget</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26-61419. Objet: Prestations de mise en propreté et la gestion des déchets du réseau routier national et de ses dépendances gérés par les 4 arrondissements de la DiRIF. Acheteur: Direction régionale et interdépartementale de l'Environnement, de l'Aménagement et des Transports d'Ile-de-France (DRIEAT-IF). Lien: https://www.boamp.fr/pages/avis/?q=idweb:26-61419.</t>
        </is>
      </c>
      <c r="AU38" t="inlineStr">
        <is>
          <t>Verifier url_avis et DCE si disponible</t>
        </is>
      </c>
      <c r="AV38" t="inlineStr"/>
      <c r="AW38" t="inlineStr"/>
      <c r="AX38" t="inlineStr"/>
      <c r="AY38" t="inlineStr"/>
      <c r="AZ38" t="inlineStr"/>
      <c r="BA38" t="inlineStr"/>
      <c r="BB38" t="inlineStr">
        <is>
          <t>+30 mots-cles nettoyage forts | +10 budget non affiche (a verifier) | +10 delai confortable 28j</t>
        </is>
      </c>
      <c r="BC38" t="inlineStr">
        <is>
          <t>Direction régionale et interdépartementale de l'Environnement, de l'Aménagement et des Transports d'Ile-de-France (DRIEAT-IF) publie un AO potentiellement pertinent pour CHRUTH : Prestations de mise en propreté et la gestion des déchets du réseau routier national et de ses dépendances gérés par les 4 arrondissements de la DiRIF. Zone : 75,77,78,91,92,93,94,95. Budget a verifier. Verifier le lien source avant contact.</t>
        </is>
      </c>
      <c r="BD38" t="inlineStr">
        <is>
          <t>Bonjour,
Je me permets de vous contacter au sujet de votre appel d'offres : Prestations de mise en propreté et la gestion des déchets du réseau routier national et de ses dépendances gérés par les 4 arrondissements de la DiRIF.
CHRUTH accompagne les structures publiques et privées sur les besoins de nettoyage, d'entretien des locaux et d'organisation de prestations de service.
Serait-il possible d'échanger rapidement afin de vérifier les modalités de réponse et les attentes de Direction régionale et interdépartementale de l'Environnement, de l'Aménagement et des Transports d'Ile-de-France (DRIEAT-IF) ?
Cordialement,</t>
        </is>
      </c>
      <c r="BE38" t="inlineStr">
        <is>
          <t>Bonjour, je vous appelle concernant un appel d'offres publié par Direction régionale et interdépartementale de l'Environnement, de l'Aménagement et des Transports d'Ile-de-France (DRIEAT-IF).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2026-W26</t>
        </is>
      </c>
    </row>
    <row r="39">
      <c r="A39" t="inlineStr">
        <is>
          <t>BOAMP</t>
        </is>
      </c>
      <c r="B39" t="inlineStr">
        <is>
          <t>26-61287</t>
        </is>
      </c>
      <c r="C39" t="inlineStr">
        <is>
          <t>Gestion et entretien des trois aires d'accueil des gens du voyage communautaires</t>
        </is>
      </c>
      <c r="D39" t="inlineStr">
        <is>
          <t>Communauté d'agglomération Plaine Vallée</t>
        </is>
      </c>
      <c r="E39" t="inlineStr">
        <is>
          <t>20005638000013</t>
        </is>
      </c>
      <c r="F39" t="inlineStr">
        <is>
          <t>200056380</t>
        </is>
      </c>
      <c r="G39" t="inlineStr"/>
      <c r="H39" t="inlineStr"/>
      <c r="I39" t="inlineStr">
        <is>
          <t>contact@agglo-plainevallee.fr</t>
        </is>
      </c>
      <c r="J39" t="inlineStr">
        <is>
          <t>0563800001</t>
        </is>
      </c>
      <c r="K39" t="inlineStr"/>
      <c r="L39" t="inlineStr"/>
      <c r="M39" t="inlineStr"/>
      <c r="N39" t="inlineStr">
        <is>
          <t>95</t>
        </is>
      </c>
      <c r="O39" t="inlineStr"/>
      <c r="P39" t="inlineStr">
        <is>
          <t>Ile-de-France</t>
        </is>
      </c>
      <c r="Q39" s="15" t="n">
        <v>46194</v>
      </c>
      <c r="R39" s="15" t="n">
        <v>46225</v>
      </c>
      <c r="S39" t="inlineStr"/>
      <c r="T39" t="inlineStr">
        <is>
          <t>A_VERIFIER_BUDGET</t>
        </is>
      </c>
      <c r="U39" t="inlineStr"/>
      <c r="V39" t="inlineStr">
        <is>
          <t>non</t>
        </is>
      </c>
      <c r="W39" t="inlineStr">
        <is>
          <t>Mixte/Autre</t>
        </is>
      </c>
      <c r="X39" t="inlineStr">
        <is>
          <t>Autre</t>
        </is>
      </c>
      <c r="Y39" t="inlineStr">
        <is>
          <t>SERVICES</t>
        </is>
      </c>
      <c r="Z39" t="inlineStr">
        <is>
          <t>Procédure Ouverte</t>
        </is>
      </c>
      <c r="AA39" t="inlineStr">
        <is>
          <t>Avis de marché</t>
        </is>
      </c>
      <c r="AB39" t="inlineStr">
        <is>
          <t>Prestations de services</t>
        </is>
      </c>
      <c r="AC39" t="inlineStr"/>
      <c r="AD39" s="11" t="inlineStr">
        <is>
          <t>https://www.boamp.fr/pages/avis/?q=idweb:26-61287</t>
        </is>
      </c>
      <c r="AE39" t="inlineStr">
        <is>
          <t>https://www.achatpublic.com/sdm/ent/gen/ent_detail.do?PCSLID=CSL_2026_8zWAXknio-</t>
        </is>
      </c>
      <c r="AF39" t="inlineStr">
        <is>
          <t>https://www.achatpublic.com/sdm/ent/gen/ent_detail.do?PCSLID=CSL_2026_8zWAXknio-</t>
        </is>
      </c>
      <c r="AG39" t="inlineStr">
        <is>
          <t>nettoyage</t>
        </is>
      </c>
      <c r="AH39" t="inlineStr">
        <is>
          <t>3</t>
        </is>
      </c>
      <c r="AI39" t="inlineStr">
        <is>
          <t>68</t>
        </is>
      </c>
      <c r="AJ39" t="inlineStr">
        <is>
          <t>INFO_PARTIELLE</t>
        </is>
      </c>
      <c r="AK39" t="inlineStr">
        <is>
          <t>50</t>
        </is>
      </c>
      <c r="AL39" t="inlineStr">
        <is>
          <t>TIEDE</t>
        </is>
      </c>
      <c r="AM39" t="inlineStr"/>
      <c r="AN39" t="inlineStr"/>
      <c r="AO39" t="inlineStr"/>
      <c r="AP39" t="inlineStr"/>
      <c r="AQ39" t="inlineStr">
        <is>
          <t>IA_BUDGET_A_VERIFIER</t>
        </is>
      </c>
      <c r="AR39" t="inlineStr">
        <is>
          <t>Verifier le budget dans l'avis source ou le DCE avant decision commerciale.</t>
        </is>
      </c>
      <c r="AS39" t="inlineStr">
        <is>
          <t>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26-61287. Objet: Gestion et entretien des trois aires d'accueil des gens du voyage communautaires. Acheteur: Communauté d'agglomération Plaine Vallée. Lien: https://www.boamp.fr/pages/avis/?q=idweb:26-61287.</t>
        </is>
      </c>
      <c r="AU39" t="inlineStr">
        <is>
          <t>Verifier url_avis et DCE si disponible</t>
        </is>
      </c>
      <c r="AV39" t="inlineStr">
        <is>
          <t>LIEN_SEUL</t>
        </is>
      </c>
      <c r="AW39" t="inlineStr"/>
      <c r="AX39" t="inlineStr"/>
      <c r="AY39" t="inlineStr"/>
      <c r="AZ39" t="inlineStr"/>
      <c r="BA39" t="inlineStr"/>
      <c r="BB39" t="inlineStr">
        <is>
          <t>+30 mots-cles nettoyage forts | +10 budget non affiche (a verifier) | +10 delai confortable 19j</t>
        </is>
      </c>
      <c r="BC39" t="inlineStr">
        <is>
          <t>Communauté d'agglomération Plaine Vallée publie un AO potentiellement pertinent pour CHRUTH : Gestion et entretien des trois aires d'accueil des gens du voyage communautaires. Zone : 95. Budget a verifier. Verifier le lien source avant contact.</t>
        </is>
      </c>
      <c r="BD39" t="inlineStr">
        <is>
          <t>Bonjour,
Je me permets de vous contacter au sujet de votre appel d'offres : Gestion et entretien des trois aires d'accueil des gens du voyage communautaires.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Plaine Vallée ?
Cordialement,</t>
        </is>
      </c>
      <c r="BE39" t="inlineStr">
        <is>
          <t>Bonjour, je vous appelle concernant un appel d'offres publié par Communauté d'agglomération Plaine Vallée. Je souhaite vérifier les informations pratiques : périmètre des prestations, date limite, modalités de visite, contact technique et pièces attendues. Pouvez-vous m'indiquer la bonne personne à contacter ?</t>
        </is>
      </c>
      <c r="BF39" t="inlineStr"/>
      <c r="BG39" t="inlineStr"/>
      <c r="BH39" t="inlineStr"/>
      <c r="BI39" t="inlineStr"/>
      <c r="BJ39" t="inlineStr"/>
      <c r="BK39" t="inlineStr"/>
      <c r="BL39" t="inlineStr"/>
      <c r="BM39" t="inlineStr">
        <is>
          <t>2026-W25</t>
        </is>
      </c>
    </row>
    <row r="40">
      <c r="A40" t="inlineStr">
        <is>
          <t>BOAMP</t>
        </is>
      </c>
      <c r="B40" t="inlineStr">
        <is>
          <t>26-57313</t>
        </is>
      </c>
      <c r="C40" t="inlineStr">
        <is>
          <t>Entretien des toitures et des terrasses des sites : H. MONDOR – A. CHENEVIER – E. ROUX – DUPUYTREN – G. CLEMENCEAU</t>
        </is>
      </c>
      <c r="D40" t="inlineStr">
        <is>
          <t>Hopitaux Universitaires Henri Mondor</t>
        </is>
      </c>
      <c r="E40" t="inlineStr">
        <is>
          <t>26750045200557</t>
        </is>
      </c>
      <c r="F40" t="inlineStr">
        <is>
          <t>267500452</t>
        </is>
      </c>
      <c r="G40" t="inlineStr"/>
      <c r="H40" t="inlineStr"/>
      <c r="I40" t="inlineStr">
        <is>
          <t>eddy-pierrick.nsana@aphp.fr</t>
        </is>
      </c>
      <c r="J40" t="inlineStr">
        <is>
          <t>0145178465</t>
        </is>
      </c>
      <c r="K40" t="inlineStr"/>
      <c r="L40" t="inlineStr"/>
      <c r="M40" t="inlineStr"/>
      <c r="N40" t="inlineStr">
        <is>
          <t>75,77,78,91,92,93,94,95</t>
        </is>
      </c>
      <c r="O40" t="inlineStr"/>
      <c r="P40" t="inlineStr">
        <is>
          <t>Ile-de-France</t>
        </is>
      </c>
      <c r="Q40" s="15" t="n">
        <v>46185</v>
      </c>
      <c r="R40" s="15" t="n">
        <v>46219</v>
      </c>
      <c r="S40" t="inlineStr"/>
      <c r="T40" t="inlineStr">
        <is>
          <t>A_VERIFIER_BUDGET</t>
        </is>
      </c>
      <c r="U40" t="inlineStr"/>
      <c r="V40" t="inlineStr">
        <is>
          <t>non</t>
        </is>
      </c>
      <c r="W40" t="inlineStr">
        <is>
          <t>Mixte/Autre</t>
        </is>
      </c>
      <c r="X40" t="inlineStr">
        <is>
          <t>Autre</t>
        </is>
      </c>
      <c r="Y40" t="inlineStr">
        <is>
          <t>SERVICES</t>
        </is>
      </c>
      <c r="Z40" t="inlineStr">
        <is>
          <t>Procédure Ouverte</t>
        </is>
      </c>
      <c r="AA40" t="inlineStr">
        <is>
          <t>Avis de marché</t>
        </is>
      </c>
      <c r="AB40" t="inlineStr">
        <is>
          <t>Terrasse</t>
        </is>
      </c>
      <c r="AC40" t="inlineStr">
        <is>
          <t>['environnementaux']</t>
        </is>
      </c>
      <c r="AD40" s="11" t="inlineStr">
        <is>
          <t>https://www.boamp.fr/pages/avis/?q=idweb:26-57313</t>
        </is>
      </c>
      <c r="AE40" t="inlineStr">
        <is>
          <t>https://www.marches-publics.gouv.fr/?page=Entreprise.EntrepriseAdvancedSearch&amp;AllCons&amp;id=3014984&amp;orgAcronyme=x7c</t>
        </is>
      </c>
      <c r="AF40" t="inlineStr">
        <is>
          <t>https://www.marches-publics.gouv.fr/?page=Entreprise.EntrepriseAdvancedSearch&amp;AllCons&amp;id=3014984&amp;orgAcronyme=x7c</t>
        </is>
      </c>
      <c r="AG40" t="inlineStr">
        <is>
          <t>nettoyage</t>
        </is>
      </c>
      <c r="AH40" t="inlineStr">
        <is>
          <t>3</t>
        </is>
      </c>
      <c r="AI40" t="inlineStr">
        <is>
          <t>68</t>
        </is>
      </c>
      <c r="AJ40" t="inlineStr">
        <is>
          <t>INFO_PARTIELLE</t>
        </is>
      </c>
      <c r="AK40" t="inlineStr">
        <is>
          <t>50</t>
        </is>
      </c>
      <c r="AL40" t="inlineStr">
        <is>
          <t>TIEDE</t>
        </is>
      </c>
      <c r="AM40" t="inlineStr"/>
      <c r="AN40" t="inlineStr"/>
      <c r="AO40" t="inlineStr"/>
      <c r="AP40" t="inlineStr"/>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26-57313. Objet: Entretien des toitures et des terrasses des sites : H. MONDOR – A. CHENEVIER – E. ROUX – DUPUYTREN – G. CLEMENCEAU. Acheteur: Hopitaux Universitaires Henri Mondor. Lien: https://www.boamp.fr/pages/avis/?q=idweb:26-57313.</t>
        </is>
      </c>
      <c r="AU40" t="inlineStr">
        <is>
          <t>Verifier url_avis et DCE si disponible</t>
        </is>
      </c>
      <c r="AV40" t="inlineStr">
        <is>
          <t>LIEN_SEUL</t>
        </is>
      </c>
      <c r="AW40" t="inlineStr"/>
      <c r="AX40" t="inlineStr"/>
      <c r="AY40" t="inlineStr"/>
      <c r="AZ40" t="inlineStr"/>
      <c r="BA40" t="inlineStr"/>
      <c r="BB40" t="inlineStr">
        <is>
          <t>+30 mots-cles nettoyage forts | +10 budget non affiche (a verifier) | +10 delai confortable 24j</t>
        </is>
      </c>
      <c r="BC40" t="inlineStr">
        <is>
          <t>Hopitaux Universitaires Henri Mondor publie un AO potentiellement pertinent pour CHRUTH : Entretien des toitures et des terrasses des sites : H. MONDOR – A. CHENEVIER – E. ROUX – DUPUYTREN – G. CLEMENCEAU. Zone : 75,77,78,91,92,93,94,95. Budget a verifier. Verifier le lien source avant contact.</t>
        </is>
      </c>
      <c r="BD40" t="inlineStr">
        <is>
          <t>Bonjour,
Je me permets de vous contacter au sujet de votre appel d'offres : Entretien des toitures et des terrasses des sites : H. MONDOR – A. CHENEVIER – E. ROUX – DUPUYTREN – G. CLEMENCEAU.
CHRUTH accompagne les structures publiques et privees sur les besoins de nettoyage, d'entretien des locaux et d'organisation de prestations de service.
Serait-il possible d'echanger rapidement afin de verifier les modalites de reponse et les attentes de Hopitaux Universitaires Henri Mondor ?
Cordialement,</t>
        </is>
      </c>
      <c r="BE40" t="inlineStr">
        <is>
          <t>Bonjour, je vous appelle concernant un appel d'offres publie par Hopitaux Universitaires Henri Mondor. Je souhaite verifier les informations pratiques : perimetre des prestations, date limite, modalites de visite, contact technique et pieces attendues. Pouvez-vous m'indiquer la bonne personne a contacter ?</t>
        </is>
      </c>
      <c r="BF40" t="inlineStr"/>
      <c r="BG40" t="inlineStr"/>
      <c r="BH40" t="inlineStr"/>
      <c r="BI40" t="inlineStr"/>
      <c r="BJ40" t="inlineStr"/>
      <c r="BK40" t="inlineStr"/>
      <c r="BL40" t="inlineStr"/>
      <c r="BM40" t="inlineStr">
        <is>
          <t>2026-W24</t>
        </is>
      </c>
    </row>
    <row r="41">
      <c r="A41" t="inlineStr">
        <is>
          <t>BOAMP</t>
        </is>
      </c>
      <c r="B41" t="inlineStr">
        <is>
          <t>26-56245</t>
        </is>
      </c>
      <c r="C41" t="inlineStr">
        <is>
          <t>PRESTATION DE NETTOYAGE DES LOCAUX DU CREPS ÎLE-DE-FRANCE</t>
        </is>
      </c>
      <c r="D41" t="inlineStr">
        <is>
          <t>CREPS Île-de-France</t>
        </is>
      </c>
      <c r="E41" t="inlineStr">
        <is>
          <t>19921619300037</t>
        </is>
      </c>
      <c r="F41" t="inlineStr">
        <is>
          <t>199216193</t>
        </is>
      </c>
      <c r="G41" t="inlineStr"/>
      <c r="H41" t="inlineStr"/>
      <c r="I41" t="inlineStr">
        <is>
          <t>accueil@creps-idf.fr</t>
        </is>
      </c>
      <c r="J41" t="inlineStr">
        <is>
          <t>+33 141872030</t>
        </is>
      </c>
      <c r="K41" t="inlineStr"/>
      <c r="L41" t="inlineStr"/>
      <c r="M41" t="inlineStr"/>
      <c r="N41" t="inlineStr">
        <is>
          <t>92</t>
        </is>
      </c>
      <c r="O41" t="inlineStr"/>
      <c r="P41" t="inlineStr">
        <is>
          <t>Ile-de-France</t>
        </is>
      </c>
      <c r="Q41" s="15" t="n">
        <v>46182</v>
      </c>
      <c r="R41" s="15" t="n">
        <v>46205</v>
      </c>
      <c r="S41" t="inlineStr"/>
      <c r="T41" t="inlineStr">
        <is>
          <t>A_VERIFIER_BUDGET</t>
        </is>
      </c>
      <c r="U41" t="inlineStr"/>
      <c r="V41" t="inlineStr">
        <is>
          <t>non</t>
        </is>
      </c>
      <c r="W41" t="inlineStr">
        <is>
          <t>Vitres</t>
        </is>
      </c>
      <c r="X41" t="inlineStr">
        <is>
          <t>Autre</t>
        </is>
      </c>
      <c r="Y41" t="inlineStr">
        <is>
          <t>SERVICES</t>
        </is>
      </c>
      <c r="Z41" t="inlineStr">
        <is>
          <t>Procédure Ouverte</t>
        </is>
      </c>
      <c r="AA41" t="inlineStr">
        <is>
          <t>Avis de marché</t>
        </is>
      </c>
      <c r="AB41" t="inlineStr">
        <is>
          <t>Nettoyage de locaux</t>
        </is>
      </c>
      <c r="AC41" t="inlineStr"/>
      <c r="AD41" s="11" t="inlineStr">
        <is>
          <t>https://www.boamp.fr/pages/avis/?q=idweb:26-56245</t>
        </is>
      </c>
      <c r="AE41" t="inlineStr">
        <is>
          <t>https://marches.maximilien.fr/entreprise/consultation/940630?orgAcronyme=a0t</t>
        </is>
      </c>
      <c r="AF41" t="inlineStr">
        <is>
          <t>https://marches.maximilien.fr/entreprise/consultation/940630?orgAcronyme=a0t</t>
        </is>
      </c>
      <c r="AG41" t="inlineStr">
        <is>
          <t>nettoyage</t>
        </is>
      </c>
      <c r="AH41" t="inlineStr">
        <is>
          <t>3</t>
        </is>
      </c>
      <c r="AI41" t="inlineStr">
        <is>
          <t>68</t>
        </is>
      </c>
      <c r="AJ41" t="inlineStr">
        <is>
          <t>INFO_PARTIELLE</t>
        </is>
      </c>
      <c r="AK41" t="inlineStr">
        <is>
          <t>50</t>
        </is>
      </c>
      <c r="AL41" t="inlineStr">
        <is>
          <t>TIEDE</t>
        </is>
      </c>
      <c r="AM41" t="inlineStr"/>
      <c r="AN41" t="inlineStr"/>
      <c r="AO41" t="inlineStr"/>
      <c r="AP41" t="inlineStr"/>
      <c r="AQ41" t="inlineStr">
        <is>
          <t>IA_BUDGET_A_VERIFIER</t>
        </is>
      </c>
      <c r="AR41" t="inlineStr">
        <is>
          <t>Verifier le budget dans l'avis source ou le DCE avant decision commerciale.</t>
        </is>
      </c>
      <c r="AS41" t="inlineStr">
        <is>
          <t>adresse, ville, budget</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26-56245. Objet: PRESTATION DE NETTOYAGE DES LOCAUX DU CREPS ÎLE-DE-FRANCE. Acheteur: CREPS Île-de-France. Lien: https://www.boamp.fr/pages/avis/?q=idweb:26-56245.</t>
        </is>
      </c>
      <c r="AU41" t="inlineStr">
        <is>
          <t>Verifier url_avis et DCE si disponible</t>
        </is>
      </c>
      <c r="AV41" t="inlineStr">
        <is>
          <t>LIEN_SEUL</t>
        </is>
      </c>
      <c r="AW41" t="inlineStr"/>
      <c r="AX41" t="inlineStr"/>
      <c r="AY41" t="inlineStr"/>
      <c r="AZ41" t="inlineStr"/>
      <c r="BA41" t="inlineStr"/>
      <c r="BB41" t="inlineStr">
        <is>
          <t>+35 nettoyage + categorie claire | +10 budget non affiche (a verifier) | +5 delai court 10j</t>
        </is>
      </c>
      <c r="BC41" t="inlineStr">
        <is>
          <t>CREPS Île-de-France publie un AO potentiellement pertinent pour CHRUTH : PRESTATION DE NETTOYAGE DES LOCAUX DU CREPS ÎLE-DE-FRANCE. Zone : 92. Budget a verifier. Verifier le lien source avant contact.</t>
        </is>
      </c>
      <c r="BD41" t="inlineStr">
        <is>
          <t>Bonjour,
Je me permets de vous contacter au sujet de votre appel d'offres : PRESTATION DE NETTOYAGE DES LOCAUX DU CREPS ÎLE-DE-FRANCE.
CHRUTH accompagne les structures publiques et privees sur les besoins de nettoyage, d'entretien des locaux et d'organisation de prestations de service.
Serait-il possible d'echanger rapidement afin de verifier les modalites de reponse et les attentes de CREPS Île-de-France ?
Cordialement,</t>
        </is>
      </c>
      <c r="BE41" t="inlineStr">
        <is>
          <t>Bonjour, je vous appelle concernant un appel d'offres publie par CREPS Île-de-France. Je souhaite verifier les informations pratiques : perimetre des prestations, date limite, modalites de visite, contact technique et pieces attendues. Pouvez-vous m'indiquer la bonne personne a contacter ?</t>
        </is>
      </c>
      <c r="BF41" t="inlineStr"/>
      <c r="BG41" t="inlineStr"/>
      <c r="BH41" t="inlineStr"/>
      <c r="BI41" t="inlineStr"/>
      <c r="BJ41" t="inlineStr"/>
      <c r="BK41" t="inlineStr"/>
      <c r="BL41" t="inlineStr"/>
      <c r="BM41" t="inlineStr">
        <is>
          <t>2026-W24</t>
        </is>
      </c>
    </row>
    <row r="42">
      <c r="A42" t="inlineStr">
        <is>
          <t>BOAMP</t>
        </is>
      </c>
      <c r="B42" t="inlineStr">
        <is>
          <t>26-55238</t>
        </is>
      </c>
      <c r="C42" t="inlineStr">
        <is>
          <t>Nettoyage des locaux et des vitres des bâtiments scolaires, communaux et sportifs de la Ville de Poissy (3 lots)</t>
        </is>
      </c>
      <c r="D42" t="inlineStr">
        <is>
          <t>Ville de Poissy</t>
        </is>
      </c>
      <c r="E42" t="inlineStr">
        <is>
          <t>17780005900012</t>
        </is>
      </c>
      <c r="F42" t="inlineStr">
        <is>
          <t>177800059</t>
        </is>
      </c>
      <c r="G42" t="inlineStr"/>
      <c r="H42" t="inlineStr"/>
      <c r="I42" t="inlineStr">
        <is>
          <t>greffe.ta-versailles@juradm.fr</t>
        </is>
      </c>
      <c r="J42" t="inlineStr">
        <is>
          <t>0139205400</t>
        </is>
      </c>
      <c r="K42" t="inlineStr"/>
      <c r="L42" t="inlineStr"/>
      <c r="M42" t="inlineStr"/>
      <c r="N42" t="inlineStr">
        <is>
          <t>78</t>
        </is>
      </c>
      <c r="O42" t="inlineStr"/>
      <c r="P42" t="inlineStr">
        <is>
          <t>Ile-de-France</t>
        </is>
      </c>
      <c r="Q42" s="15" t="n">
        <v>46179</v>
      </c>
      <c r="R42" s="15" t="n">
        <v>46209</v>
      </c>
      <c r="S42" s="14" t="n">
        <v>3000000</v>
      </c>
      <c r="T42" t="inlineStr">
        <is>
          <t>BUDGET_EXPLICITE_OK</t>
        </is>
      </c>
      <c r="U42" t="inlineStr">
        <is>
          <t>3000000</t>
        </is>
      </c>
      <c r="V42" t="inlineStr">
        <is>
          <t>oui</t>
        </is>
      </c>
      <c r="W42" t="inlineStr">
        <is>
          <t>Vitres</t>
        </is>
      </c>
      <c r="X42" t="inlineStr">
        <is>
          <t>Mairie</t>
        </is>
      </c>
      <c r="Y42" t="inlineStr">
        <is>
          <t>SERVICES</t>
        </is>
      </c>
      <c r="Z42" t="inlineStr">
        <is>
          <t>Procédure Ouverte</t>
        </is>
      </c>
      <c r="AA42" t="inlineStr">
        <is>
          <t>Avis de marché</t>
        </is>
      </c>
      <c r="AB42" t="inlineStr">
        <is>
          <t>Nettoyage de locaux</t>
        </is>
      </c>
      <c r="AC42" t="inlineStr">
        <is>
          <t>['sociaux', 'environnementaux']</t>
        </is>
      </c>
      <c r="AD42" s="11" t="inlineStr">
        <is>
          <t>https://www.boamp.fr/pages/avis/?q=idweb:26-55238</t>
        </is>
      </c>
      <c r="AE42" t="inlineStr">
        <is>
          <t>https://www.achatpublic.com/sdm/ent/gen/index.do</t>
        </is>
      </c>
      <c r="AF42" t="inlineStr">
        <is>
          <t>https://www.achatpublic.com/sdm/ent/gen/index.do</t>
        </is>
      </c>
      <c r="AG42" t="inlineStr">
        <is>
          <t>nettoyage</t>
        </is>
      </c>
      <c r="AH42" t="inlineStr">
        <is>
          <t>3</t>
        </is>
      </c>
      <c r="AI42" t="inlineStr">
        <is>
          <t>68</t>
        </is>
      </c>
      <c r="AJ42" t="inlineStr">
        <is>
          <t>INFO_PARTIELLE</t>
        </is>
      </c>
      <c r="AK42" t="inlineStr">
        <is>
          <t>50</t>
        </is>
      </c>
      <c r="AL42" t="inlineStr">
        <is>
          <t>TIEDE</t>
        </is>
      </c>
      <c r="AM42" t="inlineStr"/>
      <c r="AN42" t="inlineStr"/>
      <c r="AO42" t="inlineStr"/>
      <c r="AP42" t="inlineStr"/>
      <c r="AQ42" t="inlineStr">
        <is>
          <t>IA_CONTACT_A_COMPLETER</t>
        </is>
      </c>
      <c r="AR42" t="inlineStr">
        <is>
          <t>Completer les champs manquants depuis l'avis source, le site acheteur ou le DCE.</t>
        </is>
      </c>
      <c r="AS42" t="inlineStr">
        <is>
          <t>adresse, ville</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26-55238. Objet: Nettoyage des locaux et des vitres des bâtiments scolaires, communaux et sportifs de la Ville de Poissy (3 lots). Acheteur: Ville de Poissy. Lien: https://www.boamp.fr/pages/avis/?q=idweb:26-55238.</t>
        </is>
      </c>
      <c r="AU42" t="inlineStr">
        <is>
          <t>Verifier url_avis et DCE si disponible</t>
        </is>
      </c>
      <c r="AV42" t="inlineStr"/>
      <c r="AW42" t="inlineStr"/>
      <c r="AX42" t="inlineStr"/>
      <c r="AY42" t="inlineStr"/>
      <c r="AZ42" t="inlineStr"/>
      <c r="BA42" t="inlineStr"/>
      <c r="BB42" t="inlineStr">
        <is>
          <t>+35 nettoyage + categorie claire | -20 gros budget (&gt; 500 000 EUR) | +15 procedure adaptee / MAPA / allotissement | +10 secteur cible Mairie | +10 delai confortable 16j</t>
        </is>
      </c>
      <c r="BC42" t="inlineStr">
        <is>
          <t>Ville de Poissy publie un AO potentiellement pertinent pour CHRUTH : Nettoyage des locaux et des vitres des bâtiments scolaires, communaux et sportifs de la Ville de Poissy (3 lots). Zone : 78. Budget detecte environ 3 000 000 EUR. Verifier le lien source avant contact.</t>
        </is>
      </c>
      <c r="BD42" t="inlineStr">
        <is>
          <t>Bonjour,
Je me permets de vous contacter au sujet de votre appel d'offres : Nettoyage des locaux et des vitres des bâtiments scolaires, communaux et sportifs de la Ville de Poissy (3 lots).
CHRUTH accompagne les structures publiques et privees sur les besoins de nettoyage, d'entretien des locaux et d'organisation de prestations de service.
Serait-il possible d'echanger rapidement afin de verifier les modalites de reponse et les attentes de Ville de Poissy ?
Cordialement,</t>
        </is>
      </c>
      <c r="BE42" t="inlineStr">
        <is>
          <t>Bonjour, je vous appelle concernant un appel d'offres publie par Ville de Poissy. Je souhaite verifier les informations pratiques : perimetre des prestations, date limite, modalites de visite, contact technique et pieces attendues. Pouvez-vous m'indiquer la bonne personne a contacter ?</t>
        </is>
      </c>
      <c r="BF42" t="inlineStr"/>
      <c r="BG42" t="inlineStr"/>
      <c r="BH42" t="inlineStr"/>
      <c r="BI42" t="inlineStr"/>
      <c r="BJ42" t="inlineStr"/>
      <c r="BK42" t="inlineStr"/>
      <c r="BL42" t="inlineStr"/>
      <c r="BM42" t="inlineStr">
        <is>
          <t>2026-W23</t>
        </is>
      </c>
    </row>
    <row r="43">
      <c r="A43" t="inlineStr">
        <is>
          <t>BOAMP</t>
        </is>
      </c>
      <c r="B43" t="inlineStr">
        <is>
          <t>26-60829</t>
        </is>
      </c>
      <c r="C43" t="inlineStr">
        <is>
          <t>Prestation de propreté des espaces verts de la ville d'Alfortville</t>
        </is>
      </c>
      <c r="D43" t="inlineStr">
        <is>
          <t>Commune d'Alfortville</t>
        </is>
      </c>
      <c r="E43" t="inlineStr">
        <is>
          <t>21940002500017</t>
        </is>
      </c>
      <c r="F43" t="inlineStr">
        <is>
          <t>219400025</t>
        </is>
      </c>
      <c r="G43" t="inlineStr"/>
      <c r="H43" t="inlineStr"/>
      <c r="I43" t="inlineStr">
        <is>
          <t>etienne.ouatiki@alfortville.fr</t>
        </is>
      </c>
      <c r="J43" t="inlineStr">
        <is>
          <t>0158732900</t>
        </is>
      </c>
      <c r="K43" t="inlineStr"/>
      <c r="L43" t="inlineStr"/>
      <c r="M43" t="inlineStr"/>
      <c r="N43" t="inlineStr">
        <is>
          <t>94</t>
        </is>
      </c>
      <c r="O43" t="inlineStr"/>
      <c r="P43" t="inlineStr">
        <is>
          <t>Ile-de-France</t>
        </is>
      </c>
      <c r="Q43" s="15" t="n">
        <v>46194</v>
      </c>
      <c r="R43" s="15" t="n">
        <v>46223</v>
      </c>
      <c r="S43" t="inlineStr"/>
      <c r="T43" t="inlineStr">
        <is>
          <t>A_VERIFIER_BUDGET</t>
        </is>
      </c>
      <c r="U43" t="inlineStr"/>
      <c r="V43" t="inlineStr">
        <is>
          <t>non</t>
        </is>
      </c>
      <c r="W43" t="inlineStr">
        <is>
          <t>Mixte/Autre</t>
        </is>
      </c>
      <c r="X43" t="inlineStr">
        <is>
          <t>Autre</t>
        </is>
      </c>
      <c r="Y43" t="inlineStr">
        <is>
          <t>SERVICES</t>
        </is>
      </c>
      <c r="Z43" t="inlineStr">
        <is>
          <t>Procédure Ouverte</t>
        </is>
      </c>
      <c r="AA43" t="inlineStr">
        <is>
          <t>Avis de marché</t>
        </is>
      </c>
      <c r="AB43" t="inlineStr">
        <is>
          <t>Espaces verts</t>
        </is>
      </c>
      <c r="AC43" t="inlineStr"/>
      <c r="AD43" s="11" t="inlineStr">
        <is>
          <t>https://www.boamp.fr/pages/avis/?q=idweb:26-60829</t>
        </is>
      </c>
      <c r="AE43" t="inlineStr">
        <is>
          <t>https://www.maximilien.fr/</t>
        </is>
      </c>
      <c r="AF43" t="inlineStr">
        <is>
          <t>https://www.maximilien.fr/</t>
        </is>
      </c>
      <c r="AG43" t="inlineStr">
        <is>
          <t>proprete</t>
        </is>
      </c>
      <c r="AH43" t="inlineStr">
        <is>
          <t>3</t>
        </is>
      </c>
      <c r="AI43" t="inlineStr">
        <is>
          <t>68</t>
        </is>
      </c>
      <c r="AJ43" t="inlineStr">
        <is>
          <t>INFO_PARTIELLE</t>
        </is>
      </c>
      <c r="AK43" t="inlineStr">
        <is>
          <t>45</t>
        </is>
      </c>
      <c r="AL43" t="inlineStr">
        <is>
          <t>TIEDE</t>
        </is>
      </c>
      <c r="AM43" t="inlineStr"/>
      <c r="AN43" t="inlineStr"/>
      <c r="AO43" t="inlineStr"/>
      <c r="AP43" t="inlineStr"/>
      <c r="AQ43" t="inlineStr">
        <is>
          <t>IA_BUDGET_A_VERIFIER</t>
        </is>
      </c>
      <c r="AR43" t="inlineStr">
        <is>
          <t>Verifier le budget dans l'avis source ou le DCE avant decision commerciale.</t>
        </is>
      </c>
      <c r="AS43" t="inlineStr">
        <is>
          <t>adresse, ville, budget</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26-60829. Objet: Prestation de propreté des espaces verts de la ville d'Alfortville. Acheteur: Commune d'Alfortville. Lien: https://www.boamp.fr/pages/avis/?q=idweb:26-60829.</t>
        </is>
      </c>
      <c r="AU43" t="inlineStr">
        <is>
          <t>Verifier url_avis et DCE si disponible</t>
        </is>
      </c>
      <c r="AV43" t="inlineStr">
        <is>
          <t>LIEN_SEUL</t>
        </is>
      </c>
      <c r="AW43" t="inlineStr"/>
      <c r="AX43" t="inlineStr"/>
      <c r="AY43" t="inlineStr"/>
      <c r="AZ43" t="inlineStr"/>
      <c r="BA43" t="inlineStr"/>
      <c r="BB43" t="inlineStr">
        <is>
          <t>+30 mots-cles nettoyage forts | +10 budget non affiche (a verifier) | +5 delai court 15j</t>
        </is>
      </c>
      <c r="BC43" t="inlineStr">
        <is>
          <t>Commune d'Alfortville publie un AO potentiellement pertinent pour CHRUTH : Prestation de propreté des espaces verts de la ville d'Alfortville. Zone : 94. Budget a verifier. Verifier le lien source avant contact.</t>
        </is>
      </c>
      <c r="BD43" t="inlineStr">
        <is>
          <t>Bonjour,
Je me permets de vous contacter au sujet de votre appel d'offres : Prestation de propreté des espaces verts de la ville d'Alfortville.
CHRUTH accompagne les structures publiques et privées sur les besoins de nettoyage, d'entretien des locaux et d'organisation de prestations de service.
Serait-il possible d'échanger rapidement afin de vérifier les modalités de réponse et les attentes de Commune d'Alfortville ?
Cordialement,</t>
        </is>
      </c>
      <c r="BE43" t="inlineStr">
        <is>
          <t>Bonjour, je vous appelle concernant un appel d'offres publié par Commune d'Alfortville. Je souhaite vérifier les informations pratiques : périmètre des prestations, date limite, modalités de visite, contact technique et pièces attendues. Pouvez-vous m'indiquer la bonne personne à contacter ?</t>
        </is>
      </c>
      <c r="BF43" t="inlineStr"/>
      <c r="BG43" t="inlineStr"/>
      <c r="BH43" t="inlineStr"/>
      <c r="BI43" t="inlineStr"/>
      <c r="BJ43" t="inlineStr"/>
      <c r="BK43" t="inlineStr"/>
      <c r="BL43" t="inlineStr"/>
      <c r="BM43" t="inlineStr">
        <is>
          <t>2026-W25</t>
        </is>
      </c>
    </row>
    <row r="44">
      <c r="A44" t="inlineStr">
        <is>
          <t>BOAMP</t>
        </is>
      </c>
      <c r="B44" t="inlineStr">
        <is>
          <t>26-61133</t>
        </is>
      </c>
      <c r="C44" t="inlineStr">
        <is>
          <t>Marché de nettoyage de fin de chantier</t>
        </is>
      </c>
      <c r="D44" t="inlineStr">
        <is>
          <t>OPPIC</t>
        </is>
      </c>
      <c r="E44" t="inlineStr">
        <is>
          <t>18009208200023</t>
        </is>
      </c>
      <c r="F44" t="inlineStr">
        <is>
          <t>180092082</t>
        </is>
      </c>
      <c r="G44" t="inlineStr"/>
      <c r="H44" t="inlineStr"/>
      <c r="I44" t="inlineStr">
        <is>
          <t>departement.marches@oppic.fr</t>
        </is>
      </c>
      <c r="J44" t="inlineStr">
        <is>
          <t>0920820002</t>
        </is>
      </c>
      <c r="K44" t="inlineStr"/>
      <c r="L44" t="inlineStr"/>
      <c r="M44" t="inlineStr"/>
      <c r="N44" t="inlineStr">
        <is>
          <t>75,77,78,91,92,93,94,95</t>
        </is>
      </c>
      <c r="O44" t="inlineStr"/>
      <c r="P44" t="inlineStr">
        <is>
          <t>Ile-de-France</t>
        </is>
      </c>
      <c r="Q44" s="15" t="n">
        <v>46194</v>
      </c>
      <c r="R44" s="15" t="n">
        <v>46216</v>
      </c>
      <c r="S44" s="14" t="n">
        <v>100000</v>
      </c>
      <c r="T44" t="inlineStr">
        <is>
          <t>BUDGET_EXPLICITE_OK</t>
        </is>
      </c>
      <c r="U44" t="inlineStr">
        <is>
          <t>200000</t>
        </is>
      </c>
      <c r="V44" t="inlineStr">
        <is>
          <t>oui</t>
        </is>
      </c>
      <c r="W44" t="inlineStr">
        <is>
          <t>Batiments</t>
        </is>
      </c>
      <c r="X44" t="inlineStr">
        <is>
          <t>Autre</t>
        </is>
      </c>
      <c r="Y44" t="inlineStr">
        <is>
          <t>SERVICES</t>
        </is>
      </c>
      <c r="Z44" t="inlineStr">
        <is>
          <t>Procédure Ouverte</t>
        </is>
      </c>
      <c r="AA44" t="inlineStr">
        <is>
          <t>Avis de marché</t>
        </is>
      </c>
      <c r="AB44" t="inlineStr">
        <is>
          <t>Bâtiment, Déchets non ménagers (prestations), Nettoyage de locaux</t>
        </is>
      </c>
      <c r="AC44" t="inlineStr"/>
      <c r="AD44" s="11" t="inlineStr">
        <is>
          <t>https://www.boamp.fr/pages/avis/?q=idweb:26-61133</t>
        </is>
      </c>
      <c r="AE44" t="inlineStr">
        <is>
          <t>https://www.marches-publics.gouv.fr</t>
        </is>
      </c>
      <c r="AF44" t="inlineStr">
        <is>
          <t>https://www.marches-publics.gouv.fr</t>
        </is>
      </c>
      <c r="AG44" t="inlineStr">
        <is>
          <t>nettoyage, menage</t>
        </is>
      </c>
      <c r="AH44" t="inlineStr">
        <is>
          <t>3</t>
        </is>
      </c>
      <c r="AI44" t="inlineStr">
        <is>
          <t>76</t>
        </is>
      </c>
      <c r="AJ44" t="inlineStr">
        <is>
          <t>INFO_PARTIELLE</t>
        </is>
      </c>
      <c r="AK44" t="inlineStr">
        <is>
          <t>45</t>
        </is>
      </c>
      <c r="AL44" t="inlineStr">
        <is>
          <t>TIEDE</t>
        </is>
      </c>
      <c r="AM44" t="inlineStr"/>
      <c r="AN44" t="inlineStr"/>
      <c r="AO44" t="inlineStr"/>
      <c r="AP44" t="inlineStr"/>
      <c r="AQ44" t="inlineStr">
        <is>
          <t>IA_CONTACT_A_COMPLETER</t>
        </is>
      </c>
      <c r="AR44" t="inlineStr">
        <is>
          <t>Completer les champs manquants depuis l'avis source, le site acheteur ou le DCE.</t>
        </is>
      </c>
      <c r="AS44" t="inlineStr">
        <is>
          <t>adresse, ville</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26-61133. Objet: Marché de nettoyage de fin de chantier. Acheteur: OPPIC. Lien: https://www.boamp.fr/pages/avis/?q=idweb:26-61133.</t>
        </is>
      </c>
      <c r="AU44" t="inlineStr">
        <is>
          <t>Verifier url_avis et DCE si disponible</t>
        </is>
      </c>
      <c r="AV44" t="inlineStr"/>
      <c r="AW44" t="inlineStr"/>
      <c r="AX44" t="inlineStr"/>
      <c r="AY44" t="inlineStr"/>
      <c r="AZ44" t="inlineStr"/>
      <c r="BA44" t="inlineStr"/>
      <c r="BB44" t="inlineStr">
        <is>
          <t>+35 nettoyage + categorie claire | +5 budget annualise &lt;= 200 000 EUR | +5 delai court 8j</t>
        </is>
      </c>
      <c r="BC44" t="inlineStr">
        <is>
          <t>OPPIC publie un AO potentiellement pertinent pour CHRUTH : Marché de nettoyage de fin de chantier. Zone : 75,77,78,91,92,93,94,95. Budget detecte environ 100 000 EUR. Verifier le lien source avant contact.</t>
        </is>
      </c>
      <c r="BD44" t="inlineStr">
        <is>
          <t>Bonjour,
Je me permets de vous contacter au sujet de votre appel d'offres : Marché de nettoyage de fin de chantier.
CHRUTH accompagne les structures publiques et privées sur les besoins de nettoyage, d'entretien des locaux et d'organisation de prestations de service.
Serait-il possible d'échanger rapidement afin de vérifier les modalités de réponse et les attentes de OPPIC ?
Cordialement,</t>
        </is>
      </c>
      <c r="BE44" t="inlineStr">
        <is>
          <t>Bonjour, je vous appelle concernant un appel d'offres publié par OPPIC. Je souhaite vérifier les informations pratiques : périmètre des prestations, date limite, modalités de visite, contact technique et pièces attendues. Pouvez-vous m'indiquer la bonne personne à contacter ?</t>
        </is>
      </c>
      <c r="BF44" t="inlineStr"/>
      <c r="BG44" t="inlineStr"/>
      <c r="BH44" t="inlineStr"/>
      <c r="BI44" t="inlineStr"/>
      <c r="BJ44" t="inlineStr"/>
      <c r="BK44" t="inlineStr"/>
      <c r="BL44" t="inlineStr"/>
      <c r="BM44" t="inlineStr">
        <is>
          <t>2026-W25</t>
        </is>
      </c>
    </row>
    <row r="45">
      <c r="A45" t="inlineStr">
        <is>
          <t>BOAMP</t>
        </is>
      </c>
      <c r="B45" t="inlineStr">
        <is>
          <t>26-56896</t>
        </is>
      </c>
      <c r="C45" t="inlineStr">
        <is>
          <t>PRESTATIONS DE NETTOYAGE DE LOCAUX COMMUNAUX DIVERS DE LA VILLE DE MONTROUGE</t>
        </is>
      </c>
      <c r="D45" t="inlineStr">
        <is>
          <t>Ville de Montrouge</t>
        </is>
      </c>
      <c r="E45" t="inlineStr"/>
      <c r="F45" t="inlineStr"/>
      <c r="G45" t="inlineStr"/>
      <c r="H45" t="inlineStr"/>
      <c r="I45" t="inlineStr">
        <is>
          <t>j.marius@ville-montrouge.fr</t>
        </is>
      </c>
      <c r="J45" t="inlineStr">
        <is>
          <t>0428-4817-89</t>
        </is>
      </c>
      <c r="K45" t="inlineStr"/>
      <c r="L45" t="inlineStr"/>
      <c r="M45" t="inlineStr"/>
      <c r="N45" t="inlineStr">
        <is>
          <t>92</t>
        </is>
      </c>
      <c r="O45" t="inlineStr"/>
      <c r="P45" t="inlineStr">
        <is>
          <t>Ile-de-France</t>
        </is>
      </c>
      <c r="Q45" s="15" t="n">
        <v>46184</v>
      </c>
      <c r="R45" s="15" t="n">
        <v>46212</v>
      </c>
      <c r="S45" s="14" t="n">
        <v>230000</v>
      </c>
      <c r="T45" t="inlineStr">
        <is>
          <t>BUDGET_EXPLICITE_OK</t>
        </is>
      </c>
      <c r="U45" t="inlineStr">
        <is>
          <t>230000</t>
        </is>
      </c>
      <c r="V45" t="inlineStr">
        <is>
          <t>oui</t>
        </is>
      </c>
      <c r="W45" t="inlineStr">
        <is>
          <t>Batiments</t>
        </is>
      </c>
      <c r="X45" t="inlineStr">
        <is>
          <t>Mairie</t>
        </is>
      </c>
      <c r="Y45" t="inlineStr">
        <is>
          <t>SERVICES</t>
        </is>
      </c>
      <c r="Z45" t="inlineStr">
        <is>
          <t>Procédure Ouverte</t>
        </is>
      </c>
      <c r="AA45" t="inlineStr">
        <is>
          <t>Avis de marché</t>
        </is>
      </c>
      <c r="AB45" t="inlineStr">
        <is>
          <t>Nettoyage de locaux</t>
        </is>
      </c>
      <c r="AC45" t="inlineStr">
        <is>
          <t>['sociaux', 'environnementaux']</t>
        </is>
      </c>
      <c r="AD45" s="11" t="inlineStr">
        <is>
          <t>https://www.boamp.fr/pages/avis/?q=idweb:26-56896</t>
        </is>
      </c>
      <c r="AE45" t="inlineStr">
        <is>
          <t>https://www.achatpublic.com/sdm/ent/gen/ent_detail.do?PCSLID=CSL_2026_FSmPNMa43l</t>
        </is>
      </c>
      <c r="AF45" t="inlineStr">
        <is>
          <t>https://www.achatpublic.com/sdm/ent/gen/ent_detail.do?PCSLID=CSL_2026_FSmPNMa43l</t>
        </is>
      </c>
      <c r="AG45" t="inlineStr">
        <is>
          <t>nettoyage, proprete</t>
        </is>
      </c>
      <c r="AH45" t="inlineStr">
        <is>
          <t>2</t>
        </is>
      </c>
      <c r="AI45" t="inlineStr">
        <is>
          <t>66</t>
        </is>
      </c>
      <c r="AJ45" t="inlineStr">
        <is>
          <t>INFO_PARTIELLE</t>
        </is>
      </c>
      <c r="AK45" t="inlineStr">
        <is>
          <t>45</t>
        </is>
      </c>
      <c r="AL45" t="inlineStr">
        <is>
          <t>TIEDE</t>
        </is>
      </c>
      <c r="AM45" t="inlineStr"/>
      <c r="AN45" t="inlineStr"/>
      <c r="AO45" t="inlineStr"/>
      <c r="AP45" t="inlineStr"/>
      <c r="AQ45" t="inlineStr">
        <is>
          <t>IA_CONTACT_A_COMPLETER</t>
        </is>
      </c>
      <c r="AR45" t="inlineStr">
        <is>
          <t>Completer les champs manquants depuis l'avis source, le site acheteur ou le DCE.</t>
        </is>
      </c>
      <c r="AS45" t="inlineStr">
        <is>
          <t>SIRET, adresse, ville</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26-56896. Objet: PRESTATIONS DE NETTOYAGE DE LOCAUX COMMUNAUX DIVERS DE LA VILLE DE MONTROUGE. Acheteur: Ville de Montrouge. Lien: https://www.boamp.fr/pages/avis/?q=idweb:26-56896.</t>
        </is>
      </c>
      <c r="AU45" t="inlineStr">
        <is>
          <t>Verifier url_avis et DCE si disponible</t>
        </is>
      </c>
      <c r="AV45" t="inlineStr"/>
      <c r="AW45" t="inlineStr"/>
      <c r="AX45" t="inlineStr"/>
      <c r="AY45" t="inlineStr"/>
      <c r="AZ45" t="inlineStr"/>
      <c r="BA45" t="inlineStr"/>
      <c r="BB45" t="inlineStr">
        <is>
          <t>+35 nettoyage + categorie claire | -10 budget annualise &lt;= 500 000 EUR | +10 secteur cible Mairie | +10 delai confortable 17j</t>
        </is>
      </c>
      <c r="BC45" t="inlineStr">
        <is>
          <t>Ville de Montrouge publie un AO potentiellement pertinent pour CHRUTH : PRESTATIONS DE NETTOYAGE DE LOCAUX COMMUNAUX DIVERS DE LA VILLE DE MONTROUGE. Zone : 92. Budget detecte environ 230 000 EUR. Verifier le lien source avant contact.</t>
        </is>
      </c>
      <c r="BD45" t="inlineStr">
        <is>
          <t>Bonjour,
Je me permets de vous contacter au sujet de votre appel d'offres : PRESTATIONS DE NETTOYAGE DE LOCAUX COMMUNAUX DIVERS DE LA VILLE DE MONTROUGE.
CHRUTH accompagne les structures publiques et privees sur les besoins de nettoyage, d'entretien des locaux et d'organisation de prestations de service.
Serait-il possible d'echanger rapidement afin de verifier les modalites de reponse et les attentes de Ville de Montrouge ?
Cordialement,</t>
        </is>
      </c>
      <c r="BE45" t="inlineStr">
        <is>
          <t>Bonjour, je vous appelle concernant un appel d'offres publie par Ville de Montrouge. Je souhaite verifier les informations pratiques : perimetre des prestations, date limite, modalites de visite, contact technique et pieces attendues. Pouvez-vous m'indiquer la bonne personne a contacter ?</t>
        </is>
      </c>
      <c r="BF45" t="inlineStr"/>
      <c r="BG45" t="inlineStr"/>
      <c r="BH45" t="inlineStr"/>
      <c r="BI45" t="inlineStr"/>
      <c r="BJ45" t="inlineStr"/>
      <c r="BK45" t="inlineStr"/>
      <c r="BL45" t="inlineStr"/>
      <c r="BM45" t="inlineStr">
        <is>
          <t>2026-W24</t>
        </is>
      </c>
    </row>
    <row r="46">
      <c r="A46" t="inlineStr">
        <is>
          <t>BOAMP</t>
        </is>
      </c>
      <c r="B46" t="inlineStr">
        <is>
          <t>26-60093</t>
        </is>
      </c>
      <c r="C46" t="inlineStr">
        <is>
          <t>Mise en propreté des abords du site principal du Centre National d’Art et de Culture Georges Pompidou et des bâtiments annexes (CNAC-GP) (2 lots) - Vague 2 : lot 2 (26-CP04-044-AC)</t>
        </is>
      </c>
      <c r="D46" t="inlineStr">
        <is>
          <t>CENTRE POMPIDOU</t>
        </is>
      </c>
      <c r="E46" t="inlineStr">
        <is>
          <t>18004602100028</t>
        </is>
      </c>
      <c r="F46" t="inlineStr">
        <is>
          <t>180046021</t>
        </is>
      </c>
      <c r="G46" t="inlineStr"/>
      <c r="H46" t="inlineStr"/>
      <c r="I46" t="inlineStr">
        <is>
          <t>achat@centrepompidou.fr</t>
        </is>
      </c>
      <c r="J46" t="inlineStr">
        <is>
          <t>0460210002</t>
        </is>
      </c>
      <c r="K46" t="inlineStr"/>
      <c r="L46" t="inlineStr"/>
      <c r="M46" t="inlineStr"/>
      <c r="N46" t="inlineStr">
        <is>
          <t>75</t>
        </is>
      </c>
      <c r="O46" t="inlineStr"/>
      <c r="P46" t="inlineStr">
        <is>
          <t>Ile-de-France</t>
        </is>
      </c>
      <c r="Q46" s="15" t="n">
        <v>46192</v>
      </c>
      <c r="R46" s="15" t="n">
        <v>46223</v>
      </c>
      <c r="S46" s="14" t="n">
        <v>600000</v>
      </c>
      <c r="T46" t="inlineStr">
        <is>
          <t>BUDGET_EXPLICITE_OK</t>
        </is>
      </c>
      <c r="U46" t="inlineStr">
        <is>
          <t>600000.0</t>
        </is>
      </c>
      <c r="V46" t="inlineStr">
        <is>
          <t>non</t>
        </is>
      </c>
      <c r="W46" t="inlineStr">
        <is>
          <t>Batiments</t>
        </is>
      </c>
      <c r="X46" t="inlineStr">
        <is>
          <t>Autre</t>
        </is>
      </c>
      <c r="Y46" t="inlineStr">
        <is>
          <t>SERVICES</t>
        </is>
      </c>
      <c r="Z46" t="inlineStr">
        <is>
          <t>Procédure Ouverte</t>
        </is>
      </c>
      <c r="AA46" t="inlineStr">
        <is>
          <t>Avis de marché</t>
        </is>
      </c>
      <c r="AB46" t="inlineStr">
        <is>
          <t>Nettoyage de locaux</t>
        </is>
      </c>
      <c r="AC46" t="inlineStr">
        <is>
          <t>['sociaux', 'environnementaux']</t>
        </is>
      </c>
      <c r="AD46" s="11" t="inlineStr">
        <is>
          <t>https://www.boamp.fr/pages/avis/?q=idweb:26-60093</t>
        </is>
      </c>
      <c r="AE46" t="inlineStr">
        <is>
          <t>https://www.marches-publics.gouv.fr/</t>
        </is>
      </c>
      <c r="AF46" t="inlineStr">
        <is>
          <t>https://www.marches-publics.gouv.fr/</t>
        </is>
      </c>
      <c r="AG46" t="inlineStr">
        <is>
          <t>nettoyage, proprete</t>
        </is>
      </c>
      <c r="AH46" t="inlineStr">
        <is>
          <t>3</t>
        </is>
      </c>
      <c r="AI46" t="inlineStr">
        <is>
          <t>76</t>
        </is>
      </c>
      <c r="AJ46" t="inlineStr">
        <is>
          <t>INFO_PARTIELLE</t>
        </is>
      </c>
      <c r="AK46" t="inlineStr">
        <is>
          <t>40</t>
        </is>
      </c>
      <c r="AL46" t="inlineStr">
        <is>
          <t>TIEDE</t>
        </is>
      </c>
      <c r="AM46" t="inlineStr"/>
      <c r="AN46" t="inlineStr"/>
      <c r="AO46" t="inlineStr"/>
      <c r="AP46" t="inlineStr"/>
      <c r="AQ46" t="inlineStr">
        <is>
          <t>IA_CONTACT_A_COMPLETER</t>
        </is>
      </c>
      <c r="AR46" t="inlineStr">
        <is>
          <t>Completer les champs manquants depuis l'avis source, le site acheteur ou le DCE.</t>
        </is>
      </c>
      <c r="AS46" t="inlineStr">
        <is>
          <t>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26-60093. Objet: Mise en propreté des abords du site principal du Centre National d’Art et de Culture Georges Pompidou et des bâtiments annexes (CNAC-GP) (2 lots) - Vague 2 : lot 2 (26-CP04-044-AC). Acheteur: CENTRE POMPIDOU. Lien: https://www.boamp.fr/pages/avis/?q=idweb:26-60093.</t>
        </is>
      </c>
      <c r="AU46" t="inlineStr">
        <is>
          <t>Verifier url_avis et DCE si disponible</t>
        </is>
      </c>
      <c r="AV46" t="inlineStr"/>
      <c r="AW46" t="inlineStr"/>
      <c r="AX46" t="inlineStr"/>
      <c r="AY46" t="inlineStr"/>
      <c r="AZ46" t="inlineStr"/>
      <c r="BA46" t="inlineStr"/>
      <c r="BB46" t="inlineStr">
        <is>
          <t>+35 nettoyage + categorie claire | -20 gros budget (&gt; 500 000 EUR) | +15 procedure adaptee / MAPA / allotissement | +10 delai confortable 17j</t>
        </is>
      </c>
      <c r="BC46"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46"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46"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46" t="inlineStr"/>
      <c r="BG46" t="inlineStr"/>
      <c r="BH46" t="inlineStr"/>
      <c r="BI46" t="inlineStr"/>
      <c r="BJ46" t="inlineStr"/>
      <c r="BK46" t="inlineStr"/>
      <c r="BL46" t="inlineStr"/>
      <c r="BM46" t="inlineStr">
        <is>
          <t>2026-W25</t>
        </is>
      </c>
    </row>
    <row r="47">
      <c r="A47" t="inlineStr">
        <is>
          <t>BOAMP</t>
        </is>
      </c>
      <c r="B47" t="inlineStr">
        <is>
          <t>26-61430</t>
        </is>
      </c>
      <c r="C47" t="inlineStr">
        <is>
          <t>Prestations de santé au travail et de médecine préventive pour les agents de la Mairie de Rueil-Malmaison</t>
        </is>
      </c>
      <c r="D47" t="inlineStr">
        <is>
          <t>Commune de Rueil-Malmaison</t>
        </is>
      </c>
      <c r="E47" t="inlineStr">
        <is>
          <t>21920063100014</t>
        </is>
      </c>
      <c r="F47" t="inlineStr">
        <is>
          <t>219200631</t>
        </is>
      </c>
      <c r="G47" t="inlineStr"/>
      <c r="H47" t="inlineStr"/>
      <c r="I47" t="inlineStr">
        <is>
          <t>marches.publics@mairie-rueilmalmaison.fr</t>
        </is>
      </c>
      <c r="J47" t="inlineStr">
        <is>
          <t>+33 147145409</t>
        </is>
      </c>
      <c r="K47" t="inlineStr"/>
      <c r="L47" t="inlineStr"/>
      <c r="M47" t="inlineStr"/>
      <c r="N47" t="inlineStr">
        <is>
          <t>92</t>
        </is>
      </c>
      <c r="O47" t="inlineStr"/>
      <c r="P47" t="inlineStr">
        <is>
          <t>Ile-de-France</t>
        </is>
      </c>
      <c r="Q47" s="15" t="n">
        <v>46197</v>
      </c>
      <c r="R47" s="15" t="n">
        <v>46230</v>
      </c>
      <c r="S47" s="14" t="n">
        <v>1200000</v>
      </c>
      <c r="T47" t="inlineStr">
        <is>
          <t>BUDGET_EXPLICITE_OK</t>
        </is>
      </c>
      <c r="U47" t="inlineStr">
        <is>
          <t>1200000.0</t>
        </is>
      </c>
      <c r="V47" t="inlineStr">
        <is>
          <t>non</t>
        </is>
      </c>
      <c r="W47" t="inlineStr">
        <is>
          <t>Batiments</t>
        </is>
      </c>
      <c r="X47" t="inlineStr">
        <is>
          <t>Mairie</t>
        </is>
      </c>
      <c r="Y47" t="inlineStr">
        <is>
          <t>SERVICES</t>
        </is>
      </c>
      <c r="Z47" t="inlineStr">
        <is>
          <t>Procédure Ouverte</t>
        </is>
      </c>
      <c r="AA47" t="inlineStr">
        <is>
          <t>Avis de marché</t>
        </is>
      </c>
      <c r="AB47" t="inlineStr">
        <is>
          <t>Nettoyage de locaux</t>
        </is>
      </c>
      <c r="AC47" t="inlineStr"/>
      <c r="AD47" s="11" t="inlineStr">
        <is>
          <t>https://www.boamp.fr/pages/avis/?q=idweb:26-61430</t>
        </is>
      </c>
      <c r="AE47" t="inlineStr">
        <is>
          <t>https://marches.maximilien.fr/entreprise/consultation/941155?orgAcronyme=d7h</t>
        </is>
      </c>
      <c r="AF47" t="inlineStr">
        <is>
          <t>https://marches.maximilien.fr/entreprise/consultation/941155?orgAcronyme=d7h</t>
        </is>
      </c>
      <c r="AG47" t="inlineStr">
        <is>
          <t>nettoyage</t>
        </is>
      </c>
      <c r="AH47" t="inlineStr">
        <is>
          <t>3</t>
        </is>
      </c>
      <c r="AI47" t="inlineStr">
        <is>
          <t>68</t>
        </is>
      </c>
      <c r="AJ47" t="inlineStr">
        <is>
          <t>INFO_PARTIELLE</t>
        </is>
      </c>
      <c r="AK47" t="inlineStr">
        <is>
          <t>35</t>
        </is>
      </c>
      <c r="AL47" s="17" t="inlineStr">
        <is>
          <t>FROID</t>
        </is>
      </c>
      <c r="AM47" t="inlineStr"/>
      <c r="AN47" t="inlineStr"/>
      <c r="AO47" t="inlineStr"/>
      <c r="AP47" t="inlineStr"/>
      <c r="AQ47" t="inlineStr">
        <is>
          <t>IA_CONTACT_A_COMPLETER</t>
        </is>
      </c>
      <c r="AR47" t="inlineStr">
        <is>
          <t>Completer les champs manquants depuis l'avis source, le site acheteur ou le DCE.</t>
        </is>
      </c>
      <c r="AS47" t="inlineStr">
        <is>
          <t>adresse, ville</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26-61430. Objet: Prestations de santé au travail et de médecine préventive pour les agents de la Mairie de Rueil-Malmaison. Acheteur: Commune de Rueil-Malmaison. Lien: https://www.boamp.fr/pages/avis/?q=idweb:26-61430.</t>
        </is>
      </c>
      <c r="AU47" t="inlineStr">
        <is>
          <t>Verifier url_avis et DCE si disponible</t>
        </is>
      </c>
      <c r="AV47" t="inlineStr"/>
      <c r="AW47" t="inlineStr"/>
      <c r="AX47" t="inlineStr"/>
      <c r="AY47" t="inlineStr"/>
      <c r="AZ47" t="inlineStr"/>
      <c r="BA47" t="inlineStr"/>
      <c r="BB47" t="inlineStr">
        <is>
          <t>+35 nettoyage + categorie claire | -20 gros budget (&gt; 500 000 EUR) | +10 secteur cible Mairie | +10 delai confortable 21j</t>
        </is>
      </c>
      <c r="BC47" t="inlineStr">
        <is>
          <t>Commune de Rueil-Malmaison publie un AO potentiellement pertinent pour CHRUTH : Prestations de santé au travail et de médecine préventive pour les agents de la Mairie de Rueil-Malmaison. Zone : 92. Budget detecte environ 1 200 000 EUR. Verifier le lien source avant contact.</t>
        </is>
      </c>
      <c r="BD47" t="inlineStr">
        <is>
          <t>Bonjour,
Je me permets de vous contacter au sujet de votre appel d'offres : Prestations de santé au travail et de médecine préventive pour les agents de la Mairie de Rueil-Malmaison.
CHRUTH accompagne les structures publiques et privées sur les besoins de nettoyage, d'entretien des locaux et d'organisation de prestations de service.
Serait-il possible d'échanger rapidement afin de vérifier les modalités de réponse et les attentes de Commune de Rueil-Malmaison ?
Cordialement,</t>
        </is>
      </c>
      <c r="BE47" t="inlineStr">
        <is>
          <t>Bonjour, je vous appelle concernant un appel d'offres publié par Commune de Rueil-Malmaison. Je souhaite vérifier les informations pratiques : périmètre des prestations, date limite, modalités de visite, contact technique et pièces attendues. Pouvez-vous m'indiquer la bonne personne à contacter ?</t>
        </is>
      </c>
      <c r="BF47" t="inlineStr"/>
      <c r="BG47" t="inlineStr"/>
      <c r="BH47" t="inlineStr"/>
      <c r="BI47" t="inlineStr"/>
      <c r="BJ47" t="inlineStr"/>
      <c r="BK47" t="inlineStr"/>
      <c r="BL47" t="inlineStr"/>
      <c r="BM47" t="inlineStr">
        <is>
          <t>2026-W26</t>
        </is>
      </c>
    </row>
    <row r="48">
      <c r="A48" t="inlineStr">
        <is>
          <t>BOAMP</t>
        </is>
      </c>
      <c r="B48" t="inlineStr">
        <is>
          <t>26-60020</t>
        </is>
      </c>
      <c r="C48" t="inlineStr">
        <is>
          <t>Entretien et nettoyage de l’ensemble des locaux du SIGIDURS</t>
        </is>
      </c>
      <c r="D48" t="inlineStr">
        <is>
          <t>SIGIDURS</t>
        </is>
      </c>
      <c r="E48" t="inlineStr">
        <is>
          <t>25950208600012</t>
        </is>
      </c>
      <c r="F48" t="inlineStr">
        <is>
          <t>259502086</t>
        </is>
      </c>
      <c r="G48" t="inlineStr">
        <is>
          <t>Jean-Claude GENIES</t>
        </is>
      </c>
      <c r="H48" t="inlineStr"/>
      <c r="I48" t="inlineStr">
        <is>
          <t>marchespublics@sigidurs.fr</t>
        </is>
      </c>
      <c r="J48" t="inlineStr">
        <is>
          <t>0208600012</t>
        </is>
      </c>
      <c r="K48" t="inlineStr">
        <is>
          <t>Plusieurs lieux</t>
        </is>
      </c>
      <c r="L48" t="inlineStr">
        <is>
          <t>95200</t>
        </is>
      </c>
      <c r="M48" t="inlineStr">
        <is>
          <t>Sarcelles</t>
        </is>
      </c>
      <c r="N48" t="inlineStr">
        <is>
          <t>95</t>
        </is>
      </c>
      <c r="O48" t="inlineStr"/>
      <c r="P48" t="inlineStr">
        <is>
          <t>Ile-de-France</t>
        </is>
      </c>
      <c r="Q48" s="15" t="n">
        <v>46190</v>
      </c>
      <c r="R48" s="15" t="n">
        <v>46280</v>
      </c>
      <c r="S48" s="14" t="n">
        <v>95200</v>
      </c>
      <c r="T48" t="inlineStr">
        <is>
          <t>BUDGET_SOUS_SEUIL</t>
        </is>
      </c>
      <c r="U48" t="inlineStr">
        <is>
          <t>380800</t>
        </is>
      </c>
      <c r="V48" t="inlineStr">
        <is>
          <t>oui</t>
        </is>
      </c>
      <c r="W48" t="inlineStr">
        <is>
          <t>Batiments</t>
        </is>
      </c>
      <c r="X48" t="inlineStr">
        <is>
          <t>Autre</t>
        </is>
      </c>
      <c r="Y48" t="inlineStr">
        <is>
          <t>SERVICES</t>
        </is>
      </c>
      <c r="Z48" t="inlineStr">
        <is>
          <t>Procédure Ouverte</t>
        </is>
      </c>
      <c r="AA48" t="inlineStr">
        <is>
          <t>Avis de marché</t>
        </is>
      </c>
      <c r="AB48" t="inlineStr">
        <is>
          <t>Nettoyage de locaux</t>
        </is>
      </c>
      <c r="AC48" t="inlineStr"/>
      <c r="AD48" s="11" t="inlineStr">
        <is>
          <t>https://www.boamp.fr/pages/avis/?q=idweb:26-60020</t>
        </is>
      </c>
      <c r="AE48" t="inlineStr">
        <is>
          <t>https://www.achatpublic.com/</t>
        </is>
      </c>
      <c r="AF48" t="inlineStr">
        <is>
          <t>https://www.achatpublic.com/</t>
        </is>
      </c>
      <c r="AG48" t="inlineStr">
        <is>
          <t>nettoyage</t>
        </is>
      </c>
      <c r="AH48" t="inlineStr">
        <is>
          <t>6</t>
        </is>
      </c>
      <c r="AI48" t="inlineStr">
        <is>
          <t>98</t>
        </is>
      </c>
      <c r="AJ48" t="inlineStr">
        <is>
          <t>INFO_PARTIELLE</t>
        </is>
      </c>
      <c r="AK48" t="inlineStr">
        <is>
          <t>35</t>
        </is>
      </c>
      <c r="AL48" s="17" t="inlineStr">
        <is>
          <t>FROID</t>
        </is>
      </c>
      <c r="AM48" t="inlineStr"/>
      <c r="AN48" t="inlineStr"/>
      <c r="AO48" t="inlineStr"/>
      <c r="AP48" t="inlineStr"/>
      <c r="AQ48" t="inlineStr">
        <is>
          <t>IA_CONTROLE_SOURCE</t>
        </is>
      </c>
      <c r="AR48" t="inlineStr">
        <is>
          <t>Verifier rapidement la source avant contact.</t>
        </is>
      </c>
      <c r="AS48" t="inlineStr">
        <is>
          <t>Aucun champ critique manquant</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26-60020. Objet: Entretien et nettoyage de l’ensemble des locaux du SIGIDURS. Acheteur: SIGIDURS. Lien: https://www.boamp.fr/pages/avis/?q=idweb:26-60020.</t>
        </is>
      </c>
      <c r="AU48" t="inlineStr">
        <is>
          <t>Verifier url_avis et DCE si disponible</t>
        </is>
      </c>
      <c r="AV48" t="inlineStr"/>
      <c r="AW48" t="inlineStr"/>
      <c r="AX48" t="inlineStr"/>
      <c r="AY48" t="inlineStr"/>
      <c r="AZ48" t="inlineStr"/>
      <c r="BA48" t="inlineStr"/>
      <c r="BB48" t="inlineStr">
        <is>
          <t>+35 nettoyage + categorie claire | -10 budget annualise &lt;= 500 000 EUR | +10 delai confortable 85j</t>
        </is>
      </c>
      <c r="BC48" t="inlineStr">
        <is>
          <t>SIGIDURS publie un AO potentiellement pertinent pour CHRUTH : Entretien et nettoyage de l’ensemble des locaux du SIGIDURS. Zone : Sarcelles. Budget detecte environ 95 200 EUR. Verifier le lien source avant contact.</t>
        </is>
      </c>
      <c r="BD48" t="inlineStr">
        <is>
          <t>Bonjour,
Je me permets de vous contacter au sujet de votre appel d'offres : Entretien et nettoyage de l’ensemble des locaux du SIGIDURS.
CHRUTH accompagne les structures publiques et privees sur les besoins de nettoyage, d'entretien des locaux et d'organisation de prestations de service.
Serait-il possible d'echanger rapidement afin de verifier les modalites de reponse et les attentes de SIGIDURS ?
Cordialement,</t>
        </is>
      </c>
      <c r="BE48" t="inlineStr">
        <is>
          <t>Bonjour, je vous appelle concernant un appel d'offres publie par SIGIDURS. Je souhaite verifier les informations pratiques : perimetre des prestations, date limite, modalites de visite, contact technique et pieces attendues. Pouvez-vous m'indiquer la bonne personne a contacter ?</t>
        </is>
      </c>
      <c r="BF48" t="inlineStr"/>
      <c r="BG48" t="inlineStr"/>
      <c r="BH48" t="inlineStr"/>
      <c r="BI48" t="inlineStr"/>
      <c r="BJ48" t="inlineStr"/>
      <c r="BK48" t="inlineStr"/>
      <c r="BL48" t="inlineStr"/>
      <c r="BM48" t="inlineStr">
        <is>
          <t>2026-W25</t>
        </is>
      </c>
    </row>
    <row r="49">
      <c r="A49" t="inlineStr">
        <is>
          <t>BOAMP</t>
        </is>
      </c>
      <c r="B49" t="inlineStr">
        <is>
          <t>26-53642</t>
        </is>
      </c>
      <c r="C49" t="inlineStr">
        <is>
          <t>Prestations de nettoyage et de ménage dans les bâtiments communaux de Maisons-Laffitte</t>
        </is>
      </c>
      <c r="D49" t="inlineStr">
        <is>
          <t>Mairie de Maisons-Laffitte</t>
        </is>
      </c>
      <c r="E49" t="inlineStr">
        <is>
          <t>21780358400010</t>
        </is>
      </c>
      <c r="F49" t="inlineStr">
        <is>
          <t>217803584</t>
        </is>
      </c>
      <c r="G49" t="inlineStr"/>
      <c r="H49" t="inlineStr"/>
      <c r="I49" t="inlineStr">
        <is>
          <t>achats@maisonslaffitte.fr</t>
        </is>
      </c>
      <c r="J49" t="inlineStr">
        <is>
          <t>0358400010</t>
        </is>
      </c>
      <c r="K49" t="inlineStr"/>
      <c r="L49" t="inlineStr"/>
      <c r="M49" t="inlineStr"/>
      <c r="N49" t="inlineStr">
        <is>
          <t>78</t>
        </is>
      </c>
      <c r="O49" t="inlineStr"/>
      <c r="P49" t="inlineStr">
        <is>
          <t>Ile-de-France</t>
        </is>
      </c>
      <c r="Q49" s="15" t="n">
        <v>46176</v>
      </c>
      <c r="R49" s="15" t="n">
        <v>46205</v>
      </c>
      <c r="S49" s="14" t="n">
        <v>515000</v>
      </c>
      <c r="T49" t="inlineStr">
        <is>
          <t>BUDGET_EXPLICITE_OK</t>
        </is>
      </c>
      <c r="U49" t="inlineStr">
        <is>
          <t>515000.0</t>
        </is>
      </c>
      <c r="V49" t="inlineStr">
        <is>
          <t>non</t>
        </is>
      </c>
      <c r="W49" t="inlineStr">
        <is>
          <t>Batiments</t>
        </is>
      </c>
      <c r="X49" t="inlineStr">
        <is>
          <t>Mairie</t>
        </is>
      </c>
      <c r="Y49" t="inlineStr">
        <is>
          <t>SERVICES</t>
        </is>
      </c>
      <c r="Z49" t="inlineStr">
        <is>
          <t>Procédure Ouverte</t>
        </is>
      </c>
      <c r="AA49" t="inlineStr">
        <is>
          <t>Avis de marché</t>
        </is>
      </c>
      <c r="AB49" t="inlineStr">
        <is>
          <t>Nettoyage de locaux, Bâtiment</t>
        </is>
      </c>
      <c r="AC49" t="inlineStr"/>
      <c r="AD49" s="11" t="inlineStr">
        <is>
          <t>https://www.boamp.fr/pages/avis/?q=idweb:26-53642</t>
        </is>
      </c>
      <c r="AE49" t="inlineStr">
        <is>
          <t>https://www.maximilien.fr/</t>
        </is>
      </c>
      <c r="AF49" t="inlineStr">
        <is>
          <t>https://www.maximilien.fr/</t>
        </is>
      </c>
      <c r="AG49" t="inlineStr">
        <is>
          <t>nettoyage, menage</t>
        </is>
      </c>
      <c r="AH49" t="inlineStr">
        <is>
          <t>3</t>
        </is>
      </c>
      <c r="AI49" t="inlineStr">
        <is>
          <t>76</t>
        </is>
      </c>
      <c r="AJ49" t="inlineStr">
        <is>
          <t>INFO_PARTIELLE</t>
        </is>
      </c>
      <c r="AK49" t="inlineStr">
        <is>
          <t>30</t>
        </is>
      </c>
      <c r="AL49" s="17" t="inlineStr">
        <is>
          <t>FROID</t>
        </is>
      </c>
      <c r="AM49" t="inlineStr"/>
      <c r="AN49" t="inlineStr"/>
      <c r="AO49" t="inlineStr"/>
      <c r="AP49" t="inlineStr"/>
      <c r="AQ49" t="inlineStr">
        <is>
          <t>IA_CONTACT_A_COMPLETER</t>
        </is>
      </c>
      <c r="AR49" t="inlineStr">
        <is>
          <t>Completer les champs manquants depuis l'avis source, le site acheteur ou le DCE.</t>
        </is>
      </c>
      <c r="AS49" t="inlineStr">
        <is>
          <t>adresse, ville</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26-53642. Objet: Prestations de nettoyage et de ménage dans les bâtiments communaux de Maisons-Laffitte. Acheteur: Mairie de Maisons-Laffitte. Lien: https://www.boamp.fr/pages/avis/?q=idweb:26-53642.</t>
        </is>
      </c>
      <c r="AU49" t="inlineStr">
        <is>
          <t>Verifier url_avis et DCE si disponible</t>
        </is>
      </c>
      <c r="AV49" t="inlineStr"/>
      <c r="AW49" t="inlineStr"/>
      <c r="AX49" t="inlineStr"/>
      <c r="AY49" t="inlineStr"/>
      <c r="AZ49" t="inlineStr"/>
      <c r="BA49" t="inlineStr"/>
      <c r="BB49" t="inlineStr">
        <is>
          <t>+35 nettoyage + categorie claire | -20 gros budget (&gt; 500 000 EUR) | +10 secteur cible Mairie | +5 delai court 15j</t>
        </is>
      </c>
      <c r="BC49" t="inlineStr">
        <is>
          <t>Mairie de Maisons-Laffitte publie un AO potentiellement pertinent pour CHRUTH : Prestations de nettoyage et de ménage dans les bâtiments communaux de Maisons-Laffitte. Zone : 78. Budget detecte environ 515 000 EUR. Verifier le lien source avant contact.</t>
        </is>
      </c>
      <c r="BD49" t="inlineStr">
        <is>
          <t>Bonjour,
Je me permets de vous contacter au sujet de votre appel d'offres : Prestations de nettoyage et de ménage dans les bâtiments communaux de Maisons-Laffitte.
CHRUTH accompagne les structures publiques et privees sur les besoins de nettoyage, d'entretien des locaux et d'organisation de prestations de service.
Serait-il possible d'echanger rapidement afin de verifier les modalites de reponse et les attentes de Mairie de Maisons-Laffitte ?
Cordialement,</t>
        </is>
      </c>
      <c r="BE49" t="inlineStr">
        <is>
          <t>Bonjour, je vous appelle concernant un appel d'offres publie par Mairie de Maisons-Laffitte. Je souhaite verifier les informations pratiques : perimetre des prestations, date limite, modalites de visite, contact technique et pieces attendues. Pouvez-vous m'indiquer la bonne personne a contacter ?</t>
        </is>
      </c>
      <c r="BF49" t="inlineStr"/>
      <c r="BG49" t="inlineStr"/>
      <c r="BH49" t="inlineStr"/>
      <c r="BI49" t="inlineStr"/>
      <c r="BJ49" t="inlineStr"/>
      <c r="BK49" t="inlineStr"/>
      <c r="BL49" t="inlineStr"/>
      <c r="BM49" t="inlineStr">
        <is>
          <t>2026-W23</t>
        </is>
      </c>
    </row>
    <row r="50">
      <c r="A50" t="inlineStr">
        <is>
          <t>BOAMP</t>
        </is>
      </c>
      <c r="B50" t="inlineStr">
        <is>
          <t>26-64579</t>
        </is>
      </c>
      <c r="C50" t="inlineStr">
        <is>
          <t>Prestations de contrôle et de maintenance des jeux, des agrès fitness et des équipements sportifs de la ville de Houilles</t>
        </is>
      </c>
      <c r="D50" t="inlineStr">
        <is>
          <t>ville de Houilles</t>
        </is>
      </c>
      <c r="E50" t="inlineStr">
        <is>
          <t>21780311300018</t>
        </is>
      </c>
      <c r="F50" t="inlineStr">
        <is>
          <t>217803113</t>
        </is>
      </c>
      <c r="G50" t="inlineStr"/>
      <c r="H50" t="inlineStr"/>
      <c r="I50" t="inlineStr">
        <is>
          <t>marche-public@ville-houilles.fr</t>
        </is>
      </c>
      <c r="J50" t="inlineStr">
        <is>
          <t>0311300018</t>
        </is>
      </c>
      <c r="K50" t="inlineStr"/>
      <c r="L50" t="inlineStr"/>
      <c r="M50" t="inlineStr"/>
      <c r="N50" t="inlineStr">
        <is>
          <t>78</t>
        </is>
      </c>
      <c r="O50" t="inlineStr"/>
      <c r="P50" t="inlineStr">
        <is>
          <t>Ile-de-France</t>
        </is>
      </c>
      <c r="Q50" s="15" t="n">
        <v>46204</v>
      </c>
      <c r="R50" s="15" t="n">
        <v>46216</v>
      </c>
      <c r="S50" s="14" t="n">
        <v>504000</v>
      </c>
      <c r="T50" t="inlineStr">
        <is>
          <t>BUDGET_EXPLICITE_OK</t>
        </is>
      </c>
      <c r="U50" t="inlineStr">
        <is>
          <t>3024000</t>
        </is>
      </c>
      <c r="V50" t="inlineStr">
        <is>
          <t>oui</t>
        </is>
      </c>
      <c r="W50" t="inlineStr">
        <is>
          <t>Mixte/Autre</t>
        </is>
      </c>
      <c r="X50" t="inlineStr">
        <is>
          <t>Mairie</t>
        </is>
      </c>
      <c r="Y50" t="inlineStr">
        <is>
          <t>SERVICES</t>
        </is>
      </c>
      <c r="Z50" t="inlineStr">
        <is>
          <t>Procédure Ouverte</t>
        </is>
      </c>
      <c r="AA50" t="inlineStr">
        <is>
          <t>Avis de marché</t>
        </is>
      </c>
      <c r="AB50" t="inlineStr">
        <is>
          <t>Maintenance</t>
        </is>
      </c>
      <c r="AC50" t="inlineStr"/>
      <c r="AD50" s="11" t="inlineStr">
        <is>
          <t>https://www.boamp.fr/pages/avis/?q=idweb:26-64579</t>
        </is>
      </c>
      <c r="AE50" t="inlineStr">
        <is>
          <t>https://www.achatpublic.com/sdm/ent2/gen/ficheCsl.action?PCSLID=CSL_2026_fZ5m08HVWI</t>
        </is>
      </c>
      <c r="AF50" t="inlineStr">
        <is>
          <t>https://www.achatpublic.com/sdm/ent2/gen/ficheCsl.action?PCSLID=CSL_2026_fZ5m08HVWI</t>
        </is>
      </c>
      <c r="AG50" t="inlineStr">
        <is>
          <t>proprete</t>
        </is>
      </c>
      <c r="AH50" t="inlineStr">
        <is>
          <t>3</t>
        </is>
      </c>
      <c r="AI50" t="inlineStr">
        <is>
          <t>68</t>
        </is>
      </c>
      <c r="AJ50" t="inlineStr">
        <is>
          <t>INFO_PARTIELLE</t>
        </is>
      </c>
      <c r="AK50" t="inlineStr">
        <is>
          <t>25</t>
        </is>
      </c>
      <c r="AL50" s="17" t="inlineStr">
        <is>
          <t>FROID</t>
        </is>
      </c>
      <c r="AM50" t="inlineStr"/>
      <c r="AN50" t="inlineStr"/>
      <c r="AO50" t="inlineStr"/>
      <c r="AP50" t="inlineStr"/>
      <c r="AQ50" t="inlineStr">
        <is>
          <t>IA_CONTACT_A_COMPLETER</t>
        </is>
      </c>
      <c r="AR50" t="inlineStr">
        <is>
          <t>Completer les champs manquants depuis l'avis source, le site acheteur ou le DCE.</t>
        </is>
      </c>
      <c r="AS50" t="inlineStr">
        <is>
          <t>adresse, ville</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26-64579. Objet: Prestations de contrôle et de maintenance des jeux, des agrès fitness et des équipements sportifs de la ville de Houilles. Acheteur: ville de Houilles. Lien: https://www.boamp.fr/pages/avis/?q=idweb:26-64579.</t>
        </is>
      </c>
      <c r="AU50" t="inlineStr">
        <is>
          <t>Verifier url_avis et DCE si disponible</t>
        </is>
      </c>
      <c r="AV50" t="inlineStr"/>
      <c r="AW50" t="inlineStr"/>
      <c r="AX50" t="inlineStr"/>
      <c r="AY50" t="inlineStr"/>
      <c r="AZ50" t="inlineStr"/>
      <c r="BA50" t="inlineStr"/>
      <c r="BB50" t="inlineStr">
        <is>
          <t>+30 mots-cles nettoyage forts | -20 gros budget (&gt; 500 000 EUR) | +10 secteur cible Mairie | +5 delai court 7j</t>
        </is>
      </c>
      <c r="BC50" t="inlineStr">
        <is>
          <t>ville de Houilles publie un AO potentiellement pertinent pour CHRUTH : Prestations de contrôle et de maintenance des jeux, des agrès fitness et des équipements sportifs de la ville de Houilles. Zone : 78. Budget detecte environ 504 000 EUR. Verifier le lien source avant contact.</t>
        </is>
      </c>
      <c r="BD50" t="inlineStr">
        <is>
          <t>Bonjour,
Je me permets de vous contacter au sujet de votre appel d'offres : Prestations de contrôle et de maintenance des jeux, des agrès fitness et des équipements sportifs de la ville de Houilles.
CHRUTH accompagne les structures publiques et privées sur les besoins de nettoyage, d'entretien des locaux et d'organisation de prestations de service.
Serait-il possible d'échanger rapidement afin de vérifier les modalités de réponse et les attentes de ville de Houilles ?
Cordialement,</t>
        </is>
      </c>
      <c r="BE50" t="inlineStr">
        <is>
          <t>Bonjour, je vous appelle concernant un appel d'offres publié par ville de Houilles. Je souhaite vérifier les informations pratiques : périmètre des prestations, date limite, modalités de visite, contact technique et pièces attendues. Pouvez-vous m'indiquer la bonne personne à contacter ?</t>
        </is>
      </c>
      <c r="BF50" t="inlineStr"/>
      <c r="BG50" t="inlineStr"/>
      <c r="BH50" t="inlineStr"/>
      <c r="BI50" t="inlineStr"/>
      <c r="BJ50" t="inlineStr"/>
      <c r="BK50" t="inlineStr"/>
      <c r="BL50" t="inlineStr"/>
      <c r="BM50" t="inlineStr">
        <is>
          <t>2026-W27</t>
        </is>
      </c>
    </row>
    <row r="51">
      <c r="A51" t="inlineStr">
        <is>
          <t>BOAMP</t>
        </is>
      </c>
      <c r="B51" t="inlineStr">
        <is>
          <t>26-63641</t>
        </is>
      </c>
      <c r="C51" t="inlineStr">
        <is>
          <t>Prestations de service de médecine professionnelle et préventive au bénéfice des agents de Plaine Commune</t>
        </is>
      </c>
      <c r="D51" t="inlineStr">
        <is>
          <t>Etablissement Public Territorial Plaine Commune</t>
        </is>
      </c>
      <c r="E51" t="inlineStr">
        <is>
          <t>20005786700018</t>
        </is>
      </c>
      <c r="F51" t="inlineStr">
        <is>
          <t>200057867</t>
        </is>
      </c>
      <c r="G51" t="inlineStr"/>
      <c r="H51" t="inlineStr"/>
      <c r="I51" t="inlineStr">
        <is>
          <t>mayooragi.manoharan@plainecommune.fr</t>
        </is>
      </c>
      <c r="J51" t="inlineStr">
        <is>
          <t>0578670001</t>
        </is>
      </c>
      <c r="K51" t="inlineStr"/>
      <c r="L51" t="inlineStr"/>
      <c r="M51" t="inlineStr"/>
      <c r="N51" t="inlineStr">
        <is>
          <t>93</t>
        </is>
      </c>
      <c r="O51" t="inlineStr"/>
      <c r="P51" t="inlineStr">
        <is>
          <t>Ile-de-France</t>
        </is>
      </c>
      <c r="Q51" s="15" t="n">
        <v>46201</v>
      </c>
      <c r="R51" s="15" t="n">
        <v>46232</v>
      </c>
      <c r="S51" s="14" t="n">
        <v>749999</v>
      </c>
      <c r="T51" t="inlineStr">
        <is>
          <t>BUDGET_EXPLICITE_OK</t>
        </is>
      </c>
      <c r="U51" t="inlineStr">
        <is>
          <t>4499994</t>
        </is>
      </c>
      <c r="V51" t="inlineStr">
        <is>
          <t>oui</t>
        </is>
      </c>
      <c r="W51" t="inlineStr">
        <is>
          <t>Batiments</t>
        </is>
      </c>
      <c r="X51" t="inlineStr">
        <is>
          <t>Autre</t>
        </is>
      </c>
      <c r="Y51" t="inlineStr">
        <is>
          <t>SERVICES</t>
        </is>
      </c>
      <c r="Z51" t="inlineStr">
        <is>
          <t>Procédure Ouverte</t>
        </is>
      </c>
      <c r="AA51" t="inlineStr">
        <is>
          <t>Avis de marché</t>
        </is>
      </c>
      <c r="AB51" t="inlineStr">
        <is>
          <t>Nettoyage de locaux</t>
        </is>
      </c>
      <c r="AC51" t="inlineStr"/>
      <c r="AD51" s="11" t="inlineStr">
        <is>
          <t>https://www.boamp.fr/pages/avis/?q=idweb:26-63641</t>
        </is>
      </c>
      <c r="AE51" t="inlineStr">
        <is>
          <t>https://marches.maximilien.fr/?page=Entreprise.EntrepriseAdvancedSearch&amp;AllCons&amp;id=942040&amp;orgAcronyme=p2q</t>
        </is>
      </c>
      <c r="AF51" t="inlineStr">
        <is>
          <t>https://marches.maximilien.fr/?page=Entreprise.EntrepriseAdvancedSearch&amp;AllCons&amp;id=942040&amp;orgAcronyme=p2q</t>
        </is>
      </c>
      <c r="AG51" t="inlineStr">
        <is>
          <t>nettoyage</t>
        </is>
      </c>
      <c r="AH51" t="inlineStr">
        <is>
          <t>3</t>
        </is>
      </c>
      <c r="AI51" t="inlineStr">
        <is>
          <t>68</t>
        </is>
      </c>
      <c r="AJ51" t="inlineStr">
        <is>
          <t>INFO_PARTIELLE</t>
        </is>
      </c>
      <c r="AK51" t="inlineStr">
        <is>
          <t>25</t>
        </is>
      </c>
      <c r="AL51" s="17" t="inlineStr">
        <is>
          <t>FROID</t>
        </is>
      </c>
      <c r="AM51" t="inlineStr"/>
      <c r="AN51" t="inlineStr"/>
      <c r="AO51" t="inlineStr"/>
      <c r="AP51" t="inlineStr"/>
      <c r="AQ51" t="inlineStr">
        <is>
          <t>IA_CONTACT_A_COMPLETER</t>
        </is>
      </c>
      <c r="AR51" t="inlineStr">
        <is>
          <t>Completer les champs manquants depuis l'avis source, le site acheteur ou le DCE.</t>
        </is>
      </c>
      <c r="AS51" t="inlineStr">
        <is>
          <t>adresse, ville</t>
        </is>
      </c>
      <c r="AT5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26-63641. Objet: Prestations de service de médecine professionnelle et préventive au bénéfice des agents de Plaine Commune. Acheteur: Etablissement Public Territorial Plaine Commune. Lien: https://www.boamp.fr/pages/avis/?q=idweb:26-63641.</t>
        </is>
      </c>
      <c r="AU51" t="inlineStr">
        <is>
          <t>Verifier url_avis et DCE si disponible</t>
        </is>
      </c>
      <c r="AV51" t="inlineStr"/>
      <c r="AW51" t="inlineStr"/>
      <c r="AX51" t="inlineStr"/>
      <c r="AY51" t="inlineStr"/>
      <c r="AZ51" t="inlineStr"/>
      <c r="BA51" t="inlineStr"/>
      <c r="BB51" t="inlineStr">
        <is>
          <t>+35 nettoyage + categorie claire | -20 gros budget (&gt; 500 000 EUR) | +10 delai confortable 23j</t>
        </is>
      </c>
      <c r="BC51" t="inlineStr">
        <is>
          <t>Etablissement Public Territorial Plaine Commune publie un AO potentiellement pertinent pour CHRUTH : Prestations de service de médecine professionnelle et préventive au bénéfice des agents de Plaine Commune. Zone : 93. Budget detecte environ 749 999 EUR. Verifier le lien source avant contact.</t>
        </is>
      </c>
      <c r="BD51" t="inlineStr">
        <is>
          <t>Bonjour,
Je me permets de vous contacter au sujet de votre appel d'offres : Prestations de service de médecine professionnelle et préventive au bénéfice des agents de Plaine Commune.
CHRUTH accompagne les structures publiques et privées sur les besoins de nettoyage, d'entretien des locaux et d'organisation de prestations de service.
Serait-il possible d'échanger rapidement afin de vérifier les modalités de réponse et les attentes de Etablissement Public Territorial Plaine Commune ?
Cordialement,</t>
        </is>
      </c>
      <c r="BE51" t="inlineStr">
        <is>
          <t>Bonjour, je vous appelle concernant un appel d'offres publié par Etablissement Public Territorial Plaine Commune. Je souhaite vérifier les informations pratiques : périmètre des prestations, date limite, modalités de visite, contact technique et pièces attendues. Pouvez-vous m'indiquer la bonne personne à contacter ?</t>
        </is>
      </c>
      <c r="BF51" t="inlineStr"/>
      <c r="BG51" t="inlineStr"/>
      <c r="BH51" t="inlineStr"/>
      <c r="BI51" t="inlineStr"/>
      <c r="BJ51" t="inlineStr"/>
      <c r="BK51" t="inlineStr"/>
      <c r="BL51" t="inlineStr"/>
      <c r="BM51" t="inlineStr">
        <is>
          <t>2026-W26</t>
        </is>
      </c>
    </row>
    <row r="52">
      <c r="A52" t="inlineStr">
        <is>
          <t>BOAMP</t>
        </is>
      </c>
      <c r="B52" t="inlineStr">
        <is>
          <t>26-61794</t>
        </is>
      </c>
      <c r="C52" t="inlineStr">
        <is>
          <t>Nettoyage écoresponsable des locaux du CNC à Paris et prestations associées</t>
        </is>
      </c>
      <c r="D52" t="inlineStr">
        <is>
          <t>Centre nationale du cinéma</t>
        </is>
      </c>
      <c r="E52" t="inlineStr">
        <is>
          <t>18004603900186</t>
        </is>
      </c>
      <c r="F52" t="inlineStr">
        <is>
          <t>180046039</t>
        </is>
      </c>
      <c r="G52" t="inlineStr"/>
      <c r="H52" t="inlineStr"/>
      <c r="I52" t="inlineStr">
        <is>
          <t>marchespublics@cnc.fr</t>
        </is>
      </c>
      <c r="J52" t="inlineStr">
        <is>
          <t>0460390018</t>
        </is>
      </c>
      <c r="K52" t="inlineStr"/>
      <c r="L52" t="inlineStr"/>
      <c r="M52" t="inlineStr"/>
      <c r="N52" t="inlineStr">
        <is>
          <t>75</t>
        </is>
      </c>
      <c r="O52" t="inlineStr"/>
      <c r="P52" t="inlineStr">
        <is>
          <t>Ile-de-France</t>
        </is>
      </c>
      <c r="Q52" s="15" t="n">
        <v>46197</v>
      </c>
      <c r="R52" s="15" t="n">
        <v>46230</v>
      </c>
      <c r="S52" s="14" t="n">
        <v>900000</v>
      </c>
      <c r="T52" t="inlineStr">
        <is>
          <t>BUDGET_EXPLICITE_OK</t>
        </is>
      </c>
      <c r="U52" t="inlineStr">
        <is>
          <t>1800000</t>
        </is>
      </c>
      <c r="V52" t="inlineStr">
        <is>
          <t>oui</t>
        </is>
      </c>
      <c r="W52" t="inlineStr">
        <is>
          <t>Vitres</t>
        </is>
      </c>
      <c r="X52" t="inlineStr">
        <is>
          <t>Autre</t>
        </is>
      </c>
      <c r="Y52" t="inlineStr">
        <is>
          <t>SERVICES</t>
        </is>
      </c>
      <c r="Z52" t="inlineStr">
        <is>
          <t>Procédure Ouverte</t>
        </is>
      </c>
      <c r="AA52" t="inlineStr">
        <is>
          <t>Avis de marché</t>
        </is>
      </c>
      <c r="AB52" t="inlineStr">
        <is>
          <t>Nettoyage de locaux</t>
        </is>
      </c>
      <c r="AC52" t="inlineStr">
        <is>
          <t>['sociaux', 'environnementaux']</t>
        </is>
      </c>
      <c r="AD52" s="11" t="inlineStr">
        <is>
          <t>https://www.boamp.fr/pages/avis/?q=idweb:26-61794</t>
        </is>
      </c>
      <c r="AE52" t="inlineStr">
        <is>
          <t>https://www.marches-publics.gouv.fr/entreprise</t>
        </is>
      </c>
      <c r="AF52" t="inlineStr">
        <is>
          <t>https://www.marches-publics.gouv.fr/entreprise</t>
        </is>
      </c>
      <c r="AG52" t="inlineStr">
        <is>
          <t>nettoyage</t>
        </is>
      </c>
      <c r="AH52" t="inlineStr">
        <is>
          <t>3</t>
        </is>
      </c>
      <c r="AI52" t="inlineStr">
        <is>
          <t>68</t>
        </is>
      </c>
      <c r="AJ52" t="inlineStr">
        <is>
          <t>INFO_PARTIELLE</t>
        </is>
      </c>
      <c r="AK52" t="inlineStr">
        <is>
          <t>25</t>
        </is>
      </c>
      <c r="AL52" s="17" t="inlineStr">
        <is>
          <t>FROID</t>
        </is>
      </c>
      <c r="AM52" t="inlineStr"/>
      <c r="AN52" t="inlineStr"/>
      <c r="AO52" t="inlineStr"/>
      <c r="AP52" t="inlineStr"/>
      <c r="AQ52" t="inlineStr">
        <is>
          <t>IA_CONTACT_A_COMPLETER</t>
        </is>
      </c>
      <c r="AR52" t="inlineStr">
        <is>
          <t>Completer les champs manquants depuis l'avis source, le site acheteur ou le DCE.</t>
        </is>
      </c>
      <c r="AS52" t="inlineStr">
        <is>
          <t>adresse, ville</t>
        </is>
      </c>
      <c r="AT5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26-61794. Objet: Nettoyage écoresponsable des locaux du CNC à Paris et prestations associées. Acheteur: Centre nationale du cinéma. Lien: https://www.boamp.fr/pages/avis/?q=idweb:26-61794.</t>
        </is>
      </c>
      <c r="AU52" t="inlineStr">
        <is>
          <t>Verifier url_avis et DCE si disponible</t>
        </is>
      </c>
      <c r="AV52" t="inlineStr"/>
      <c r="AW52" t="inlineStr"/>
      <c r="AX52" t="inlineStr"/>
      <c r="AY52" t="inlineStr"/>
      <c r="AZ52" t="inlineStr"/>
      <c r="BA52" t="inlineStr"/>
      <c r="BB52" t="inlineStr">
        <is>
          <t>+35 nettoyage + categorie claire | -20 gros budget (&gt; 500 000 EUR) | +10 delai confortable 21j</t>
        </is>
      </c>
      <c r="BC52" t="inlineStr">
        <is>
          <t>Centre nationale du cinéma publie un AO potentiellement pertinent pour CHRUTH : Nettoyage écoresponsable des locaux du CNC à Paris et prestations associées. Zone : 75. Budget detecte environ 900 000 EUR. Verifier le lien source avant contact.</t>
        </is>
      </c>
      <c r="BD52" t="inlineStr">
        <is>
          <t>Bonjour,
Je me permets de vous contacter au sujet de votre appel d'offres : Nettoyage écoresponsable des locaux du CNC à Paris et prestations associées.
CHRUTH accompagne les structures publiques et privées sur les besoins de nettoyage, d'entretien des locaux et d'organisation de prestations de service.
Serait-il possible d'échanger rapidement afin de vérifier les modalités de réponse et les attentes de Centre nationale du cinéma ?
Cordialement,</t>
        </is>
      </c>
      <c r="BE52" t="inlineStr">
        <is>
          <t>Bonjour, je vous appelle concernant un appel d'offres publié par Centre nationale du cinéma. Je souhaite vérifier les informations pratiques : périmètre des prestations, date limite, modalités de visite, contact technique et pièces attendues. Pouvez-vous m'indiquer la bonne personne à contacter ?</t>
        </is>
      </c>
      <c r="BF52" t="inlineStr"/>
      <c r="BG52" t="inlineStr"/>
      <c r="BH52" t="inlineStr"/>
      <c r="BI52" t="inlineStr"/>
      <c r="BJ52" t="inlineStr"/>
      <c r="BK52" t="inlineStr"/>
      <c r="BL52" t="inlineStr"/>
      <c r="BM52" t="inlineStr">
        <is>
          <t>2026-W26</t>
        </is>
      </c>
    </row>
    <row r="53">
      <c r="A53" t="inlineStr">
        <is>
          <t>BOAMP</t>
        </is>
      </c>
      <c r="B53" t="inlineStr">
        <is>
          <t>26-55925</t>
        </is>
      </c>
      <c r="C53" t="inlineStr">
        <is>
          <t>Nettoyage des locaux du MAC VAL - Musée d'art contemporain du Val-de-Marne</t>
        </is>
      </c>
      <c r="D53" t="inlineStr">
        <is>
          <t>Département du Val-de-Marne</t>
        </is>
      </c>
      <c r="E53" t="inlineStr">
        <is>
          <t>22940028800010</t>
        </is>
      </c>
      <c r="F53" t="inlineStr">
        <is>
          <t>229400288</t>
        </is>
      </c>
      <c r="G53" t="inlineStr"/>
      <c r="H53" t="inlineStr"/>
      <c r="I53" t="inlineStr">
        <is>
          <t>ddc-macval-marches@valdemarne.fr</t>
        </is>
      </c>
      <c r="J53" t="inlineStr">
        <is>
          <t>0704900017</t>
        </is>
      </c>
      <c r="K53" t="inlineStr"/>
      <c r="L53" t="inlineStr"/>
      <c r="M53" t="inlineStr"/>
      <c r="N53" t="inlineStr">
        <is>
          <t>94</t>
        </is>
      </c>
      <c r="O53" t="inlineStr"/>
      <c r="P53" t="inlineStr">
        <is>
          <t>Ile-de-France</t>
        </is>
      </c>
      <c r="Q53" s="15" t="n">
        <v>46180</v>
      </c>
      <c r="R53" s="15" t="n">
        <v>46227</v>
      </c>
      <c r="S53" s="14" t="n">
        <v>1400000</v>
      </c>
      <c r="T53" t="inlineStr">
        <is>
          <t>BUDGET_EXPLICITE_OK</t>
        </is>
      </c>
      <c r="U53" t="inlineStr">
        <is>
          <t>8400000</t>
        </is>
      </c>
      <c r="V53" t="inlineStr">
        <is>
          <t>oui</t>
        </is>
      </c>
      <c r="W53" t="inlineStr">
        <is>
          <t>Batiments</t>
        </is>
      </c>
      <c r="X53" t="inlineStr">
        <is>
          <t>Autre</t>
        </is>
      </c>
      <c r="Y53" t="inlineStr">
        <is>
          <t>SERVICES</t>
        </is>
      </c>
      <c r="Z53" t="inlineStr">
        <is>
          <t>Procédure Ouverte</t>
        </is>
      </c>
      <c r="AA53" t="inlineStr">
        <is>
          <t>Avis de marché</t>
        </is>
      </c>
      <c r="AB53" t="inlineStr">
        <is>
          <t>Nettoyage de locaux</t>
        </is>
      </c>
      <c r="AC53" t="inlineStr">
        <is>
          <t>['sociaux', 'environnementaux']</t>
        </is>
      </c>
      <c r="AD53" s="11" t="inlineStr">
        <is>
          <t>https://www.boamp.fr/pages/avis/?q=idweb:26-55925</t>
        </is>
      </c>
      <c r="AE53" t="inlineStr">
        <is>
          <t>https://maximilien.fr</t>
        </is>
      </c>
      <c r="AF53" t="inlineStr">
        <is>
          <t>https://maximilien.fr</t>
        </is>
      </c>
      <c r="AG53" t="inlineStr">
        <is>
          <t>nettoyage</t>
        </is>
      </c>
      <c r="AH53" t="inlineStr">
        <is>
          <t>3</t>
        </is>
      </c>
      <c r="AI53" t="inlineStr">
        <is>
          <t>68</t>
        </is>
      </c>
      <c r="AJ53" t="inlineStr">
        <is>
          <t>INFO_PARTIELLE</t>
        </is>
      </c>
      <c r="AK53" t="inlineStr">
        <is>
          <t>25</t>
        </is>
      </c>
      <c r="AL53" s="17" t="inlineStr">
        <is>
          <t>FROID</t>
        </is>
      </c>
      <c r="AM53" t="inlineStr"/>
      <c r="AN53" t="inlineStr"/>
      <c r="AO53" t="inlineStr"/>
      <c r="AP53" t="inlineStr"/>
      <c r="AQ53" t="inlineStr">
        <is>
          <t>IA_CONTACT_A_COMPLETER</t>
        </is>
      </c>
      <c r="AR53" t="inlineStr">
        <is>
          <t>Completer les champs manquants depuis l'avis source, le site acheteur ou le DCE.</t>
        </is>
      </c>
      <c r="AS53" t="inlineStr">
        <is>
          <t>adresse, ville</t>
        </is>
      </c>
      <c r="AT5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26-55925. Objet: Nettoyage des locaux du MAC VAL - Musée d'art contemporain du Val-de-Marne. Acheteur: Département du Val-de-Marne. Lien: https://www.boamp.fr/pages/avis/?q=idweb:26-55925.</t>
        </is>
      </c>
      <c r="AU53" t="inlineStr">
        <is>
          <t>Verifier url_avis et DCE si disponible</t>
        </is>
      </c>
      <c r="AV53" t="inlineStr"/>
      <c r="AW53" t="inlineStr"/>
      <c r="AX53" t="inlineStr"/>
      <c r="AY53" t="inlineStr"/>
      <c r="AZ53" t="inlineStr"/>
      <c r="BA53" t="inlineStr"/>
      <c r="BB53" t="inlineStr">
        <is>
          <t>+35 nettoyage + categorie claire | -20 gros budget (&gt; 500 000 EUR) | +10 delai confortable 33j</t>
        </is>
      </c>
      <c r="BC53" t="inlineStr">
        <is>
          <t>Département du Val-de-Marne publie un AO potentiellement pertinent pour CHRUTH : Nettoyage des locaux du MAC VAL - Musée d'art contemporain du Val-de-Marne. Zone : 94. Budget detecte environ 1 400 000 EUR. Verifier le lien source avant contact.</t>
        </is>
      </c>
      <c r="BD53" t="inlineStr">
        <is>
          <t>Bonjour,
Je me permets de vous contacter au sujet de votre appel d'offres : Nettoyage des locaux du MAC VAL - Musée d'art contemporain du Val-de-Marne.
CHRUTH accompagne les structures publiques et privees sur les besoins de nettoyage, d'entretien des locaux et d'organisation de prestations de service.
Serait-il possible d'echanger rapidement afin de verifier les modalites de reponse et les attentes de Département du Val-de-Marne ?
Cordialement,</t>
        </is>
      </c>
      <c r="BE53" t="inlineStr">
        <is>
          <t>Bonjour, je vous appelle concernant un appel d'offres publie par Département du Val-de-Marne. Je souhaite verifier les informations pratiques : perimetre des prestations, date limite, modalites de visite, contact technique et pieces attendues. Pouvez-vous m'indiquer la bonne personne a contacter ?</t>
        </is>
      </c>
      <c r="BF53" t="inlineStr"/>
      <c r="BG53" t="inlineStr"/>
      <c r="BH53" t="inlineStr"/>
      <c r="BI53" t="inlineStr"/>
      <c r="BJ53" t="inlineStr"/>
      <c r="BK53" t="inlineStr"/>
      <c r="BL53" t="inlineStr"/>
      <c r="BM53" t="inlineStr">
        <is>
          <t>2026-W23</t>
        </is>
      </c>
    </row>
    <row r="54">
      <c r="A54" t="inlineStr">
        <is>
          <t>BOAMP</t>
        </is>
      </c>
      <c r="B54" t="inlineStr">
        <is>
          <t>26-61210</t>
        </is>
      </c>
      <c r="C54" t="inlineStr">
        <is>
          <t>Gestion, entretien et maintenance des parcs de stationnement en structure de la Communauté d'agglomération Grand Paris Sud Seine Essonne Sénart</t>
        </is>
      </c>
      <c r="D54" t="inlineStr">
        <is>
          <t>CA GRAND PARIS SUD SEINE ESSONNE SENART</t>
        </is>
      </c>
      <c r="E54" t="inlineStr">
        <is>
          <t>20005922800011</t>
        </is>
      </c>
      <c r="F54" t="inlineStr">
        <is>
          <t>200059228</t>
        </is>
      </c>
      <c r="G54" t="inlineStr"/>
      <c r="H54" t="inlineStr"/>
      <c r="I54" t="inlineStr">
        <is>
          <t>commande.publique@grandparissud.fr</t>
        </is>
      </c>
      <c r="J54" t="inlineStr">
        <is>
          <t>0592280001</t>
        </is>
      </c>
      <c r="K54" t="inlineStr"/>
      <c r="L54" t="inlineStr"/>
      <c r="M54" t="inlineStr"/>
      <c r="N54" t="inlineStr">
        <is>
          <t>91,77</t>
        </is>
      </c>
      <c r="O54" t="inlineStr"/>
      <c r="P54" t="inlineStr">
        <is>
          <t>Ile-de-France</t>
        </is>
      </c>
      <c r="Q54" s="15" t="n">
        <v>46194</v>
      </c>
      <c r="R54" s="15" t="n">
        <v>46223</v>
      </c>
      <c r="S54" s="14" t="n">
        <v>600000</v>
      </c>
      <c r="T54" t="inlineStr">
        <is>
          <t>BUDGET_EXPLICITE_OK</t>
        </is>
      </c>
      <c r="U54" t="inlineStr">
        <is>
          <t>1200000</t>
        </is>
      </c>
      <c r="V54" t="inlineStr">
        <is>
          <t>oui</t>
        </is>
      </c>
      <c r="W54" t="inlineStr">
        <is>
          <t>Batiments</t>
        </is>
      </c>
      <c r="X54" t="inlineStr">
        <is>
          <t>Autre</t>
        </is>
      </c>
      <c r="Y54" t="inlineStr">
        <is>
          <t>SERVICES</t>
        </is>
      </c>
      <c r="Z54" t="inlineStr">
        <is>
          <t>Procédure Ouverte</t>
        </is>
      </c>
      <c r="AA54" t="inlineStr">
        <is>
          <t>Avis de marché</t>
        </is>
      </c>
      <c r="AB54" t="inlineStr">
        <is>
          <t>Maintenance</t>
        </is>
      </c>
      <c r="AC54" t="inlineStr">
        <is>
          <t>['sociaux', 'environnementaux']</t>
        </is>
      </c>
      <c r="AD54" s="11" t="inlineStr">
        <is>
          <t>https://www.boamp.fr/pages/avis/?q=idweb:26-61210</t>
        </is>
      </c>
      <c r="AE54" t="inlineStr">
        <is>
          <t>https://www.achatpublic.com/sdm/ent/gen/ent_detail.do?PCSLID=CSL_2026_LcQAKFuczu</t>
        </is>
      </c>
      <c r="AF54" t="inlineStr">
        <is>
          <t>https://www.achatpublic.com/sdm/ent/gen/ent_detail.do?PCSLID=CSL_2026_LcQAKFuczu</t>
        </is>
      </c>
      <c r="AG54" t="inlineStr">
        <is>
          <t>proprete</t>
        </is>
      </c>
      <c r="AH54" t="inlineStr">
        <is>
          <t>3</t>
        </is>
      </c>
      <c r="AI54" t="inlineStr">
        <is>
          <t>68</t>
        </is>
      </c>
      <c r="AJ54" t="inlineStr">
        <is>
          <t>INFO_PARTIELLE</t>
        </is>
      </c>
      <c r="AK54" t="inlineStr">
        <is>
          <t>20</t>
        </is>
      </c>
      <c r="AL54" s="17" t="inlineStr">
        <is>
          <t>FROID</t>
        </is>
      </c>
      <c r="AM54" t="inlineStr"/>
      <c r="AN54" t="inlineStr"/>
      <c r="AO54" t="inlineStr"/>
      <c r="AP54" t="inlineStr"/>
      <c r="AQ54" t="inlineStr">
        <is>
          <t>IA_CONTACT_A_COMPLETER</t>
        </is>
      </c>
      <c r="AR54" t="inlineStr">
        <is>
          <t>Completer les champs manquants depuis l'avis source, le site acheteur ou le DCE.</t>
        </is>
      </c>
      <c r="AS54" t="inlineStr">
        <is>
          <t>adresse, ville</t>
        </is>
      </c>
      <c r="AT5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26-61210. Objet: Gestion, entretien et maintenance des parcs de stationnement en structure de la Communauté d'agglomération Grand Paris Sud Seine Essonne Sénart. Acheteur: CA GRAND PARIS SUD SEINE ESSONNE SENART. Lien: https://www.boamp.fr/pages/avis/?q=idweb:26-61210.</t>
        </is>
      </c>
      <c r="AU54" t="inlineStr">
        <is>
          <t>Verifier url_avis et DCE si disponible</t>
        </is>
      </c>
      <c r="AV54" t="inlineStr"/>
      <c r="AW54" t="inlineStr"/>
      <c r="AX54" t="inlineStr"/>
      <c r="AY54" t="inlineStr"/>
      <c r="AZ54" t="inlineStr"/>
      <c r="BA54" t="inlineStr"/>
      <c r="BB54" t="inlineStr">
        <is>
          <t>+35 nettoyage + categorie claire | -20 gros budget (&gt; 500 000 EUR) | +5 delai court 15j</t>
        </is>
      </c>
      <c r="BC54" t="inlineStr">
        <is>
          <t>CA GRAND PARIS SUD SEINE ESSONNE SENART publie un AO potentiellement pertinent pour CHRUTH : Gestion, entretien et maintenance des parcs de stationnement en structure de la Communauté d'agglomération Grand Paris Sud Seine Essonne Sénart. Zone : 91,77. Budget detecte environ 600 000 EUR. Verifier le lien source avant contact.</t>
        </is>
      </c>
      <c r="BD54" t="inlineStr">
        <is>
          <t>Bonjour,
Je me permets de vous contacter au sujet de votre appel d'offres : Gestion, entretien et maintenance des parcs de stationnement en structure de la Communauté d'agglomération Grand Paris Sud Seine Essonne Sénart.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54"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54" t="inlineStr"/>
      <c r="BG54" t="inlineStr"/>
      <c r="BH54" t="inlineStr"/>
      <c r="BI54" t="inlineStr"/>
      <c r="BJ54" t="inlineStr"/>
      <c r="BK54" t="inlineStr"/>
      <c r="BL54" t="inlineStr"/>
      <c r="BM54" t="inlineStr">
        <is>
          <t>2026-W25</t>
        </is>
      </c>
    </row>
    <row r="55">
      <c r="A55" t="inlineStr">
        <is>
          <t>BOAMP</t>
        </is>
      </c>
      <c r="B55" t="inlineStr">
        <is>
          <t>26-53755</t>
        </is>
      </c>
      <c r="C55" t="inlineStr">
        <is>
          <t>Dépose, nettoyage et pose de stickers sur autobus</t>
        </is>
      </c>
      <c r="D55" t="inlineStr">
        <is>
          <t>Ratp Cap Ateliers Championnet</t>
        </is>
      </c>
      <c r="E55" t="inlineStr">
        <is>
          <t>17750111101763</t>
        </is>
      </c>
      <c r="F55" t="inlineStr">
        <is>
          <t>177501111</t>
        </is>
      </c>
      <c r="G55" t="inlineStr"/>
      <c r="H55" t="inlineStr"/>
      <c r="I55" t="inlineStr">
        <is>
          <t>frederic.zuber@ratpcap.com</t>
        </is>
      </c>
      <c r="J55" t="inlineStr">
        <is>
          <t>+33 698668868</t>
        </is>
      </c>
      <c r="K55" t="inlineStr"/>
      <c r="L55" t="inlineStr"/>
      <c r="M55" t="inlineStr"/>
      <c r="N55" t="inlineStr">
        <is>
          <t>75</t>
        </is>
      </c>
      <c r="O55" t="inlineStr"/>
      <c r="P55" t="inlineStr">
        <is>
          <t>Ile-de-France</t>
        </is>
      </c>
      <c r="Q55" s="15" t="n">
        <v>46176</v>
      </c>
      <c r="R55" t="inlineStr"/>
      <c r="S55" s="14" t="n">
        <v>700000</v>
      </c>
      <c r="T55" t="inlineStr">
        <is>
          <t>BUDGET_EXPLICITE_OK</t>
        </is>
      </c>
      <c r="U55" t="inlineStr">
        <is>
          <t>700000.0</t>
        </is>
      </c>
      <c r="V55" t="inlineStr">
        <is>
          <t>non</t>
        </is>
      </c>
      <c r="W55" t="inlineStr">
        <is>
          <t>Batiments</t>
        </is>
      </c>
      <c r="X55" t="inlineStr">
        <is>
          <t>Autre</t>
        </is>
      </c>
      <c r="Y55" t="inlineStr">
        <is>
          <t>SERVICES</t>
        </is>
      </c>
      <c r="Z55" t="inlineStr">
        <is>
          <t>Procédure Négociée</t>
        </is>
      </c>
      <c r="AA55" t="inlineStr">
        <is>
          <t>Avis de marché</t>
        </is>
      </c>
      <c r="AB55" t="inlineStr">
        <is>
          <t>Prestations de services, Nettoyage de locaux, Nettoyage urbain</t>
        </is>
      </c>
      <c r="AC55" t="inlineStr"/>
      <c r="AD55" s="11" t="inlineStr">
        <is>
          <t>https://www.boamp.fr/pages/avis/?q=idweb:26-53755</t>
        </is>
      </c>
      <c r="AE55" t="inlineStr">
        <is>
          <t>https://www.e-marchespublics.com/appel-offre/1163733</t>
        </is>
      </c>
      <c r="AF55" t="inlineStr">
        <is>
          <t>https://www.e-marchespublics.com/appel-offre/1163733</t>
        </is>
      </c>
      <c r="AG55" t="inlineStr">
        <is>
          <t>nettoyage</t>
        </is>
      </c>
      <c r="AH55" t="inlineStr">
        <is>
          <t>3</t>
        </is>
      </c>
      <c r="AI55" t="inlineStr">
        <is>
          <t>68</t>
        </is>
      </c>
      <c r="AJ55" t="inlineStr">
        <is>
          <t>INFO_PARTIELLE</t>
        </is>
      </c>
      <c r="AK55" t="inlineStr">
        <is>
          <t>15</t>
        </is>
      </c>
      <c r="AL55" s="17" t="inlineStr">
        <is>
          <t>FROID</t>
        </is>
      </c>
      <c r="AM55" t="inlineStr"/>
      <c r="AN55" t="inlineStr"/>
      <c r="AO55" t="inlineStr"/>
      <c r="AP55" t="inlineStr"/>
      <c r="AQ55" t="inlineStr">
        <is>
          <t>IA_CONTACT_A_COMPLETER</t>
        </is>
      </c>
      <c r="AR55" t="inlineStr">
        <is>
          <t>Completer les champs manquants depuis l'avis source, le site acheteur ou le DCE.</t>
        </is>
      </c>
      <c r="AS55" t="inlineStr">
        <is>
          <t>adresse, ville</t>
        </is>
      </c>
      <c r="AT5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26-53755. Objet: Dépose, nettoyage et pose de stickers sur autobus. Acheteur: Ratp Cap Ateliers Championnet. Lien: https://www.boamp.fr/pages/avis/?q=idweb:26-53755.</t>
        </is>
      </c>
      <c r="AU55" t="inlineStr">
        <is>
          <t>Verifier url_avis et DCE si disponible</t>
        </is>
      </c>
      <c r="AV55" t="inlineStr"/>
      <c r="AW55" t="inlineStr"/>
      <c r="AX55" t="inlineStr"/>
      <c r="AY55" t="inlineStr"/>
      <c r="AZ55" t="inlineStr"/>
      <c r="BA55" t="inlineStr"/>
      <c r="BB55" t="inlineStr">
        <is>
          <t>+35 nettoyage + categorie claire | -20 gros budget (&gt; 500 000 EUR) | 0 date limite absente</t>
        </is>
      </c>
      <c r="BC55" t="inlineStr">
        <is>
          <t>Ratp Cap Ateliers Championnet publie un AO potentiellement pertinent pour CHRUTH : Dépose, nettoyage et pose de stickers sur autobus. Zone : 75. Budget detecte environ 700 000 EUR. Verifier le lien source avant contact.</t>
        </is>
      </c>
      <c r="BD55" t="inlineStr">
        <is>
          <t>Bonjour,
Je me permets de vous contacter au sujet de votre appel d'offres : Dépose, nettoyage et pose de stickers sur autobus.
CHRUTH accompagne les structures publiques et privees sur les besoins de nettoyage, d'entretien des locaux et d'organisation de prestations de service.
Serait-il possible d'echanger rapidement afin de verifier les modalites de reponse et les attentes de Ratp Cap Ateliers Championnet ?
Cordialement,</t>
        </is>
      </c>
      <c r="BE55" t="inlineStr">
        <is>
          <t>Bonjour, je vous appelle concernant un appel d'offres publie par Ratp Cap Ateliers Championnet. Je souhaite verifier les informations pratiques : perimetre des prestations, date limite, modalites de visite, contact technique et pieces attendues. Pouvez-vous m'indiquer la bonne personne a contacter ?</t>
        </is>
      </c>
      <c r="BF55" t="inlineStr"/>
      <c r="BG55" t="inlineStr"/>
      <c r="BH55" t="inlineStr"/>
      <c r="BI55" t="inlineStr"/>
      <c r="BJ55" t="inlineStr"/>
      <c r="BK55" t="inlineStr"/>
      <c r="BL55" t="inlineStr"/>
      <c r="BM55" t="inlineStr">
        <is>
          <t>2026-W23</t>
        </is>
      </c>
    </row>
    <row r="56">
      <c r="A56" t="inlineStr">
        <is>
          <t>BOAMP</t>
        </is>
      </c>
      <c r="B56" t="inlineStr">
        <is>
          <t>26-59853</t>
        </is>
      </c>
      <c r="C56" t="inlineStr">
        <is>
          <t>Blanchissage et nettoyage d'effets de travail et de couchage au profit des organismes soutenus par le GSC IdF</t>
        </is>
      </c>
      <c r="D56" t="inlineStr">
        <is>
          <t>Plate-forme commissariat Paris</t>
        </is>
      </c>
      <c r="E56" t="inlineStr">
        <is>
          <t>13001534000016</t>
        </is>
      </c>
      <c r="F56" t="inlineStr">
        <is>
          <t>130015340</t>
        </is>
      </c>
      <c r="G56" t="inlineStr"/>
      <c r="H56" t="inlineStr"/>
      <c r="I56" t="inlineStr">
        <is>
          <t>pfc-paris-bap.ach.fct@intradef.gouv.fr</t>
        </is>
      </c>
      <c r="J56" t="inlineStr">
        <is>
          <t>0153400001</t>
        </is>
      </c>
      <c r="K56" t="inlineStr"/>
      <c r="L56" t="inlineStr"/>
      <c r="M56" t="inlineStr"/>
      <c r="N56" t="inlineStr">
        <is>
          <t>78</t>
        </is>
      </c>
      <c r="O56" t="inlineStr"/>
      <c r="P56" t="inlineStr">
        <is>
          <t>Ile-de-France</t>
        </is>
      </c>
      <c r="Q56" s="15" t="n">
        <v>46191</v>
      </c>
      <c r="R56" s="15" t="n">
        <v>46203</v>
      </c>
      <c r="S56" s="14" t="n">
        <v>720000</v>
      </c>
      <c r="T56" t="inlineStr">
        <is>
          <t>BUDGET_EXPLICITE_OK</t>
        </is>
      </c>
      <c r="U56" t="inlineStr">
        <is>
          <t>720000</t>
        </is>
      </c>
      <c r="V56" t="inlineStr">
        <is>
          <t>oui</t>
        </is>
      </c>
      <c r="W56" t="inlineStr">
        <is>
          <t>Bureaux</t>
        </is>
      </c>
      <c r="X56" t="inlineStr">
        <is>
          <t>Autre</t>
        </is>
      </c>
      <c r="Y56" t="inlineStr">
        <is>
          <t>SERVICES</t>
        </is>
      </c>
      <c r="Z56" t="inlineStr">
        <is>
          <t>Procédure Ouverte</t>
        </is>
      </c>
      <c r="AA56" t="inlineStr">
        <is>
          <t>Avis de marché</t>
        </is>
      </c>
      <c r="AB56" t="inlineStr">
        <is>
          <t>Blanchissage</t>
        </is>
      </c>
      <c r="AC56" t="inlineStr">
        <is>
          <t>['sociaux', 'environnementaux']</t>
        </is>
      </c>
      <c r="AD56" s="11" t="inlineStr">
        <is>
          <t>https://www.boamp.fr/pages/avis/?q=idweb:26-59853</t>
        </is>
      </c>
      <c r="AE56" t="inlineStr">
        <is>
          <t>https://marches-publics.gouv.fr</t>
        </is>
      </c>
      <c r="AF56" t="inlineStr">
        <is>
          <t>https://marches-publics.gouv.fr</t>
        </is>
      </c>
      <c r="AG56" t="inlineStr">
        <is>
          <t>nettoyage</t>
        </is>
      </c>
      <c r="AH56" t="inlineStr">
        <is>
          <t>3</t>
        </is>
      </c>
      <c r="AI56" t="inlineStr">
        <is>
          <t>68</t>
        </is>
      </c>
      <c r="AJ56" t="inlineStr">
        <is>
          <t>INFO_PARTIELLE</t>
        </is>
      </c>
      <c r="AK56" t="inlineStr">
        <is>
          <t>0</t>
        </is>
      </c>
      <c r="AL56" s="17" t="inlineStr">
        <is>
          <t>FROID</t>
        </is>
      </c>
      <c r="AM56" t="inlineStr"/>
      <c r="AN56" t="inlineStr"/>
      <c r="AO56" t="inlineStr"/>
      <c r="AP56" t="inlineStr"/>
      <c r="AQ56" t="inlineStr">
        <is>
          <t>IA_CONTACT_A_COMPLETER</t>
        </is>
      </c>
      <c r="AR56" t="inlineStr">
        <is>
          <t>Completer les champs manquants depuis l'avis source, le site acheteur ou le DCE.</t>
        </is>
      </c>
      <c r="AS56" t="inlineStr">
        <is>
          <t>adresse, ville</t>
        </is>
      </c>
      <c r="AT5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26-59853. Objet: Blanchissage et nettoyage d'effets de travail et de couchage au profit des organismes soutenus par le GSC IdF. Acheteur: Plate-forme commissariat Paris. Lien: https://www.boamp.fr/pages/avis/?q=idweb:26-59853.</t>
        </is>
      </c>
      <c r="AU56" t="inlineStr">
        <is>
          <t>Verifier url_avis et DCE si disponible</t>
        </is>
      </c>
      <c r="AV56" t="inlineStr"/>
      <c r="AW56" t="inlineStr"/>
      <c r="AX56" t="inlineStr"/>
      <c r="AY56" t="inlineStr"/>
      <c r="AZ56" t="inlineStr"/>
      <c r="BA56" t="inlineStr"/>
      <c r="BB56" t="inlineStr">
        <is>
          <t>+35 nettoyage + categorie claire | -20 gros budget (&gt; 500 000 EUR) | -30 AO expire</t>
        </is>
      </c>
      <c r="BC56" t="inlineStr">
        <is>
          <t>Plate-forme commissariat Paris publie un AO potentiellement pertinent pour CHRUTH : Blanchissage et nettoyage d'effets de travail et de couchage au profit des organismes soutenus par le GSC IdF. Zone : 78. Budget detecte environ 720 000 EUR. Verifier le lien source avant contact.</t>
        </is>
      </c>
      <c r="BD56" t="inlineStr">
        <is>
          <t>Bonjour,
Je me permets de vous contacter au sujet de votre appel d'offres : Blanchissage et nettoyage d'effets de travail et de couchage au profit des organismes soutenus par le GSC IdF.
CHRUTH accompagne les structures publiques et privées sur les besoins de nettoyage, d'entretien des locaux et d'organisation de prestations de service.
Serait-il possible d'échanger rapidement afin de vérifier les modalités de réponse et les attentes de Plate-forme commissariat Paris ?
Cordialement,</t>
        </is>
      </c>
      <c r="BE56" t="inlineStr">
        <is>
          <t>Bonjour, je vous appelle concernant un appel d'offres publié par Plate-forme commissariat Paris. Je souhaite vérifier les informations pratiques : périmètre des prestations, date limite, modalités de visite, contact technique et pièces attendues. Pouvez-vous m'indiquer la bonne personne à contacter ?</t>
        </is>
      </c>
      <c r="BF56" t="inlineStr"/>
      <c r="BG56" t="inlineStr"/>
      <c r="BH56" t="inlineStr"/>
      <c r="BI56" t="inlineStr"/>
      <c r="BJ56" t="inlineStr"/>
      <c r="BK56" t="inlineStr"/>
      <c r="BL56" t="inlineStr"/>
      <c r="BM56" t="inlineStr">
        <is>
          <t>2026-W25</t>
        </is>
      </c>
    </row>
    <row r="57">
      <c r="A57" t="inlineStr">
        <is>
          <t>BOAMP</t>
        </is>
      </c>
      <c r="B57" t="inlineStr">
        <is>
          <t>26-55506</t>
        </is>
      </c>
      <c r="C57" t="inlineStr">
        <is>
          <t>2026 M02 LRO - PRESTATIONS DE NETTOYAGE DES LOCAUX ET VITRES DES BATIMENTS COMMUNAUX DE LA VILLE DE LA ROCHETTE</t>
        </is>
      </c>
      <c r="D57" t="inlineStr">
        <is>
          <t>Mairie de La Rochette</t>
        </is>
      </c>
      <c r="E57" t="inlineStr">
        <is>
          <t>21040170900014</t>
        </is>
      </c>
      <c r="F57" t="inlineStr">
        <is>
          <t>210401709</t>
        </is>
      </c>
      <c r="G57" t="inlineStr"/>
      <c r="H57" t="inlineStr"/>
      <c r="I57" t="inlineStr">
        <is>
          <t>juridique@larochette77.fr</t>
        </is>
      </c>
      <c r="J57" t="inlineStr">
        <is>
          <t>0401709000</t>
        </is>
      </c>
      <c r="K57" t="inlineStr"/>
      <c r="L57" t="inlineStr"/>
      <c r="M57" t="inlineStr"/>
      <c r="N57" t="inlineStr">
        <is>
          <t>77,75,91</t>
        </is>
      </c>
      <c r="O57" t="inlineStr"/>
      <c r="P57" t="inlineStr">
        <is>
          <t>Ile-de-France</t>
        </is>
      </c>
      <c r="Q57" s="15" t="n">
        <v>46180</v>
      </c>
      <c r="R57" s="15" t="n">
        <v>46192</v>
      </c>
      <c r="S57" s="14" t="n">
        <v>1400000</v>
      </c>
      <c r="T57" t="inlineStr">
        <is>
          <t>BUDGET_EXPLICITE_OK</t>
        </is>
      </c>
      <c r="U57" t="inlineStr">
        <is>
          <t>1400000.0</t>
        </is>
      </c>
      <c r="V57" t="inlineStr">
        <is>
          <t>non</t>
        </is>
      </c>
      <c r="W57" t="inlineStr">
        <is>
          <t>Vitres</t>
        </is>
      </c>
      <c r="X57" t="inlineStr">
        <is>
          <t>Mairie</t>
        </is>
      </c>
      <c r="Y57" t="inlineStr">
        <is>
          <t>SERVICES</t>
        </is>
      </c>
      <c r="Z57" t="inlineStr">
        <is>
          <t>Procédure Ouverte</t>
        </is>
      </c>
      <c r="AA57" t="inlineStr">
        <is>
          <t>Avis de marché</t>
        </is>
      </c>
      <c r="AB57" t="inlineStr">
        <is>
          <t>Nettoyage de locaux</t>
        </is>
      </c>
      <c r="AC57" t="inlineStr"/>
      <c r="AD57" s="11" t="inlineStr">
        <is>
          <t>https://www.boamp.fr/pages/avis/?q=idweb:26-55506</t>
        </is>
      </c>
      <c r="AE57" t="inlineStr">
        <is>
          <t>https://marchesonline.achatpublic.com</t>
        </is>
      </c>
      <c r="AF57" t="inlineStr">
        <is>
          <t>https://marchesonline.achatpublic.com</t>
        </is>
      </c>
      <c r="AG57" t="inlineStr">
        <is>
          <t>nettoyage</t>
        </is>
      </c>
      <c r="AH57" t="inlineStr">
        <is>
          <t>3</t>
        </is>
      </c>
      <c r="AI57" t="inlineStr">
        <is>
          <t>68</t>
        </is>
      </c>
      <c r="AJ57" t="inlineStr">
        <is>
          <t>INFO_PARTIELLE</t>
        </is>
      </c>
      <c r="AK57" t="inlineStr">
        <is>
          <t>0</t>
        </is>
      </c>
      <c r="AL57" s="17" t="inlineStr">
        <is>
          <t>FROID</t>
        </is>
      </c>
      <c r="AM57" t="inlineStr"/>
      <c r="AN57" t="inlineStr"/>
      <c r="AO57" t="inlineStr"/>
      <c r="AP57" t="inlineStr"/>
      <c r="AQ57" t="inlineStr">
        <is>
          <t>IA_CONTACT_A_COMPLETER</t>
        </is>
      </c>
      <c r="AR57" t="inlineStr">
        <is>
          <t>Completer les champs manquants depuis l'avis source, le site acheteur ou le DCE.</t>
        </is>
      </c>
      <c r="AS57" t="inlineStr">
        <is>
          <t>adresse, ville</t>
        </is>
      </c>
      <c r="AT5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26-55506. Objet: 2026 M02 LRO - PRESTATIONS DE NETTOYAGE DES LOCAUX ET VITRES DES BATIMENTS COMMUNAUX DE LA VILLE DE LA ROCHETTE. Acheteur: Mairie de La Rochette. Lien: https://www.boamp.fr/pages/avis/?q=idweb:26-55506.</t>
        </is>
      </c>
      <c r="AU57" t="inlineStr">
        <is>
          <t>Verifier url_avis et DCE si disponible</t>
        </is>
      </c>
      <c r="AV57" t="inlineStr"/>
      <c r="AW57" t="inlineStr"/>
      <c r="AX57" t="inlineStr"/>
      <c r="AY57" t="inlineStr"/>
      <c r="AZ57" t="inlineStr"/>
      <c r="BA57" t="inlineStr"/>
      <c r="BB57" t="inlineStr">
        <is>
          <t>+35 nettoyage + categorie claire | -20 gros budget (&gt; 500 000 EUR) | +10 secteur cible Mairie | -30 AO expire</t>
        </is>
      </c>
      <c r="BC57" t="inlineStr">
        <is>
          <t>Mairie de La Rochette publie un AO potentiellement pertinent pour CHRUTH : 2026 M02 LRO - PRESTATIONS DE NETTOYAGE DES LOCAUX ET VITRES DES BATIMENTS COMMUNAUX DE LA VILLE DE LA ROCHETTE. Zone : 77,75,91. Budget detecte environ 1 400 000 EUR. Verifier le lien source avant contact.</t>
        </is>
      </c>
      <c r="BD57" t="inlineStr">
        <is>
          <t>Bonjour,
Je me permets de vous contacter au sujet de votre appel d'offres : 2026 M02 LRO - PRESTATIONS DE NETTOYAGE DES LOCAUX ET VITRES DES BATIMENTS COMMUNAUX DE LA VILLE DE LA ROCHETTE.
CHRUTH accompagne les structures publiques et privees sur les besoins de nettoyage, d'entretien des locaux et d'organisation de prestations de service.
Serait-il possible d'echanger rapidement afin de verifier les modalites de reponse et les attentes de Mairie de La Rochette ?
Cordialement,</t>
        </is>
      </c>
      <c r="BE57" t="inlineStr">
        <is>
          <t>Bonjour, je vous appelle concernant un appel d'offres publie par Mairie de La Rochette. Je souhaite verifier les informations pratiques : perimetre des prestations, date limite, modalites de visite, contact technique et pieces attendues. Pouvez-vous m'indiquer la bonne personne a contacter ?</t>
        </is>
      </c>
      <c r="BF57" t="inlineStr"/>
      <c r="BG57" t="inlineStr"/>
      <c r="BH57" t="inlineStr"/>
      <c r="BI57" t="inlineStr"/>
      <c r="BJ57" t="inlineStr"/>
      <c r="BK57" t="inlineStr"/>
      <c r="BL57" t="inlineStr"/>
      <c r="BM57" t="inlineStr">
        <is>
          <t>2026-W23</t>
        </is>
      </c>
    </row>
    <row r="58">
      <c r="A58" t="inlineStr">
        <is>
          <t>BOAMP</t>
        </is>
      </c>
      <c r="B58" t="inlineStr">
        <is>
          <t>26-55879</t>
        </is>
      </c>
      <c r="C58" t="inlineStr">
        <is>
          <t>AAPC-MS-Issy-les-Moulineaux</t>
        </is>
      </c>
      <c r="D58" t="inlineStr">
        <is>
          <t>Ministère de l'Intérieur</t>
        </is>
      </c>
      <c r="E58" t="inlineStr">
        <is>
          <t>12001404800074</t>
        </is>
      </c>
      <c r="F58" t="inlineStr">
        <is>
          <t>120014048</t>
        </is>
      </c>
      <c r="G58" t="inlineStr"/>
      <c r="H58" t="inlineStr"/>
      <c r="I58" t="inlineStr">
        <is>
          <t>othmane.dahmani@interieur.gouv.fr</t>
        </is>
      </c>
      <c r="J58" t="inlineStr">
        <is>
          <t>0140480007</t>
        </is>
      </c>
      <c r="K58" t="inlineStr"/>
      <c r="L58" t="inlineStr"/>
      <c r="M58" t="inlineStr"/>
      <c r="N58" t="inlineStr">
        <is>
          <t>75</t>
        </is>
      </c>
      <c r="O58" t="inlineStr"/>
      <c r="P58" t="inlineStr">
        <is>
          <t>Ile-de-France</t>
        </is>
      </c>
      <c r="Q58" s="15" t="n">
        <v>46180</v>
      </c>
      <c r="R58" s="15" t="n">
        <v>46164</v>
      </c>
      <c r="S58" s="14" t="n">
        <v>2240000</v>
      </c>
      <c r="T58" t="inlineStr">
        <is>
          <t>BUDGET_EXPLICITE_OK</t>
        </is>
      </c>
      <c r="U58" t="inlineStr">
        <is>
          <t>2240000.0</t>
        </is>
      </c>
      <c r="V58" t="inlineStr">
        <is>
          <t>non</t>
        </is>
      </c>
      <c r="W58" t="inlineStr">
        <is>
          <t>Batiments</t>
        </is>
      </c>
      <c r="X58" t="inlineStr">
        <is>
          <t>Batiment administratif</t>
        </is>
      </c>
      <c r="Y58" t="inlineStr">
        <is>
          <t>SERVICES</t>
        </is>
      </c>
      <c r="Z58" t="inlineStr">
        <is>
          <t>Procédure Ouverte</t>
        </is>
      </c>
      <c r="AA58" t="inlineStr">
        <is>
          <t>Avis de marché</t>
        </is>
      </c>
      <c r="AB58" t="inlineStr">
        <is>
          <t>Prestations de services, Nettoyage de locaux</t>
        </is>
      </c>
      <c r="AC58" t="inlineStr">
        <is>
          <t>['sociaux', 'environnementaux']</t>
        </is>
      </c>
      <c r="AD58" s="11" t="inlineStr">
        <is>
          <t>https://www.boamp.fr/pages/avis/?q=idweb:26-55879</t>
        </is>
      </c>
      <c r="AE58" t="inlineStr">
        <is>
          <t>https://www.marches-publics.gouv.fr/entreprise</t>
        </is>
      </c>
      <c r="AF58" t="inlineStr">
        <is>
          <t>https://www.marches-publics.gouv.fr/entreprise</t>
        </is>
      </c>
      <c r="AG58" t="inlineStr">
        <is>
          <t>nettoyage</t>
        </is>
      </c>
      <c r="AH58" t="inlineStr">
        <is>
          <t>3</t>
        </is>
      </c>
      <c r="AI58" t="inlineStr">
        <is>
          <t>68</t>
        </is>
      </c>
      <c r="AJ58" t="inlineStr">
        <is>
          <t>INFO_PARTIELLE</t>
        </is>
      </c>
      <c r="AK58" t="inlineStr">
        <is>
          <t>0</t>
        </is>
      </c>
      <c r="AL58" s="17" t="inlineStr">
        <is>
          <t>FROID</t>
        </is>
      </c>
      <c r="AM58" t="inlineStr"/>
      <c r="AN58" t="inlineStr"/>
      <c r="AO58" t="inlineStr"/>
      <c r="AP58" t="inlineStr"/>
      <c r="AQ58" t="inlineStr">
        <is>
          <t>IA_CONTACT_A_COMPLETER</t>
        </is>
      </c>
      <c r="AR58" t="inlineStr">
        <is>
          <t>Completer les champs manquants depuis l'avis source, le site acheteur ou le DCE.</t>
        </is>
      </c>
      <c r="AS58" t="inlineStr">
        <is>
          <t>adresse, ville</t>
        </is>
      </c>
      <c r="AT5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26-55879. Objet: AAPC-MS-Issy-les-Moulineaux. Acheteur: Ministère de l'Intérieur. Lien: https://www.boamp.fr/pages/avis/?q=idweb:26-55879.</t>
        </is>
      </c>
      <c r="AU58" t="inlineStr">
        <is>
          <t>Verifier url_avis et DCE si disponible</t>
        </is>
      </c>
      <c r="AV58" t="inlineStr"/>
      <c r="AW58" t="inlineStr"/>
      <c r="AX58" t="inlineStr"/>
      <c r="AY58" t="inlineStr"/>
      <c r="AZ58" t="inlineStr"/>
      <c r="BA58" t="inlineStr"/>
      <c r="BB58" t="inlineStr">
        <is>
          <t>+35 nettoyage + categorie claire | -20 gros budget (&gt; 500 000 EUR) | +10 secteur cible Batiment administratif | -30 AO expire</t>
        </is>
      </c>
      <c r="BC58" t="inlineStr">
        <is>
          <t>Ministère de l'Intérieur publie un AO potentiellement pertinent pour CHRUTH : AAPC-MS-Issy-les-Moulineaux. Zone : 75. Budget detecte environ 2 240 000 EUR. Verifier le lien source avant contact.</t>
        </is>
      </c>
      <c r="BD58" t="inlineStr">
        <is>
          <t>Bonjour,
Je me permets de vous contacter au sujet de votre appel d'offres : AAPC-MS-Issy-les-Moulineaux.
CHRUTH accompagne les structures publiques et privees sur les besoins de nettoyage, d'entretien des locaux et d'organisation de prestations de service.
Serait-il possible d'echanger rapidement afin de verifier les modalites de reponse et les attentes de Ministère de l'Intérieur ?
Cordialement,</t>
        </is>
      </c>
      <c r="BE58" t="inlineStr">
        <is>
          <t>Bonjour, je vous appelle concernant un appel d'offres publie par Ministère de l'Intérieur. Je souhaite verifier les informations pratiques : perimetre des prestations, date limite, modalites de visite, contact technique et pieces attendues. Pouvez-vous m'indiquer la bonne personne a contacter ?</t>
        </is>
      </c>
      <c r="BF58" t="inlineStr"/>
      <c r="BG58" t="inlineStr"/>
      <c r="BH58" t="inlineStr"/>
      <c r="BI58" t="inlineStr"/>
      <c r="BJ58" t="inlineStr"/>
      <c r="BK58" t="inlineStr"/>
      <c r="BL58" t="inlineStr"/>
      <c r="BM58" t="inlineStr">
        <is>
          <t>2026-W23</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 xmlns:r="http://schemas.openxmlformats.org/officeDocument/2006/relationships" ref="AD51" r:id="rId50"/>
    <hyperlink xmlns:r="http://schemas.openxmlformats.org/officeDocument/2006/relationships" ref="AD52" r:id="rId51"/>
    <hyperlink xmlns:r="http://schemas.openxmlformats.org/officeDocument/2006/relationships" ref="AD53" r:id="rId52"/>
    <hyperlink xmlns:r="http://schemas.openxmlformats.org/officeDocument/2006/relationships" ref="AD54" r:id="rId53"/>
    <hyperlink xmlns:r="http://schemas.openxmlformats.org/officeDocument/2006/relationships" ref="AD55" r:id="rId54"/>
    <hyperlink xmlns:r="http://schemas.openxmlformats.org/officeDocument/2006/relationships" ref="AD56" r:id="rId55"/>
    <hyperlink xmlns:r="http://schemas.openxmlformats.org/officeDocument/2006/relationships" ref="AD57" r:id="rId56"/>
    <hyperlink xmlns:r="http://schemas.openxmlformats.org/officeDocument/2006/relationships" ref="AD58" r:id="rId57"/>
  </hyperlinks>
  <pageMargins left="0.75" right="0.75" top="1" bottom="1" header="0.5" footer="0.5"/>
  <tableParts count="1">
    <tablePart xmlns:r="http://schemas.openxmlformats.org/officeDocument/2006/relationships" r:id="rId58"/>
  </tableParts>
</worksheet>
</file>

<file path=xl/worksheets/sheet6.xml><?xml version="1.0" encoding="utf-8"?>
<worksheet xmlns="http://schemas.openxmlformats.org/spreadsheetml/2006/main">
  <sheetPr>
    <outlinePr summaryBelow="1" summaryRight="1"/>
    <pageSetUpPr/>
  </sheetPr>
  <dimension ref="A1:BM6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2" customWidth="1" min="1" max="1"/>
    <col width="17" customWidth="1" min="2" max="2"/>
    <col width="55" customWidth="1" min="3" max="3"/>
    <col width="55" customWidth="1" min="4" max="4"/>
    <col width="16" customWidth="1" min="5" max="5"/>
    <col width="16" customWidth="1" min="6" max="6"/>
    <col width="27" customWidth="1" min="7" max="7"/>
    <col width="16" customWidth="1" min="8" max="8"/>
    <col width="50" customWidth="1" min="9" max="9"/>
    <col width="16" customWidth="1" min="10" max="10"/>
    <col width="43"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8" customWidth="1" min="23" max="23"/>
    <col width="10" customWidth="1" min="24" max="24"/>
    <col width="13" customWidth="1" min="25" max="25"/>
    <col width="20" customWidth="1" min="26" max="26"/>
    <col width="16" customWidth="1" min="27" max="27"/>
    <col width="55" customWidth="1" min="28" max="28"/>
    <col width="33" customWidth="1" min="29" max="29"/>
    <col width="55"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2" customWidth="1" min="38" max="38"/>
    <col width="21" customWidth="1" min="39" max="39"/>
    <col width="24" customWidth="1" min="40" max="40"/>
    <col width="23" customWidth="1" min="41" max="41"/>
    <col width="22" customWidth="1" min="42" max="42"/>
    <col width="24" customWidth="1" min="43" max="43"/>
    <col width="55" customWidth="1" min="44" max="44"/>
    <col width="49"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26-63741</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46201</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Ouverte</t>
        </is>
      </c>
      <c r="AA2" t="inlineStr">
        <is>
          <t>Avis de marché</t>
        </is>
      </c>
      <c r="AB2" t="inlineStr">
        <is>
          <t>Formation, Nettoyage de locaux</t>
        </is>
      </c>
      <c r="AC2" t="inlineStr"/>
      <c r="AD2" s="11" t="inlineStr">
        <is>
          <t>https://www.boamp.fr/pages/avis/?q=idweb:26-63741</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95</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26-63741. Objet: Accord cadre de missions de formation de lutte contre la discrimination et de lutte contre les violences sexistes et sexuelles à destination du tissu associatif en deux lots séparés.. Acheteur: VILLE de PARIS - DFA - SDA. Lien: https://www.boamp.fr/pages/avis/?q=idweb:26-63741.</t>
        </is>
      </c>
      <c r="AU2" t="inlineStr">
        <is>
          <t>Verifier url_avis et DCE si disponible</t>
        </is>
      </c>
      <c r="AV2" t="inlineStr"/>
      <c r="AW2" t="inlineStr"/>
      <c r="AX2" t="inlineStr"/>
      <c r="AY2" t="inlineStr"/>
      <c r="AZ2" t="inlineStr"/>
      <c r="BA2" t="inlineStr"/>
      <c r="BB2" t="inlineStr">
        <is>
          <t>+35 nettoyage + categorie claire | +25 budget annualise &lt;= 50 000 EUR | +15 procedure adaptee / MAPA / allotissement | +10 secteur cible Mairie | +10 delai confortable 71j</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2026-W26</t>
        </is>
      </c>
    </row>
    <row r="3">
      <c r="A3" t="inlineStr">
        <is>
          <t>BOAMP</t>
        </is>
      </c>
      <c r="B3" t="inlineStr">
        <is>
          <t>26-58680</t>
        </is>
      </c>
      <c r="C3" t="inlineStr">
        <is>
          <t>Nettoyage des vitres et entretien des bâtiments communaux (Administratifs, Culturels, Scolaires, Sportifs et Autres)</t>
        </is>
      </c>
      <c r="D3" t="inlineStr">
        <is>
          <t>MAIRIE DES LILAS</t>
        </is>
      </c>
      <c r="E3" t="inlineStr"/>
      <c r="F3" t="inlineStr"/>
      <c r="G3" t="inlineStr"/>
      <c r="H3" t="inlineStr"/>
      <c r="I3" t="inlineStr">
        <is>
          <t>publications-joue@aws-france.com</t>
        </is>
      </c>
      <c r="J3" t="inlineStr">
        <is>
          <t>+33480041260</t>
        </is>
      </c>
      <c r="K3" t="inlineStr"/>
      <c r="L3" t="inlineStr"/>
      <c r="M3" t="inlineStr"/>
      <c r="N3" t="inlineStr">
        <is>
          <t>93</t>
        </is>
      </c>
      <c r="O3" t="inlineStr"/>
      <c r="P3" t="inlineStr">
        <is>
          <t>Ile-de-France</t>
        </is>
      </c>
      <c r="Q3" s="15" t="n">
        <v>46187</v>
      </c>
      <c r="R3" s="15" t="n">
        <v>46216</v>
      </c>
      <c r="S3" s="14" t="n">
        <v>22000</v>
      </c>
      <c r="T3" t="inlineStr">
        <is>
          <t>BUDGET_SOUS_SEUIL</t>
        </is>
      </c>
      <c r="U3" t="inlineStr">
        <is>
          <t>5500</t>
        </is>
      </c>
      <c r="V3" t="inlineStr">
        <is>
          <t>oui</t>
        </is>
      </c>
      <c r="W3" t="inlineStr">
        <is>
          <t>Vitres</t>
        </is>
      </c>
      <c r="X3" t="inlineStr">
        <is>
          <t>Mairie</t>
        </is>
      </c>
      <c r="Y3" t="inlineStr">
        <is>
          <t>SERVICES</t>
        </is>
      </c>
      <c r="Z3" t="inlineStr">
        <is>
          <t>Procédure Ouverte</t>
        </is>
      </c>
      <c r="AA3" t="inlineStr">
        <is>
          <t>Avis de marché</t>
        </is>
      </c>
      <c r="AB3" t="inlineStr">
        <is>
          <t>Nettoyage de locaux, Vitrerie</t>
        </is>
      </c>
      <c r="AC3" t="inlineStr">
        <is>
          <t>['sociaux', 'environnementaux']</t>
        </is>
      </c>
      <c r="AD3" s="11" t="inlineStr">
        <is>
          <t>https://www.boamp.fr/pages/avis/?q=idweb:26-58680</t>
        </is>
      </c>
      <c r="AE3" t="inlineStr">
        <is>
          <t>http://agysoft.marches-publics.info/</t>
        </is>
      </c>
      <c r="AF3" t="inlineStr">
        <is>
          <t>http://agysoft.marches-publics.info/</t>
        </is>
      </c>
      <c r="AG3" t="inlineStr">
        <is>
          <t>nettoyage, nettoyage de vitres</t>
        </is>
      </c>
      <c r="AH3" t="inlineStr">
        <is>
          <t>2</t>
        </is>
      </c>
      <c r="AI3" t="inlineStr">
        <is>
          <t>66</t>
        </is>
      </c>
      <c r="AJ3" t="inlineStr">
        <is>
          <t>INFO_PARTIELLE</t>
        </is>
      </c>
      <c r="AK3" t="inlineStr">
        <is>
          <t>80</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SIRET, adresse, ville</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26-58680. Objet: Nettoyage des vitres et entretien des bâtiments communaux (Administratifs, Culturels, Scolaires, Sportifs et Autres). Acheteur: MAIRIE DES LILAS. Lien: https://www.boamp.fr/pages/avis/?q=idweb:26-58680.</t>
        </is>
      </c>
      <c r="AU3" t="inlineStr">
        <is>
          <t>Verifier url_avis et DCE si disponible</t>
        </is>
      </c>
      <c r="AV3" t="inlineStr"/>
      <c r="AW3" t="inlineStr"/>
      <c r="AX3" t="inlineStr"/>
      <c r="AY3" t="inlineStr"/>
      <c r="AZ3" t="inlineStr"/>
      <c r="BA3" t="inlineStr"/>
      <c r="BB3" t="inlineStr">
        <is>
          <t>+35 nettoyage + categorie claire | +25 budget annualise &lt;= 50 000 EUR | +10 secteur cible Mairie | +10 delai confortable 21j</t>
        </is>
      </c>
      <c r="BC3" t="inlineStr">
        <is>
          <t>MAIRIE DES LILAS publie un AO potentiellement pertinent pour CHRUTH : Nettoyage des vitres et entretien des bâtiments communaux (Administratifs, Culturels, Scolaires, Sportifs et Autres). Zone : 93. Budget detecte environ 22 000 EUR. Verifier le lien source avant contact.</t>
        </is>
      </c>
      <c r="BD3" t="inlineStr">
        <is>
          <t>Bonjour,
Je me permets de vous contacter au sujet de votre appel d'offres : Nettoyage des vitres et entretien des bâtiments communaux (Administratifs, Culturels, Scolaires, Sportifs et Autres).
CHRUTH accompagne les structures publiques et privees sur les besoins de nettoyage, d'entretien des locaux et d'organisation de prestations de service.
Serait-il possible d'echanger rapidement afin de verifier les modalites de reponse et les attentes de MAIRIE DES LILAS ?
Cordialement,</t>
        </is>
      </c>
      <c r="BE3" t="inlineStr">
        <is>
          <t>Bonjour, je vous appelle concernant un appel d'offres publie par MAIRIE DES LILAS. Je souhaite verifier les informations pratiques : perimetre des prestations, date limite, modalites de visite, contact technique et pieces attendues. Pouvez-vous m'indiquer la bonne personne a contacter ?</t>
        </is>
      </c>
      <c r="BF3" t="inlineStr"/>
      <c r="BG3" t="inlineStr"/>
      <c r="BH3" t="inlineStr"/>
      <c r="BI3" t="inlineStr"/>
      <c r="BJ3" t="inlineStr"/>
      <c r="BK3" t="inlineStr"/>
      <c r="BL3" t="inlineStr"/>
      <c r="BM3" t="inlineStr">
        <is>
          <t>2026-W24</t>
        </is>
      </c>
    </row>
    <row r="4">
      <c r="A4" t="inlineStr">
        <is>
          <t>BOAMP</t>
        </is>
      </c>
      <c r="B4" t="inlineStr">
        <is>
          <t>26-66091</t>
        </is>
      </c>
      <c r="C4" t="inlineStr">
        <is>
          <t>Restauration de monuments funéraires et de statues pour la ville d'Asnières-sur-Seine</t>
        </is>
      </c>
      <c r="D4" t="inlineStr">
        <is>
          <t>Mairie d'Asnières sur Seine</t>
        </is>
      </c>
      <c r="E4" t="inlineStr">
        <is>
          <t>21920004500017</t>
        </is>
      </c>
      <c r="F4" t="inlineStr">
        <is>
          <t>219200045</t>
        </is>
      </c>
      <c r="G4" t="inlineStr">
        <is>
          <t>marches@mairieasnieres.fr</t>
        </is>
      </c>
      <c r="H4" t="inlineStr"/>
      <c r="I4" t="inlineStr">
        <is>
          <t>marches@mairieasnieres.fr</t>
        </is>
      </c>
      <c r="J4" t="inlineStr">
        <is>
          <t>0141111494</t>
        </is>
      </c>
      <c r="K4" t="inlineStr">
        <is>
          <t>Hauts-de-Seine</t>
        </is>
      </c>
      <c r="L4" t="inlineStr">
        <is>
          <t>92600</t>
        </is>
      </c>
      <c r="M4" t="inlineStr">
        <is>
          <t>Asnières sur seine</t>
        </is>
      </c>
      <c r="N4" t="inlineStr">
        <is>
          <t>92</t>
        </is>
      </c>
      <c r="O4" t="inlineStr"/>
      <c r="P4" t="inlineStr">
        <is>
          <t>Ile-de-France</t>
        </is>
      </c>
      <c r="Q4" s="15" t="n">
        <v>46206</v>
      </c>
      <c r="R4" s="15" t="n">
        <v>46234</v>
      </c>
      <c r="S4" s="14" t="n">
        <v>92600</v>
      </c>
      <c r="T4" t="inlineStr">
        <is>
          <t>BUDGET_SOUS_SEUIL</t>
        </is>
      </c>
      <c r="U4" t="inlineStr">
        <is>
          <t>92600.0</t>
        </is>
      </c>
      <c r="V4" t="inlineStr">
        <is>
          <t>non</t>
        </is>
      </c>
      <c r="W4" t="inlineStr">
        <is>
          <t>Batiments</t>
        </is>
      </c>
      <c r="X4" t="inlineStr">
        <is>
          <t>Mairie</t>
        </is>
      </c>
      <c r="Y4" t="inlineStr">
        <is>
          <t>TRAVAUX</t>
        </is>
      </c>
      <c r="Z4" t="inlineStr">
        <is>
          <t>Procédure Ouverte</t>
        </is>
      </c>
      <c r="AA4" t="inlineStr">
        <is>
          <t>Avis de marché</t>
        </is>
      </c>
      <c r="AB4" t="inlineStr">
        <is>
          <t>Décoration (travaux)</t>
        </is>
      </c>
      <c r="AC4" t="inlineStr">
        <is>
          <t>['environnementaux']</t>
        </is>
      </c>
      <c r="AD4" s="11" t="inlineStr">
        <is>
          <t>https://www.boamp.fr/pages/avis/?q=idweb:26-66091</t>
        </is>
      </c>
      <c r="AE4" t="inlineStr">
        <is>
          <t>https://www.achatpublic.com/sdm/ent/gen/ent_detail.do?PCSLID=CSL_2026_a6SYMMMQ2m</t>
        </is>
      </c>
      <c r="AF4" t="inlineStr">
        <is>
          <t>https://www.achatpublic.com/sdm/ent/gen/ent_detail.do?PCSLID=CSL_2026_a6SYMMMQ2m</t>
        </is>
      </c>
      <c r="AG4" t="inlineStr">
        <is>
          <t>nettoyage</t>
        </is>
      </c>
      <c r="AH4" t="inlineStr">
        <is>
          <t>6</t>
        </is>
      </c>
      <c r="AI4" t="inlineStr">
        <is>
          <t>98</t>
        </is>
      </c>
      <c r="AJ4" t="inlineStr">
        <is>
          <t>INFO_PARTIELLE</t>
        </is>
      </c>
      <c r="AK4" t="inlineStr">
        <is>
          <t>75</t>
        </is>
      </c>
      <c r="AL4" s="13" t="inlineStr">
        <is>
          <t>CHAUD</t>
        </is>
      </c>
      <c r="AM4" t="inlineStr"/>
      <c r="AN4" t="inlineStr"/>
      <c r="AO4" t="inlineStr"/>
      <c r="AP4" t="inlineStr"/>
      <c r="AQ4" t="inlineStr">
        <is>
          <t>IA_CONTROLE_SOURCE</t>
        </is>
      </c>
      <c r="AR4" t="inlineStr">
        <is>
          <t>Verifier rapidement la source avant contact.</t>
        </is>
      </c>
      <c r="AS4" t="inlineStr">
        <is>
          <t>Aucun champ critique manquant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26-66091. Objet: Restauration de monuments funéraires et de statues pour la ville d'Asnières-sur-Seine. Acheteur: Mairie d'Asnières sur Seine. Lien: https://www.boamp.fr/pages/avis/?q=idweb:26-66091.</t>
        </is>
      </c>
      <c r="AU4" t="inlineStr">
        <is>
          <t>Verifier url_avis et DCE si disponible</t>
        </is>
      </c>
      <c r="AV4" t="inlineStr"/>
      <c r="AW4" t="inlineStr"/>
      <c r="AX4" t="inlineStr"/>
      <c r="AY4" t="inlineStr"/>
      <c r="AZ4" t="inlineStr"/>
      <c r="BA4" t="inlineStr"/>
      <c r="BB4" t="inlineStr">
        <is>
          <t>+35 nettoyage + categorie claire | +20 budget annualise &lt;= 100 000 EUR | +10 secteur cible Mairie | +10 delai confortable 25j</t>
        </is>
      </c>
      <c r="BC4" t="inlineStr">
        <is>
          <t>Mairie d'Asnières sur Seine publie un AO potentiellement pertinent pour CHRUTH : Restauration de monuments funéraires et de statues pour la ville d'Asnières-sur-Seine. Zone : Asnières sur seine. Budget detecte environ 92 600 EUR. Verifier le lien source avant contact.</t>
        </is>
      </c>
      <c r="BD4" t="inlineStr">
        <is>
          <t>Bonjour,
Je me permets de vous contacter au sujet de votre appel d'offres : Restauration de monuments funéraires et de statues pour la ville d'Asnières-sur-Seine.
CHRUTH accompagne les structures publiques et privées sur les besoins de nettoyage, d'entretien des locaux et d'organisation de prestations de service.
Serait-il possible d'échanger rapidement afin de vérifier les modalités de réponse et les attentes de Mairie d'Asnières sur Seine ?
Cordialement,</t>
        </is>
      </c>
      <c r="BE4" t="inlineStr">
        <is>
          <t>Bonjour, je vous appelle concernant un appel d'offres publié par Mairie d'Asnières sur Seine.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2026-W27</t>
        </is>
      </c>
    </row>
    <row r="5">
      <c r="A5" t="inlineStr">
        <is>
          <t>BOAMP</t>
        </is>
      </c>
      <c r="B5" t="inlineStr">
        <is>
          <t>26-60739</t>
        </is>
      </c>
      <c r="C5" t="inlineStr">
        <is>
          <t>FOURNITURE D'EQUIPEMENTS, PRODUITS D'ENTRETIEN ET HACCP AU PROFIT DE LA VILLE ET DU CCAS DE LONGJUMEAU (2ème procédure)</t>
        </is>
      </c>
      <c r="D5" t="inlineStr">
        <is>
          <t>Ville de Longjumeau</t>
        </is>
      </c>
      <c r="E5" t="inlineStr">
        <is>
          <t>21910345400225</t>
        </is>
      </c>
      <c r="F5" t="inlineStr">
        <is>
          <t>219103454</t>
        </is>
      </c>
      <c r="G5" t="inlineStr"/>
      <c r="H5" t="inlineStr"/>
      <c r="I5" t="inlineStr">
        <is>
          <t>achatpublic@longjumeau.fr</t>
        </is>
      </c>
      <c r="J5" t="inlineStr">
        <is>
          <t>0345400225</t>
        </is>
      </c>
      <c r="K5" t="inlineStr"/>
      <c r="L5" t="inlineStr"/>
      <c r="M5" t="inlineStr"/>
      <c r="N5" t="inlineStr">
        <is>
          <t>91</t>
        </is>
      </c>
      <c r="O5" t="inlineStr"/>
      <c r="P5" t="inlineStr">
        <is>
          <t>Ile-de-France</t>
        </is>
      </c>
      <c r="Q5" s="15" t="n">
        <v>46193</v>
      </c>
      <c r="R5" s="15" t="n">
        <v>46231</v>
      </c>
      <c r="S5" s="14" t="n">
        <v>280000</v>
      </c>
      <c r="T5" t="inlineStr">
        <is>
          <t>BUDGET_EXPLICITE_OK</t>
        </is>
      </c>
      <c r="U5" t="inlineStr">
        <is>
          <t>70000</t>
        </is>
      </c>
      <c r="V5" t="inlineStr">
        <is>
          <t>oui</t>
        </is>
      </c>
      <c r="W5" t="inlineStr">
        <is>
          <t>Batiments</t>
        </is>
      </c>
      <c r="X5" t="inlineStr">
        <is>
          <t>Mairie</t>
        </is>
      </c>
      <c r="Y5" t="inlineStr">
        <is>
          <t>FOURNITURES</t>
        </is>
      </c>
      <c r="Z5" t="inlineStr">
        <is>
          <t>Procédure Ouverte</t>
        </is>
      </c>
      <c r="AA5" t="inlineStr">
        <is>
          <t>Avis de marché</t>
        </is>
      </c>
      <c r="AB5" t="inlineStr">
        <is>
          <t>Hygiène (articles), Produits d'entretien</t>
        </is>
      </c>
      <c r="AC5" t="inlineStr"/>
      <c r="AD5" s="11" t="inlineStr">
        <is>
          <t>https://www.boamp.fr/pages/avis/?q=idweb:26-60739</t>
        </is>
      </c>
      <c r="AE5" t="inlineStr">
        <is>
          <t>http://longjumeau.e-marchespublics.com</t>
        </is>
      </c>
      <c r="AF5" t="inlineStr">
        <is>
          <t>http://longjumeau.e-marchespublics.com</t>
        </is>
      </c>
      <c r="AG5" t="inlineStr">
        <is>
          <t>entretien des locaux</t>
        </is>
      </c>
      <c r="AH5" t="inlineStr">
        <is>
          <t>3</t>
        </is>
      </c>
      <c r="AI5" t="inlineStr">
        <is>
          <t>68</t>
        </is>
      </c>
      <c r="AJ5" t="inlineStr">
        <is>
          <t>INFO_PARTIELLE</t>
        </is>
      </c>
      <c r="AK5" t="inlineStr">
        <is>
          <t>75</t>
        </is>
      </c>
      <c r="AL5" s="13" t="inlineStr">
        <is>
          <t>CHAUD</t>
        </is>
      </c>
      <c r="AM5" t="inlineStr"/>
      <c r="AN5" t="inlineStr"/>
      <c r="AO5" t="inlineStr"/>
      <c r="AP5" t="inlineStr"/>
      <c r="AQ5" t="inlineStr">
        <is>
          <t>IA_CONTACT_A_COMPLETER</t>
        </is>
      </c>
      <c r="AR5" t="inlineStr">
        <is>
          <t>Completer les champs manquants depuis l'avis source, le site acheteur ou le DCE.</t>
        </is>
      </c>
      <c r="AS5" t="inlineStr">
        <is>
          <t>adresse, ville</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26-60739. Objet: FOURNITURE D'EQUIPEMENTS, PRODUITS D'ENTRETIEN ET HACCP AU PROFIT DE LA VILLE ET DU CCAS DE LONGJUMEAU (2ème procédure). Acheteur: Ville de Longjumeau. Lien: https://www.boamp.fr/pages/avis/?q=idweb:26-60739.</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24j</t>
        </is>
      </c>
      <c r="BC5" t="inlineStr">
        <is>
          <t>Ville de Longjumeau publie un AO potentiellement pertinent pour CHRUTH : FOURNITURE D'EQUIPEMENTS, PRODUITS D'ENTRETIEN ET HACCP AU PROFIT DE LA VILLE ET DU CCAS DE LONGJUMEAU (2ème procédure). Zone : 91. Budget detecte environ 280 000 EUR. Verifier le lien source avant contact.</t>
        </is>
      </c>
      <c r="BD5" t="inlineStr">
        <is>
          <t>Bonjour,
Je me permets de vous contacter au sujet de votre appel d'offres : FOURNITURE D'EQUIPEMENTS, PRODUITS D'ENTRETIEN ET HACCP AU PROFIT DE LA VILLE ET DU CCAS DE LONGJUMEAU (2ème procédure).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5"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2026-W25</t>
        </is>
      </c>
    </row>
    <row r="6">
      <c r="A6" t="inlineStr">
        <is>
          <t>BOAMP</t>
        </is>
      </c>
      <c r="B6" t="inlineStr">
        <is>
          <t>26-57399</t>
        </is>
      </c>
      <c r="C6" t="inlineStr">
        <is>
          <t>Prestations de nettoyage de certains équipements de protection individuelle (EPI) et vêtements de travail professionnels</t>
        </is>
      </c>
      <c r="D6" t="inlineStr">
        <is>
          <t>MAIRIE DE ROMAINVILLE</t>
        </is>
      </c>
      <c r="E6" t="inlineStr">
        <is>
          <t>21930063900016</t>
        </is>
      </c>
      <c r="F6" t="inlineStr">
        <is>
          <t>219300639</t>
        </is>
      </c>
      <c r="G6" t="inlineStr">
        <is>
          <t>Adrien VELLA</t>
        </is>
      </c>
      <c r="H6" t="inlineStr"/>
      <c r="I6" t="inlineStr"/>
      <c r="J6" t="inlineStr">
        <is>
          <t>06-10 2026-07</t>
        </is>
      </c>
      <c r="K6" t="inlineStr">
        <is>
          <t>Seine-Saint-Denis</t>
        </is>
      </c>
      <c r="L6" t="inlineStr">
        <is>
          <t>93230</t>
        </is>
      </c>
      <c r="M6" t="inlineStr">
        <is>
          <t>Romainville</t>
        </is>
      </c>
      <c r="N6" t="inlineStr">
        <is>
          <t>93</t>
        </is>
      </c>
      <c r="O6" t="inlineStr"/>
      <c r="P6" t="inlineStr">
        <is>
          <t>Ile-de-France</t>
        </is>
      </c>
      <c r="Q6" s="15" t="n">
        <v>46183</v>
      </c>
      <c r="R6" s="15" t="n">
        <v>46213</v>
      </c>
      <c r="S6" s="14" t="n">
        <v>93230</v>
      </c>
      <c r="T6" t="inlineStr">
        <is>
          <t>BUDGET_SOUS_SEUIL</t>
        </is>
      </c>
      <c r="U6" t="inlineStr">
        <is>
          <t>93230.0</t>
        </is>
      </c>
      <c r="V6" t="inlineStr">
        <is>
          <t>non</t>
        </is>
      </c>
      <c r="W6" t="inlineStr">
        <is>
          <t>Mixte/Autre</t>
        </is>
      </c>
      <c r="X6" t="inlineStr">
        <is>
          <t>Mairie</t>
        </is>
      </c>
      <c r="Y6" t="inlineStr">
        <is>
          <t>SERVICES</t>
        </is>
      </c>
      <c r="Z6" t="inlineStr">
        <is>
          <t>Procédure Ouverte</t>
        </is>
      </c>
      <c r="AA6" t="inlineStr">
        <is>
          <t>Avis de marché</t>
        </is>
      </c>
      <c r="AB6" t="inlineStr">
        <is>
          <t>Blanchissage</t>
        </is>
      </c>
      <c r="AC6" t="inlineStr">
        <is>
          <t>['sociaux', 'environnementaux']</t>
        </is>
      </c>
      <c r="AD6" s="11" t="inlineStr">
        <is>
          <t>https://www.boamp.fr/pages/avis/?q=idweb:26-57399</t>
        </is>
      </c>
      <c r="AE6" t="inlineStr">
        <is>
          <t>https://www.achatpublic.com/sdm/ent/gen/ent_detail.do?PCSLID=CSL_2026_XmI0UKhCKV</t>
        </is>
      </c>
      <c r="AF6" t="inlineStr">
        <is>
          <t>https://www.achatpublic.com/sdm/ent/gen/ent_detail.do?PCSLID=CSL_2026_XmI0UKhCKV</t>
        </is>
      </c>
      <c r="AG6" t="inlineStr">
        <is>
          <t>nettoyage</t>
        </is>
      </c>
      <c r="AH6" t="inlineStr">
        <is>
          <t>5</t>
        </is>
      </c>
      <c r="AI6" t="inlineStr">
        <is>
          <t>88</t>
        </is>
      </c>
      <c r="AJ6" t="inlineStr">
        <is>
          <t>INFO_PARTIELLE</t>
        </is>
      </c>
      <c r="AK6" t="inlineStr">
        <is>
          <t>70</t>
        </is>
      </c>
      <c r="AL6" s="13" t="inlineStr">
        <is>
          <t>CHAUD</t>
        </is>
      </c>
      <c r="AM6" t="inlineStr"/>
      <c r="AN6" t="inlineStr"/>
      <c r="AO6" t="inlineStr"/>
      <c r="AP6" t="inlineStr"/>
      <c r="AQ6" t="inlineStr">
        <is>
          <t>IA_CONTACT_A_COMPLETER</t>
        </is>
      </c>
      <c r="AR6" t="inlineStr">
        <is>
          <t>Completer les champs manquants depuis l'avis source, le site acheteur ou le DCE.</t>
        </is>
      </c>
      <c r="AS6" t="inlineStr">
        <is>
          <t>email</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26-57399. Objet: Prestations de nettoyage de certains équipements de protection individuelle (EPI) et vêtements de travail professionnels. Acheteur: MAIRIE DE ROMAINVILLE. Lien: https://www.boamp.fr/pages/avis/?q=idweb:26-57399.</t>
        </is>
      </c>
      <c r="AU6" t="inlineStr">
        <is>
          <t>Verifier url_avis et DCE si disponible</t>
        </is>
      </c>
      <c r="AV6" t="inlineStr">
        <is>
          <t>LIEN_SEUL</t>
        </is>
      </c>
      <c r="AW6" t="inlineStr"/>
      <c r="AX6" t="inlineStr"/>
      <c r="AY6" t="inlineStr"/>
      <c r="AZ6" t="inlineStr"/>
      <c r="BA6" t="inlineStr"/>
      <c r="BB6" t="inlineStr">
        <is>
          <t>+30 mots-cles nettoyage forts | +20 budget annualise &lt;= 100 000 EUR | +10 secteur cible Mairie | +10 delai confortable 18j</t>
        </is>
      </c>
      <c r="BC6" t="inlineStr">
        <is>
          <t>MAIRIE DE ROMAINVILLE publie un AO potentiellement pertinent pour CHRUTH : Prestations de nettoyage de certains équipements de protection individuelle (EPI) et vêtements de travail professionnels. Zone : Romainville. Budget detecte environ 93 230 EUR. Verifier le lien source avant contact.</t>
        </is>
      </c>
      <c r="BD6" t="inlineStr">
        <is>
          <t>Bonjour,
Je me permets de vous contacter au sujet de votre appel d'offres : Prestations de nettoyage de certains équipements de protection individuelle (EPI) et vêtements de travail professionnels.
CHRUTH accompagne les structures publiques et privees sur les besoins de nettoyage, d'entretien des locaux et d'organisation de prestations de service.
Serait-il possible d'echanger rapidement afin de verifier les modalites de reponse et les attentes de MAIRIE DE ROMAINVILLE ?
Cordialement,</t>
        </is>
      </c>
      <c r="BE6" t="inlineStr">
        <is>
          <t>Bonjour, je vous appelle concernant un appel d'offres publie par MAIRIE DE ROMAINVILLE. Je souhaite verifier les informations pratiques : perimetre des prestations, date limite, modalites de visite, contact technique et pieces attendues. Pouvez-vous m'indiquer la bonne personne a contacter ?</t>
        </is>
      </c>
      <c r="BF6" t="inlineStr"/>
      <c r="BG6" t="inlineStr"/>
      <c r="BH6" t="inlineStr"/>
      <c r="BI6" t="inlineStr"/>
      <c r="BJ6" t="inlineStr"/>
      <c r="BK6" t="inlineStr"/>
      <c r="BL6" t="inlineStr"/>
      <c r="BM6" t="inlineStr">
        <is>
          <t>2026-W24</t>
        </is>
      </c>
    </row>
    <row r="7">
      <c r="A7" t="inlineStr">
        <is>
          <t>BOAMP</t>
        </is>
      </c>
      <c r="B7" t="inlineStr">
        <is>
          <t>26-56654</t>
        </is>
      </c>
      <c r="C7" t="inlineStr">
        <is>
          <t>Prestations de bio-nettoyage, mise à blanc et mise à gris des zones à atmosphère contrôlée au profit du CTSA et de l'UMTI</t>
        </is>
      </c>
      <c r="D7" t="inlineStr">
        <is>
          <t>DAPSA/PFAF-S</t>
        </is>
      </c>
      <c r="E7" t="inlineStr"/>
      <c r="F7" t="inlineStr"/>
      <c r="G7" t="inlineStr">
        <is>
          <t>BARDIEU</t>
        </is>
      </c>
      <c r="H7" t="inlineStr"/>
      <c r="I7" t="inlineStr">
        <is>
          <t>melisande.bardieu@intradef.gouv.fr</t>
        </is>
      </c>
      <c r="J7" t="inlineStr">
        <is>
          <t>0238607455</t>
        </is>
      </c>
      <c r="K7" t="inlineStr"/>
      <c r="L7" t="inlineStr">
        <is>
          <t>45404</t>
        </is>
      </c>
      <c r="M7" t="inlineStr">
        <is>
          <t>FLEURY-LES-AUBRAIS CEDEX</t>
        </is>
      </c>
      <c r="N7" t="inlineStr">
        <is>
          <t>92</t>
        </is>
      </c>
      <c r="O7" t="inlineStr"/>
      <c r="P7" t="inlineStr">
        <is>
          <t>Ile-de-France</t>
        </is>
      </c>
      <c r="Q7" s="15" t="n">
        <v>46182</v>
      </c>
      <c r="R7" s="15" t="n">
        <v>46231</v>
      </c>
      <c r="S7" t="inlineStr"/>
      <c r="T7" t="inlineStr">
        <is>
          <t>A_VERIFIER_BUDGET</t>
        </is>
      </c>
      <c r="U7" t="inlineStr"/>
      <c r="V7" t="inlineStr">
        <is>
          <t>non</t>
        </is>
      </c>
      <c r="W7" t="inlineStr">
        <is>
          <t>Batiments</t>
        </is>
      </c>
      <c r="X7" t="inlineStr">
        <is>
          <t>Autre</t>
        </is>
      </c>
      <c r="Y7" t="inlineStr">
        <is>
          <t>SERVICES</t>
        </is>
      </c>
      <c r="Z7" t="inlineStr">
        <is>
          <t>Procédure Adaptée</t>
        </is>
      </c>
      <c r="AA7" t="inlineStr">
        <is>
          <t>Avis de marché</t>
        </is>
      </c>
      <c r="AB7" t="inlineStr">
        <is>
          <t>Nettoyage de locaux</t>
        </is>
      </c>
      <c r="AC7" t="inlineStr">
        <is>
          <t>['sociaux', 'environnementaux']</t>
        </is>
      </c>
      <c r="AD7" s="11" t="inlineStr">
        <is>
          <t>https://www.boamp.fr/pages/avis/?q=idweb:26-56654</t>
        </is>
      </c>
      <c r="AE7" t="inlineStr">
        <is>
          <t>https://www.marches-publics.gouv.fr/entreprise</t>
        </is>
      </c>
      <c r="AF7" t="inlineStr">
        <is>
          <t>https://www.marches-publics.gouv.fr/entreprise</t>
        </is>
      </c>
      <c r="AG7" t="inlineStr">
        <is>
          <t>nettoyage</t>
        </is>
      </c>
      <c r="AH7" t="inlineStr">
        <is>
          <t>4</t>
        </is>
      </c>
      <c r="AI7" t="inlineStr">
        <is>
          <t>78</t>
        </is>
      </c>
      <c r="AJ7" t="inlineStr">
        <is>
          <t>INFO_PARTIELLE</t>
        </is>
      </c>
      <c r="AK7" t="inlineStr">
        <is>
          <t>70</t>
        </is>
      </c>
      <c r="AL7" s="13" t="inlineStr">
        <is>
          <t>CHAUD</t>
        </is>
      </c>
      <c r="AM7" t="inlineStr"/>
      <c r="AN7" t="inlineStr"/>
      <c r="AO7" t="inlineStr"/>
      <c r="AP7" t="inlineStr"/>
      <c r="AQ7" t="inlineStr">
        <is>
          <t>IA_BUDGET_A_VERIFIER</t>
        </is>
      </c>
      <c r="AR7" t="inlineStr">
        <is>
          <t>Verifier le budget dans l'avis source ou le DCE avant decision commerciale.</t>
        </is>
      </c>
      <c r="AS7" t="inlineStr">
        <is>
          <t>SIRET, adresse, budget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7" t="inlineStr">
        <is>
          <t>Verifier url_avis et DCE si disponible</t>
        </is>
      </c>
      <c r="AV7" t="inlineStr">
        <is>
          <t>LIEN_SEUL</t>
        </is>
      </c>
      <c r="AW7" t="inlineStr"/>
      <c r="AX7" t="inlineStr"/>
      <c r="AY7" t="inlineStr"/>
      <c r="AZ7" t="inlineStr"/>
      <c r="BA7" t="inlineStr"/>
      <c r="BB7" t="inlineStr">
        <is>
          <t>+35 nettoyage + categorie claire | +10 budget non affiche (a verifier) | +15 procedure adaptee / MAPA / allotissement | +10 delai confortable 36j</t>
        </is>
      </c>
      <c r="BC7"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7"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7"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7" t="inlineStr"/>
      <c r="BG7" t="inlineStr"/>
      <c r="BH7" t="inlineStr"/>
      <c r="BI7" t="inlineStr"/>
      <c r="BJ7" t="inlineStr"/>
      <c r="BK7" t="inlineStr"/>
      <c r="BL7" t="inlineStr"/>
      <c r="BM7" t="inlineStr">
        <is>
          <t>2026-W24</t>
        </is>
      </c>
    </row>
    <row r="8">
      <c r="A8" t="inlineStr">
        <is>
          <t>BOAMP</t>
        </is>
      </c>
      <c r="B8" t="inlineStr">
        <is>
          <t>26-54018</t>
        </is>
      </c>
      <c r="C8" t="inlineStr">
        <is>
          <t>Accord-cadre relatif à la maintenance préventive et corrective des aires de jeux de la Ville</t>
        </is>
      </c>
      <c r="D8" t="inlineStr">
        <is>
          <t>Mairie de Mantes La Jolie</t>
        </is>
      </c>
      <c r="E8" t="inlineStr">
        <is>
          <t>21780361800016</t>
        </is>
      </c>
      <c r="F8" t="inlineStr">
        <is>
          <t>217803618</t>
        </is>
      </c>
      <c r="G8" t="inlineStr"/>
      <c r="H8" t="inlineStr"/>
      <c r="I8" t="inlineStr">
        <is>
          <t>marchespublics@manteslajolie.fr</t>
        </is>
      </c>
      <c r="J8" t="inlineStr">
        <is>
          <t>0361800016</t>
        </is>
      </c>
      <c r="K8" t="inlineStr"/>
      <c r="L8" t="inlineStr"/>
      <c r="M8" t="inlineStr"/>
      <c r="N8" t="inlineStr">
        <is>
          <t>78,27</t>
        </is>
      </c>
      <c r="O8" t="inlineStr"/>
      <c r="P8" t="inlineStr">
        <is>
          <t>Ile-de-France</t>
        </is>
      </c>
      <c r="Q8" s="15" t="n">
        <v>46176</v>
      </c>
      <c r="R8" s="15" t="n">
        <v>46211</v>
      </c>
      <c r="S8" s="14" t="n">
        <v>100000</v>
      </c>
      <c r="T8" t="inlineStr">
        <is>
          <t>BUDGET_EXPLICITE_OK</t>
        </is>
      </c>
      <c r="U8" t="inlineStr">
        <is>
          <t>100000.0</t>
        </is>
      </c>
      <c r="V8" t="inlineStr">
        <is>
          <t>non</t>
        </is>
      </c>
      <c r="W8" t="inlineStr">
        <is>
          <t>Mixte/Autre</t>
        </is>
      </c>
      <c r="X8" t="inlineStr">
        <is>
          <t>Mairie</t>
        </is>
      </c>
      <c r="Y8" t="inlineStr">
        <is>
          <t>SERVICES</t>
        </is>
      </c>
      <c r="Z8" t="inlineStr">
        <is>
          <t>Procédure Ouverte</t>
        </is>
      </c>
      <c r="AA8" t="inlineStr">
        <is>
          <t>Avis de marché</t>
        </is>
      </c>
      <c r="AB8" t="inlineStr">
        <is>
          <t>Maintenance, Aire de jeux</t>
        </is>
      </c>
      <c r="AC8" t="inlineStr">
        <is>
          <t>['environnementaux']</t>
        </is>
      </c>
      <c r="AD8" s="11" t="inlineStr">
        <is>
          <t>https://www.boamp.fr/pages/avis/?q=idweb:26-54018</t>
        </is>
      </c>
      <c r="AE8" t="inlineStr">
        <is>
          <t>https://www.achatpublic.com/sdm/ent/gen/ent_detail.do?PCSLID=CSL_2026_yXczYwEh1y</t>
        </is>
      </c>
      <c r="AF8" t="inlineStr">
        <is>
          <t>https://www.achatpublic.com/sdm/ent/gen/ent_detail.do?PCSLID=CSL_2026_yXczYwEh1y</t>
        </is>
      </c>
      <c r="AG8" t="inlineStr">
        <is>
          <t>nettoyage</t>
        </is>
      </c>
      <c r="AH8" t="inlineStr">
        <is>
          <t>3</t>
        </is>
      </c>
      <c r="AI8" t="inlineStr">
        <is>
          <t>68</t>
        </is>
      </c>
      <c r="AJ8" t="inlineStr">
        <is>
          <t>INFO_PARTIELLE</t>
        </is>
      </c>
      <c r="AK8" t="inlineStr">
        <is>
          <t>70</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adresse, ville</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26-54018. Objet: Accord-cadre relatif à la maintenance préventive et corrective des aires de jeux de la Ville. Acheteur: Mairie de Mantes La Jolie. Lien: https://www.boamp.fr/pages/avis/?q=idweb:26-54018.</t>
        </is>
      </c>
      <c r="AU8" t="inlineStr">
        <is>
          <t>Verifier url_avis et DCE si disponible</t>
        </is>
      </c>
      <c r="AV8" t="inlineStr"/>
      <c r="AW8" t="inlineStr"/>
      <c r="AX8" t="inlineStr"/>
      <c r="AY8" t="inlineStr"/>
      <c r="AZ8" t="inlineStr"/>
      <c r="BA8" t="inlineStr"/>
      <c r="BB8" t="inlineStr">
        <is>
          <t>+30 mots-cles nettoyage forts | +20 budget annualise &lt;= 100 000 EUR | +10 secteur cible Mairie | +10 delai confortable 21j</t>
        </is>
      </c>
      <c r="BC8" t="inlineStr">
        <is>
          <t>Mairie de Mantes La Jolie publie un AO potentiellement pertinent pour CHRUTH : Accord-cadre relatif à la maintenance préventive et corrective des aires de jeux de la Ville. Zone : 78,27. Budget detecte environ 100 000 EUR. Verifier le lien source avant contact.</t>
        </is>
      </c>
      <c r="BD8" t="inlineStr">
        <is>
          <t>Bonjour,
Je me permets de vous contacter au sujet de votre appel d'offres : Accord-cadre relatif à la maintenance préventive et corrective des aires de jeux de la Ville.
CHRUTH accompagne les structures publiques et privees sur les besoins de nettoyage, d'entretien des locaux et d'organisation de prestations de service.
Serait-il possible d'echanger rapidement afin de verifier les modalites de reponse et les attentes de Mairie de Mantes La Jolie ?
Cordialement,</t>
        </is>
      </c>
      <c r="BE8" t="inlineStr">
        <is>
          <t>Bonjour, je vous appelle concernant un appel d'offres publie par Mairie de Mantes La Jolie. Je souhaite verifier les informations pratiques : perimetre des prestations, date limite, modalites de visite, contact technique et pieces attendues. Pouvez-vous m'indiquer la bonne personne a contacter ?</t>
        </is>
      </c>
      <c r="BF8" t="inlineStr"/>
      <c r="BG8" t="inlineStr"/>
      <c r="BH8" t="inlineStr"/>
      <c r="BI8" t="inlineStr"/>
      <c r="BJ8" t="inlineStr"/>
      <c r="BK8" t="inlineStr"/>
      <c r="BL8" t="inlineStr"/>
      <c r="BM8" t="inlineStr">
        <is>
          <t>2026-W23</t>
        </is>
      </c>
    </row>
    <row r="9">
      <c r="A9" t="inlineStr">
        <is>
          <t>BOAMP</t>
        </is>
      </c>
      <c r="B9" t="inlineStr">
        <is>
          <t>26-64286</t>
        </is>
      </c>
      <c r="C9" t="inlineStr">
        <is>
          <t>Prestations de nettoyage des locaux</t>
        </is>
      </c>
      <c r="D9" t="inlineStr">
        <is>
          <t>Commune de Montfermeil</t>
        </is>
      </c>
      <c r="E9" t="inlineStr">
        <is>
          <t>21930047200194</t>
        </is>
      </c>
      <c r="F9" t="inlineStr">
        <is>
          <t>219300472</t>
        </is>
      </c>
      <c r="G9" t="inlineStr"/>
      <c r="H9" t="inlineStr"/>
      <c r="I9" t="inlineStr">
        <is>
          <t>service.marches@ville-montfermeil.fr</t>
        </is>
      </c>
      <c r="J9" t="inlineStr">
        <is>
          <t>0194 014170</t>
        </is>
      </c>
      <c r="K9" t="inlineStr"/>
      <c r="L9" t="inlineStr"/>
      <c r="M9" t="inlineStr"/>
      <c r="N9" t="inlineStr">
        <is>
          <t>93</t>
        </is>
      </c>
      <c r="O9" t="inlineStr"/>
      <c r="P9" t="inlineStr">
        <is>
          <t>Ile-de-France</t>
        </is>
      </c>
      <c r="Q9" s="15" t="n">
        <v>46204</v>
      </c>
      <c r="R9" s="15" t="n">
        <v>46237</v>
      </c>
      <c r="S9" t="inlineStr"/>
      <c r="T9" t="inlineStr">
        <is>
          <t>A_VERIFIER_BUDGET</t>
        </is>
      </c>
      <c r="U9" t="inlineStr"/>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c r="AD9" s="11" t="inlineStr">
        <is>
          <t>https://www.boamp.fr/pages/avis/?q=idweb:26-64286</t>
        </is>
      </c>
      <c r="AE9" t="inlineStr">
        <is>
          <t>https://marches.maximilien.fr/?page=Entreprise.EntrepriseAdvancedSearch&amp;AllCons&amp;id=933515&amp;orgAcronyme=y0w</t>
        </is>
      </c>
      <c r="AF9" t="inlineStr">
        <is>
          <t>https://marches.maximilien.fr/?page=Entreprise.EntrepriseAdvancedSearch&amp;AllCons&amp;id=933515&amp;orgAcronyme=y0w</t>
        </is>
      </c>
      <c r="AG9" t="inlineStr">
        <is>
          <t>nettoyage</t>
        </is>
      </c>
      <c r="AH9" t="inlineStr">
        <is>
          <t>3</t>
        </is>
      </c>
      <c r="AI9" t="inlineStr">
        <is>
          <t>68</t>
        </is>
      </c>
      <c r="AJ9" t="inlineStr">
        <is>
          <t>INFO_PARTIELLE</t>
        </is>
      </c>
      <c r="AK9" t="inlineStr">
        <is>
          <t>65</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adresse, ville,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9" t="inlineStr">
        <is>
          <t>Verifier url_avis et DCE si disponible</t>
        </is>
      </c>
      <c r="AV9" t="inlineStr"/>
      <c r="AW9" t="inlineStr"/>
      <c r="AX9" t="inlineStr"/>
      <c r="AY9" t="inlineStr"/>
      <c r="AZ9" t="inlineStr"/>
      <c r="BA9" t="inlineStr"/>
      <c r="BB9" t="inlineStr">
        <is>
          <t>+35 nettoyage + categorie claire | +10 budget non affiche (a verifier) | +10 secteur cible Mairie | +10 delai confortable 28j</t>
        </is>
      </c>
      <c r="BC9" t="inlineStr">
        <is>
          <t>Commune de Montfermeil publie un AO potentiellement pertinent pour CHRUTH : Prestations de nettoyage des locaux. Zone : 93. Budget a verifier. Verifier le lien source avant contact.</t>
        </is>
      </c>
      <c r="BD9"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9"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2026-W27</t>
        </is>
      </c>
    </row>
    <row r="10">
      <c r="A10" t="inlineStr">
        <is>
          <t>BOAMP</t>
        </is>
      </c>
      <c r="B10" t="inlineStr">
        <is>
          <t>26-63518</t>
        </is>
      </c>
      <c r="C10" t="inlineStr">
        <is>
          <t>NETTOYAGE DES BÂTIMENTS COMMUNAUX</t>
        </is>
      </c>
      <c r="D10" t="inlineStr">
        <is>
          <t>MAIRIE DE SAINT-CLAIR-SUR6epte</t>
        </is>
      </c>
      <c r="E10" t="inlineStr">
        <is>
          <t>21950541900016</t>
        </is>
      </c>
      <c r="F10" t="inlineStr">
        <is>
          <t>219505419</t>
        </is>
      </c>
      <c r="G10" t="inlineStr"/>
      <c r="H10" t="inlineStr"/>
      <c r="I10" t="inlineStr">
        <is>
          <t>charlotte.stclair@outlook.fr</t>
        </is>
      </c>
      <c r="J10" t="inlineStr">
        <is>
          <t>0541900016</t>
        </is>
      </c>
      <c r="K10" t="inlineStr"/>
      <c r="L10" t="inlineStr"/>
      <c r="M10" t="inlineStr"/>
      <c r="N10" t="inlineStr">
        <is>
          <t>95</t>
        </is>
      </c>
      <c r="O10" t="inlineStr"/>
      <c r="P10" t="inlineStr">
        <is>
          <t>Ile-de-France</t>
        </is>
      </c>
      <c r="Q10" s="15" t="n">
        <v>46201</v>
      </c>
      <c r="R10" s="15" t="n">
        <v>46276</v>
      </c>
      <c r="S10" t="inlineStr"/>
      <c r="T10" t="inlineStr">
        <is>
          <t>A_VERIFIER_BUDGET</t>
        </is>
      </c>
      <c r="U10" t="inlineStr"/>
      <c r="V10" t="inlineStr">
        <is>
          <t>non</t>
        </is>
      </c>
      <c r="W10" t="inlineStr">
        <is>
          <t>Batiments</t>
        </is>
      </c>
      <c r="X10" t="inlineStr">
        <is>
          <t>Mairie</t>
        </is>
      </c>
      <c r="Y10" t="inlineStr">
        <is>
          <t>SERVICES</t>
        </is>
      </c>
      <c r="Z10" t="inlineStr">
        <is>
          <t>Procédure Ouverte</t>
        </is>
      </c>
      <c r="AA10" t="inlineStr">
        <is>
          <t>Avis de marché</t>
        </is>
      </c>
      <c r="AB10" t="inlineStr">
        <is>
          <t>Nettoyage de locaux, Bâtiment</t>
        </is>
      </c>
      <c r="AC10" t="inlineStr"/>
      <c r="AD10" s="11" t="inlineStr">
        <is>
          <t>https://www.boamp.fr/pages/avis/?q=idweb:26-63518</t>
        </is>
      </c>
      <c r="AE10" t="inlineStr">
        <is>
          <t>https://marches.maximilien.fr/entreprise/consultation/942071?orgAcronyme=d8o</t>
        </is>
      </c>
      <c r="AF10" t="inlineStr">
        <is>
          <t>https://marches.maximilien.fr/entreprise/consultation/942071?orgAcronyme=d8o</t>
        </is>
      </c>
      <c r="AG10" t="inlineStr">
        <is>
          <t>nettoyage, menage</t>
        </is>
      </c>
      <c r="AH10" t="inlineStr">
        <is>
          <t>3</t>
        </is>
      </c>
      <c r="AI10" t="inlineStr">
        <is>
          <t>76</t>
        </is>
      </c>
      <c r="AJ10" t="inlineStr">
        <is>
          <t>INFO_PARTIELLE</t>
        </is>
      </c>
      <c r="AK10" t="inlineStr">
        <is>
          <t>65</t>
        </is>
      </c>
      <c r="AL10" s="13" t="inlineStr">
        <is>
          <t>CHAUD</t>
        </is>
      </c>
      <c r="AM10" t="inlineStr"/>
      <c r="AN10" t="inlineStr"/>
      <c r="AO10" t="inlineStr"/>
      <c r="AP10" t="inlineStr"/>
      <c r="AQ10" t="inlineStr">
        <is>
          <t>IA_BUDGET_A_VERIFIER</t>
        </is>
      </c>
      <c r="AR10" t="inlineStr">
        <is>
          <t>Verifier le budget dans l'avis source ou le DCE avant decision commerciale.</t>
        </is>
      </c>
      <c r="AS10" t="inlineStr">
        <is>
          <t>adresse, ville,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10" t="inlineStr">
        <is>
          <t>Verifier url_avis et DCE si disponible</t>
        </is>
      </c>
      <c r="AV10" t="inlineStr"/>
      <c r="AW10" t="inlineStr"/>
      <c r="AX10" t="inlineStr"/>
      <c r="AY10" t="inlineStr"/>
      <c r="AZ10" t="inlineStr"/>
      <c r="BA10" t="inlineStr"/>
      <c r="BB10" t="inlineStr">
        <is>
          <t>+35 nettoyage + categorie claire | +10 budget non affiche (a verifier) | +10 secteur cible Mairie | +10 delai confortable 67j</t>
        </is>
      </c>
      <c r="BC10" t="inlineStr">
        <is>
          <t>MAIRIE DE SAINT-CLAIR-SUR6epte publie un AO potentiellement pertinent pour CHRUTH : NETTOYAGE DES BÂTIMENTS COMMUNAUX. Zone : 95. Budget a verifier. Verifier le lien source avant contact.</t>
        </is>
      </c>
      <c r="BD10"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10"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2026-W26</t>
        </is>
      </c>
    </row>
    <row r="11">
      <c r="A11" t="inlineStr">
        <is>
          <t>BOAMP</t>
        </is>
      </c>
      <c r="B11" t="inlineStr">
        <is>
          <t>26-63201</t>
        </is>
      </c>
      <c r="C11" t="inlineStr">
        <is>
          <t>PRESTATION DE NETTOYAGE ET D'ENTRETIEN DES LOCAUX COMMUNAUX</t>
        </is>
      </c>
      <c r="D11" t="inlineStr">
        <is>
          <t>Commune de Saulx Les Chartreux</t>
        </is>
      </c>
      <c r="E11" t="inlineStr">
        <is>
          <t>21910587100012</t>
        </is>
      </c>
      <c r="F11" t="inlineStr">
        <is>
          <t>219105871</t>
        </is>
      </c>
      <c r="G11" t="inlineStr"/>
      <c r="H11" t="inlineStr"/>
      <c r="I11" t="inlineStr">
        <is>
          <t>finances@saulx.org</t>
        </is>
      </c>
      <c r="J11" t="inlineStr">
        <is>
          <t>0587100012</t>
        </is>
      </c>
      <c r="K11" t="inlineStr"/>
      <c r="L11" t="inlineStr"/>
      <c r="M11" t="inlineStr"/>
      <c r="N11" t="inlineStr">
        <is>
          <t>91,92,93,94</t>
        </is>
      </c>
      <c r="O11" t="inlineStr"/>
      <c r="P11" t="inlineStr">
        <is>
          <t>Ile-de-France</t>
        </is>
      </c>
      <c r="Q11" s="15" t="n">
        <v>46200</v>
      </c>
      <c r="R11" s="15" t="n">
        <v>46234</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is>
          <t>['environnementaux']</t>
        </is>
      </c>
      <c r="AD11" s="11" t="inlineStr">
        <is>
          <t>https://www.boamp.fr/pages/avis/?q=idweb:26-63201</t>
        </is>
      </c>
      <c r="AE11" t="inlineStr">
        <is>
          <t>https://www.achatpublic.com/sdm/ent/gen/ent_detail.do?PCSLID=CSL_2026_-rboFCvnvk</t>
        </is>
      </c>
      <c r="AF11" t="inlineStr">
        <is>
          <t>https://www.achatpublic.com/sdm/ent/gen/ent_detail.do?PCSLID=CSL_2026_-rboFCvnvk</t>
        </is>
      </c>
      <c r="AG11" t="inlineStr">
        <is>
          <t>nettoyage, entretien des locaux</t>
        </is>
      </c>
      <c r="AH11" t="inlineStr">
        <is>
          <t>3</t>
        </is>
      </c>
      <c r="AI11" t="inlineStr">
        <is>
          <t>76</t>
        </is>
      </c>
      <c r="AJ11" t="inlineStr">
        <is>
          <t>INFO_PARTIELLE</t>
        </is>
      </c>
      <c r="AK11" t="inlineStr">
        <is>
          <t>65</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11" t="inlineStr">
        <is>
          <t>Verifier url_avis et DCE si disponible</t>
        </is>
      </c>
      <c r="AV11" t="inlineStr"/>
      <c r="AW11" t="inlineStr"/>
      <c r="AX11" t="inlineStr"/>
      <c r="AY11" t="inlineStr"/>
      <c r="AZ11" t="inlineStr"/>
      <c r="BA11" t="inlineStr"/>
      <c r="BB11" t="inlineStr">
        <is>
          <t>+35 nettoyage + categorie claire | +10 budget non affiche (a verifier) | +10 secteur cible Mairie | +10 delai confortable 25j</t>
        </is>
      </c>
      <c r="BC11" t="inlineStr">
        <is>
          <t>Commune de Saulx Les Chartreux publie un AO potentiellement pertinent pour CHRUTH : PRESTATION DE NETTOYAGE ET D'ENTRETIEN DES LOCAUX COMMUNAUX. Zone : 91,92,93,94. Budget a verifier. Verifier le lien source avant contact.</t>
        </is>
      </c>
      <c r="BD11"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11"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2026-W26</t>
        </is>
      </c>
    </row>
    <row r="12">
      <c r="A12" t="inlineStr">
        <is>
          <t>BOAMP</t>
        </is>
      </c>
      <c r="B12" t="inlineStr">
        <is>
          <t>26-62837</t>
        </is>
      </c>
      <c r="C12" t="inlineStr">
        <is>
          <t>PRESTATION DE NETTOYAGE DES LOCAUX ET DE LA VITRERIE</t>
        </is>
      </c>
      <c r="D12" t="inlineStr">
        <is>
          <t>ENC-PSL</t>
        </is>
      </c>
      <c r="E12" t="inlineStr">
        <is>
          <t>19753478700043</t>
        </is>
      </c>
      <c r="F12" t="inlineStr">
        <is>
          <t>197534787</t>
        </is>
      </c>
      <c r="G12" t="inlineStr">
        <is>
          <t>ZAKARIA</t>
        </is>
      </c>
      <c r="H12" t="inlineStr"/>
      <c r="I12" t="inlineStr">
        <is>
          <t>yvan.zakaria@chartes.psl.eu</t>
        </is>
      </c>
      <c r="J12" t="inlineStr">
        <is>
          <t>+33 155422161</t>
        </is>
      </c>
      <c r="K12" t="inlineStr">
        <is>
          <t>PARIS</t>
        </is>
      </c>
      <c r="L12" t="inlineStr">
        <is>
          <t>75002</t>
        </is>
      </c>
      <c r="M12" t="inlineStr">
        <is>
          <t>Paris</t>
        </is>
      </c>
      <c r="N12" t="inlineStr">
        <is>
          <t>75</t>
        </is>
      </c>
      <c r="O12" t="inlineStr"/>
      <c r="P12" t="inlineStr">
        <is>
          <t>Ile-de-France</t>
        </is>
      </c>
      <c r="Q12" s="15" t="n">
        <v>46198</v>
      </c>
      <c r="R12" s="15" t="n">
        <v>46227</v>
      </c>
      <c r="S12" s="14" t="n">
        <v>75002</v>
      </c>
      <c r="T12" t="inlineStr">
        <is>
          <t>BUDGET_SOUS_SEUIL</t>
        </is>
      </c>
      <c r="U12" t="inlineStr">
        <is>
          <t>75002.0</t>
        </is>
      </c>
      <c r="V12" t="inlineStr">
        <is>
          <t>non</t>
        </is>
      </c>
      <c r="W12" t="inlineStr">
        <is>
          <t>Vitres</t>
        </is>
      </c>
      <c r="X12" t="inlineStr">
        <is>
          <t>Autre</t>
        </is>
      </c>
      <c r="Y12" t="inlineStr">
        <is>
          <t>SERVICES</t>
        </is>
      </c>
      <c r="Z12" t="inlineStr">
        <is>
          <t>Procédure Ouverte</t>
        </is>
      </c>
      <c r="AA12" t="inlineStr">
        <is>
          <t>Avis de marché</t>
        </is>
      </c>
      <c r="AB12" t="inlineStr">
        <is>
          <t>Nettoyage de locaux</t>
        </is>
      </c>
      <c r="AC12" t="inlineStr">
        <is>
          <t>['environnementaux']</t>
        </is>
      </c>
      <c r="AD12" s="11" t="inlineStr">
        <is>
          <t>https://www.boamp.fr/pages/avis/?q=idweb:26-62837</t>
        </is>
      </c>
      <c r="AE12" t="inlineStr">
        <is>
          <t>https://www.marches-publics.gouv.fr/entreprise/consultation/3025739?orgAcronyme=f2h</t>
        </is>
      </c>
      <c r="AF12" t="inlineStr">
        <is>
          <t>https://www.marches-publics.gouv.fr/entreprise/consultation/3025739?orgAcronyme=f2h</t>
        </is>
      </c>
      <c r="AG12" t="inlineStr">
        <is>
          <t>nettoyage</t>
        </is>
      </c>
      <c r="AH12" t="inlineStr">
        <is>
          <t>6</t>
        </is>
      </c>
      <c r="AI12" t="inlineStr">
        <is>
          <t>98</t>
        </is>
      </c>
      <c r="AJ12" t="inlineStr">
        <is>
          <t>INFO_PARTIELLE</t>
        </is>
      </c>
      <c r="AK12" t="inlineStr">
        <is>
          <t>65</t>
        </is>
      </c>
      <c r="AL12" s="13" t="inlineStr">
        <is>
          <t>CHAUD</t>
        </is>
      </c>
      <c r="AM12" t="inlineStr"/>
      <c r="AN12" t="inlineStr"/>
      <c r="AO12" t="inlineStr"/>
      <c r="AP12" t="inlineStr"/>
      <c r="AQ12" t="inlineStr">
        <is>
          <t>IA_CONTROLE_SOURCE</t>
        </is>
      </c>
      <c r="AR12" t="inlineStr">
        <is>
          <t>Verifier rapidement la source avant contact.</t>
        </is>
      </c>
      <c r="AS12" t="inlineStr">
        <is>
          <t>Aucun champ critique manquant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26-62837. Objet: PRESTATION DE NETTOYAGE DES LOCAUX ET DE LA VITRERIE. Acheteur: ENC-PSL. Lien: https://www.boamp.fr/pages/avis/?q=idweb:26-62837.</t>
        </is>
      </c>
      <c r="AU12" t="inlineStr">
        <is>
          <t>Verifier url_avis et DCE si disponible</t>
        </is>
      </c>
      <c r="AV12" t="inlineStr"/>
      <c r="AW12" t="inlineStr"/>
      <c r="AX12" t="inlineStr"/>
      <c r="AY12" t="inlineStr"/>
      <c r="AZ12" t="inlineStr"/>
      <c r="BA12" t="inlineStr"/>
      <c r="BB12" t="inlineStr">
        <is>
          <t>+35 nettoyage + categorie claire | +20 budget annualise &lt;= 100 000 EUR | +10 delai confortable 18j</t>
        </is>
      </c>
      <c r="BC12" t="inlineStr">
        <is>
          <t>ENC-PSL publie un AO potentiellement pertinent pour CHRUTH : PRESTATION DE NETTOYAGE DES LOCAUX ET DE LA VITRERIE. Zone : Paris. Budget detecte environ 75 002 EUR. Verifier le lien source avant contact.</t>
        </is>
      </c>
      <c r="BD12"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ENC-PSL ?
Cordialement,</t>
        </is>
      </c>
      <c r="BE12" t="inlineStr">
        <is>
          <t>Bonjour, je vous appelle concernant un appel d'offres publié par ENC-PSL.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26-62488</t>
        </is>
      </c>
      <c r="C13" t="inlineStr">
        <is>
          <t>Prestation de nettoyage des locaux et de la vitrerie</t>
        </is>
      </c>
      <c r="D13" t="inlineStr">
        <is>
          <t>ECOLE NATIONALE DES CHARTES</t>
        </is>
      </c>
      <c r="E13" t="inlineStr">
        <is>
          <t>19753478700043</t>
        </is>
      </c>
      <c r="F13" t="inlineStr">
        <is>
          <t>197534787</t>
        </is>
      </c>
      <c r="G13" t="inlineStr">
        <is>
          <t>service logistique</t>
        </is>
      </c>
      <c r="H13" t="inlineStr"/>
      <c r="I13" t="inlineStr">
        <is>
          <t>daf@chartes.psl.eu</t>
        </is>
      </c>
      <c r="J13" t="inlineStr">
        <is>
          <t>06-24 2026-07</t>
        </is>
      </c>
      <c r="K13" t="inlineStr">
        <is>
          <t>Paris 75002</t>
        </is>
      </c>
      <c r="L13" t="inlineStr">
        <is>
          <t>75002</t>
        </is>
      </c>
      <c r="M13" t="inlineStr">
        <is>
          <t>Paris</t>
        </is>
      </c>
      <c r="N13" t="inlineStr">
        <is>
          <t>75,77,78,91,92,93,94,95</t>
        </is>
      </c>
      <c r="O13" t="inlineStr"/>
      <c r="P13" t="inlineStr">
        <is>
          <t>Ile-de-France</t>
        </is>
      </c>
      <c r="Q13" s="15" t="n">
        <v>46197</v>
      </c>
      <c r="R13" s="15" t="n">
        <v>46227</v>
      </c>
      <c r="S13" t="inlineStr"/>
      <c r="T13" t="inlineStr">
        <is>
          <t>A_VERIFIER_BUDGET</t>
        </is>
      </c>
      <c r="U13" t="inlineStr"/>
      <c r="V13" t="inlineStr">
        <is>
          <t>non</t>
        </is>
      </c>
      <c r="W13" t="inlineStr">
        <is>
          <t>Vitres</t>
        </is>
      </c>
      <c r="X13" t="inlineStr">
        <is>
          <t>Ecole</t>
        </is>
      </c>
      <c r="Y13" t="inlineStr">
        <is>
          <t>SERVICES</t>
        </is>
      </c>
      <c r="Z13" t="inlineStr">
        <is>
          <t>Procédure Ouverte</t>
        </is>
      </c>
      <c r="AA13" t="inlineStr">
        <is>
          <t>Avis de marché</t>
        </is>
      </c>
      <c r="AB13" t="inlineStr">
        <is>
          <t>Nettoyage de locaux</t>
        </is>
      </c>
      <c r="AC13" t="inlineStr">
        <is>
          <t>['environnementaux']</t>
        </is>
      </c>
      <c r="AD13" s="11" t="inlineStr">
        <is>
          <t>https://www.boamp.fr/pages/avis/?q=idweb:26-62488</t>
        </is>
      </c>
      <c r="AE13" t="inlineStr"/>
      <c r="AF13" t="inlineStr"/>
      <c r="AG13" t="inlineStr">
        <is>
          <t>nettoyage</t>
        </is>
      </c>
      <c r="AH13" t="inlineStr">
        <is>
          <t>6</t>
        </is>
      </c>
      <c r="AI13" t="inlineStr">
        <is>
          <t>98</t>
        </is>
      </c>
      <c r="AJ13" t="inlineStr">
        <is>
          <t>INFO_PARTIELLE</t>
        </is>
      </c>
      <c r="AK13" t="inlineStr">
        <is>
          <t>65</t>
        </is>
      </c>
      <c r="AL13" s="13" t="inlineStr">
        <is>
          <t>CHAUD</t>
        </is>
      </c>
      <c r="AM13" t="inlineStr"/>
      <c r="AN13" t="inlineStr"/>
      <c r="AO13" t="inlineStr"/>
      <c r="AP13" t="inlineStr"/>
      <c r="AQ13" t="inlineStr">
        <is>
          <t>IA_BUDGET_A_VERIFIER</t>
        </is>
      </c>
      <c r="AR13" t="inlineStr">
        <is>
          <t>Verifier le budget dans l'avis source ou le DCE avant decision commerciale.</t>
        </is>
      </c>
      <c r="AS13" t="inlineStr">
        <is>
          <t>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13" t="inlineStr">
        <is>
          <t>Verifier url_avis et DCE si disponible</t>
        </is>
      </c>
      <c r="AV13" t="inlineStr"/>
      <c r="AW13" t="inlineStr"/>
      <c r="AX13" t="inlineStr"/>
      <c r="AY13" t="inlineStr"/>
      <c r="AZ13" t="inlineStr"/>
      <c r="BA13" t="inlineStr"/>
      <c r="BB13" t="inlineStr">
        <is>
          <t>+35 nettoyage + categorie claire | +10 budget non affiche (a verifier) | +10 secteur cible Ecole | +10 delai confortable 18j</t>
        </is>
      </c>
      <c r="BC13" t="inlineStr">
        <is>
          <t>ECOLE NATIONALE DES CHARTES publie un AO potentiellement pertinent pour CHRUTH : Prestation de nettoyage des locaux et de la vitrerie. Zone : Paris. Budget a verifier. Verifier le lien source avant contact.</t>
        </is>
      </c>
      <c r="BD13"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13"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26-61263</t>
        </is>
      </c>
      <c r="C14" t="inlineStr">
        <is>
          <t>NETTOYAGE ET ENTRETIEN DES BATIMENTS COMMUNAUX</t>
        </is>
      </c>
      <c r="D14" t="inlineStr">
        <is>
          <t>MAIRIE DE MERIEL</t>
        </is>
      </c>
      <c r="E14" t="inlineStr">
        <is>
          <t>21950392700010</t>
        </is>
      </c>
      <c r="F14" t="inlineStr">
        <is>
          <t>219503927</t>
        </is>
      </c>
      <c r="G14" t="inlineStr"/>
      <c r="H14" t="inlineStr"/>
      <c r="I14" t="inlineStr">
        <is>
          <t>dgs@meriel.fr</t>
        </is>
      </c>
      <c r="J14" t="inlineStr">
        <is>
          <t>0392700010</t>
        </is>
      </c>
      <c r="K14" t="inlineStr"/>
      <c r="L14" t="inlineStr"/>
      <c r="M14" t="inlineStr"/>
      <c r="N14" t="inlineStr">
        <is>
          <t>95</t>
        </is>
      </c>
      <c r="O14" t="inlineStr"/>
      <c r="P14" t="inlineStr">
        <is>
          <t>Ile-de-France</t>
        </is>
      </c>
      <c r="Q14" s="15" t="n">
        <v>46194</v>
      </c>
      <c r="R14" s="15" t="n">
        <v>46227</v>
      </c>
      <c r="S14" t="inlineStr"/>
      <c r="T14" t="inlineStr">
        <is>
          <t>A_VERIFIER_BUDGET</t>
        </is>
      </c>
      <c r="U14" t="inlineStr"/>
      <c r="V14" t="inlineStr">
        <is>
          <t>non</t>
        </is>
      </c>
      <c r="W14" t="inlineStr">
        <is>
          <t>Vitres</t>
        </is>
      </c>
      <c r="X14" t="inlineStr">
        <is>
          <t>Mairie</t>
        </is>
      </c>
      <c r="Y14" t="inlineStr">
        <is>
          <t>SERVICES</t>
        </is>
      </c>
      <c r="Z14" t="inlineStr">
        <is>
          <t>Procédure Ouverte</t>
        </is>
      </c>
      <c r="AA14" t="inlineStr">
        <is>
          <t>Avis de marché</t>
        </is>
      </c>
      <c r="AB14" t="inlineStr">
        <is>
          <t>Nettoyage de locaux</t>
        </is>
      </c>
      <c r="AC14" t="inlineStr"/>
      <c r="AD14" s="11" t="inlineStr">
        <is>
          <t>https://www.boamp.fr/pages/avis/?q=idweb:26-61263</t>
        </is>
      </c>
      <c r="AE14" t="inlineStr">
        <is>
          <t>https://www.maximilien.fr</t>
        </is>
      </c>
      <c r="AF14" t="inlineStr">
        <is>
          <t>https://www.maximilien.fr</t>
        </is>
      </c>
      <c r="AG14" t="inlineStr">
        <is>
          <t>nettoyage</t>
        </is>
      </c>
      <c r="AH14" t="inlineStr">
        <is>
          <t>3</t>
        </is>
      </c>
      <c r="AI14" t="inlineStr">
        <is>
          <t>68</t>
        </is>
      </c>
      <c r="AJ14" t="inlineStr">
        <is>
          <t>INFO_PARTIELLE</t>
        </is>
      </c>
      <c r="AK14" t="inlineStr">
        <is>
          <t>65</t>
        </is>
      </c>
      <c r="AL14" s="13" t="inlineStr">
        <is>
          <t>CHAUD</t>
        </is>
      </c>
      <c r="AM14" t="inlineStr"/>
      <c r="AN14" t="inlineStr"/>
      <c r="AO14" t="inlineStr"/>
      <c r="AP14" t="inlineStr"/>
      <c r="AQ14" t="inlineStr">
        <is>
          <t>IA_BUDGET_A_VERIFIER</t>
        </is>
      </c>
      <c r="AR14" t="inlineStr">
        <is>
          <t>Verifier le budget dans l'avis source ou le DCE avant decision commerciale.</t>
        </is>
      </c>
      <c r="AS14" t="inlineStr">
        <is>
          <t>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14" t="inlineStr">
        <is>
          <t>Verifier url_avis et DCE si disponible</t>
        </is>
      </c>
      <c r="AV14" t="inlineStr">
        <is>
          <t>LIEN_SEUL</t>
        </is>
      </c>
      <c r="AW14" t="inlineStr"/>
      <c r="AX14" t="inlineStr"/>
      <c r="AY14" t="inlineStr"/>
      <c r="AZ14" t="inlineStr"/>
      <c r="BA14" t="inlineStr"/>
      <c r="BB14" t="inlineStr">
        <is>
          <t>+35 nettoyage + categorie claire | +10 budget non affiche (a verifier) | +10 secteur cible Mairie | +10 delai confortable 19j</t>
        </is>
      </c>
      <c r="BC14" t="inlineStr">
        <is>
          <t>MAIRIE DE MERIEL publie un AO potentiellement pertinent pour CHRUTH : NETTOYAGE ET ENTRETIEN DES BATIMENTS COMMUNAUX. Zone : 95. Budget a verifier. Verifier le lien source avant contact.</t>
        </is>
      </c>
      <c r="BD14"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14"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2026-W25</t>
        </is>
      </c>
    </row>
    <row r="15">
      <c r="A15" t="inlineStr">
        <is>
          <t>BOAMP</t>
        </is>
      </c>
      <c r="B15" t="inlineStr">
        <is>
          <t>26-60231</t>
        </is>
      </c>
      <c r="C15" t="inlineStr">
        <is>
          <t>Nettoyage des locaux communaux et des vitreries des bâtiments communaux</t>
        </is>
      </c>
      <c r="D15" t="inlineStr">
        <is>
          <t>Ville de Fontenay-aux-Roses</t>
        </is>
      </c>
      <c r="E15" t="inlineStr"/>
      <c r="F15" t="inlineStr"/>
      <c r="G15" t="inlineStr"/>
      <c r="H15" t="inlineStr"/>
      <c r="I15" t="inlineStr">
        <is>
          <t>publications-joue@aws-france.com</t>
        </is>
      </c>
      <c r="J15" t="inlineStr">
        <is>
          <t>+33480041260</t>
        </is>
      </c>
      <c r="K15" t="inlineStr"/>
      <c r="L15" t="inlineStr"/>
      <c r="M15" t="inlineStr"/>
      <c r="N15" t="inlineStr">
        <is>
          <t>92</t>
        </is>
      </c>
      <c r="O15" t="inlineStr"/>
      <c r="P15" t="inlineStr">
        <is>
          <t>Ile-de-France</t>
        </is>
      </c>
      <c r="Q15" s="15" t="n">
        <v>46192</v>
      </c>
      <c r="R15" s="15" t="n">
        <v>46232</v>
      </c>
      <c r="S15" t="inlineStr"/>
      <c r="T15" t="inlineStr">
        <is>
          <t>A_VERIFIER_BUDGET</t>
        </is>
      </c>
      <c r="U15" t="inlineStr"/>
      <c r="V15" t="inlineStr">
        <is>
          <t>non</t>
        </is>
      </c>
      <c r="W15" t="inlineStr">
        <is>
          <t>Vitres</t>
        </is>
      </c>
      <c r="X15" t="inlineStr">
        <is>
          <t>Mairie</t>
        </is>
      </c>
      <c r="Y15" t="inlineStr">
        <is>
          <t>SERVICES</t>
        </is>
      </c>
      <c r="Z15" t="inlineStr">
        <is>
          <t>Procédure Ouverte</t>
        </is>
      </c>
      <c r="AA15" t="inlineStr">
        <is>
          <t>Avis de marché</t>
        </is>
      </c>
      <c r="AB15" t="inlineStr">
        <is>
          <t>Nettoyage de locaux, Vitrerie</t>
        </is>
      </c>
      <c r="AC15" t="inlineStr">
        <is>
          <t>['environnementaux']</t>
        </is>
      </c>
      <c r="AD15" s="11" t="inlineStr">
        <is>
          <t>https://www.boamp.fr/pages/avis/?q=idweb:26-60231</t>
        </is>
      </c>
      <c r="AE15" t="inlineStr">
        <is>
          <t>https://www.marches-publics.info/accueil.htm</t>
        </is>
      </c>
      <c r="AF15" t="inlineStr">
        <is>
          <t>https://www.marches-publics.info/accueil.htm</t>
        </is>
      </c>
      <c r="AG15" t="inlineStr">
        <is>
          <t>nettoyage</t>
        </is>
      </c>
      <c r="AH15" t="inlineStr">
        <is>
          <t>2</t>
        </is>
      </c>
      <c r="AI15" t="inlineStr">
        <is>
          <t>58</t>
        </is>
      </c>
      <c r="AJ15" t="inlineStr">
        <is>
          <t>INFO_PARTIELLE</t>
        </is>
      </c>
      <c r="AK15" t="inlineStr">
        <is>
          <t>65</t>
        </is>
      </c>
      <c r="AL15" s="13" t="inlineStr">
        <is>
          <t>CHAUD</t>
        </is>
      </c>
      <c r="AM15" t="inlineStr"/>
      <c r="AN15" t="inlineStr"/>
      <c r="AO15" t="inlineStr"/>
      <c r="AP15" t="inlineStr"/>
      <c r="AQ15" t="inlineStr">
        <is>
          <t>IA_BUDGET_A_VERIFIER</t>
        </is>
      </c>
      <c r="AR15" t="inlineStr">
        <is>
          <t>Verifier le budget dans l'avis source ou le DCE avant decision commerciale.</t>
        </is>
      </c>
      <c r="AS15" t="inlineStr">
        <is>
          <t>SIRET, 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15" t="inlineStr">
        <is>
          <t>Verifier url_avis et DCE si disponible</t>
        </is>
      </c>
      <c r="AV15" t="inlineStr">
        <is>
          <t>LIEN_SEUL</t>
        </is>
      </c>
      <c r="AW15" t="inlineStr"/>
      <c r="AX15" t="inlineStr"/>
      <c r="AY15" t="inlineStr"/>
      <c r="AZ15" t="inlineStr"/>
      <c r="BA15" t="inlineStr"/>
      <c r="BB15" t="inlineStr">
        <is>
          <t>+35 nettoyage + categorie claire | +10 budget non affiche (a verifier) | +10 secteur cible Mairie | +10 delai confortable 26j</t>
        </is>
      </c>
      <c r="BC15" t="inlineStr">
        <is>
          <t>Ville de Fontenay-aux-Roses publie un AO potentiellement pertinent pour CHRUTH : Nettoyage des locaux communaux et des vitreries des bâtiments communaux. Zone : 92. Budget a verifier. Verifier le lien source avant contact.</t>
        </is>
      </c>
      <c r="BD15"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5"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2026-W25</t>
        </is>
      </c>
    </row>
    <row r="16">
      <c r="A16" t="inlineStr">
        <is>
          <t>BOAMP</t>
        </is>
      </c>
      <c r="B16" t="inlineStr">
        <is>
          <t>26-59493</t>
        </is>
      </c>
      <c r="C16" t="inlineStr">
        <is>
          <t>Prestations de nettoyage des locaux administratifs et des espaces ouverts au public des tours de la Cathédrale Notre-Dame de Paris</t>
        </is>
      </c>
      <c r="D16" t="inlineStr">
        <is>
          <t>Centre des Monuments Nationaux</t>
        </is>
      </c>
      <c r="E16" t="inlineStr">
        <is>
          <t>18004601300017</t>
        </is>
      </c>
      <c r="F16" t="inlineStr">
        <is>
          <t>180046013</t>
        </is>
      </c>
      <c r="G16" t="inlineStr"/>
      <c r="H16" t="inlineStr"/>
      <c r="I16" t="inlineStr">
        <is>
          <t>marches-publics@monuments-nationaux.fr</t>
        </is>
      </c>
      <c r="J16" t="inlineStr">
        <is>
          <t>0460130001</t>
        </is>
      </c>
      <c r="K16" t="inlineStr"/>
      <c r="L16" t="inlineStr"/>
      <c r="M16" t="inlineStr"/>
      <c r="N16" t="inlineStr">
        <is>
          <t>75</t>
        </is>
      </c>
      <c r="O16" t="inlineStr"/>
      <c r="P16" t="inlineStr">
        <is>
          <t>Ile-de-France</t>
        </is>
      </c>
      <c r="Q16" s="15" t="n">
        <v>46190</v>
      </c>
      <c r="R16" s="15" t="n">
        <v>46220</v>
      </c>
      <c r="S16" s="14" t="n">
        <v>85000</v>
      </c>
      <c r="T16" t="inlineStr">
        <is>
          <t>BUDGET_SOUS_SEUIL</t>
        </is>
      </c>
      <c r="U16" t="inlineStr">
        <is>
          <t>85000</t>
        </is>
      </c>
      <c r="V16" t="inlineStr">
        <is>
          <t>oui</t>
        </is>
      </c>
      <c r="W16" t="inlineStr">
        <is>
          <t>Batiments</t>
        </is>
      </c>
      <c r="X16" t="inlineStr">
        <is>
          <t>Autre</t>
        </is>
      </c>
      <c r="Y16" t="inlineStr">
        <is>
          <t>SERVICES</t>
        </is>
      </c>
      <c r="Z16" t="inlineStr">
        <is>
          <t>Procédure Ouverte</t>
        </is>
      </c>
      <c r="AA16" t="inlineStr">
        <is>
          <t>Avis de marché</t>
        </is>
      </c>
      <c r="AB16" t="inlineStr">
        <is>
          <t>Nettoyage de locaux, Monuments historiques</t>
        </is>
      </c>
      <c r="AC16" t="inlineStr"/>
      <c r="AD16" s="11" t="inlineStr">
        <is>
          <t>https://www.boamp.fr/pages/avis/?q=idweb:26-59493</t>
        </is>
      </c>
      <c r="AE16" t="inlineStr">
        <is>
          <t>https://www.marches-publics.gouv.fr/?page=Entreprise.EntrepriseAdvancedSearch&amp;AllCons&amp;id=2577066&amp;orgAcronyme=f5j</t>
        </is>
      </c>
      <c r="AF16" t="inlineStr">
        <is>
          <t>https://www.marches-publics.gouv.fr/?page=Entreprise.EntrepriseAdvancedSearch&amp;AllCons&amp;id=2577066&amp;orgAcronyme=f5j</t>
        </is>
      </c>
      <c r="AG16" t="inlineStr">
        <is>
          <t>nettoyage</t>
        </is>
      </c>
      <c r="AH16" t="inlineStr">
        <is>
          <t>3</t>
        </is>
      </c>
      <c r="AI16" t="inlineStr">
        <is>
          <t>68</t>
        </is>
      </c>
      <c r="AJ16" t="inlineStr">
        <is>
          <t>INFO_PARTIELLE</t>
        </is>
      </c>
      <c r="AK16" t="inlineStr">
        <is>
          <t>65</t>
        </is>
      </c>
      <c r="AL16" s="13" t="inlineStr">
        <is>
          <t>CHAUD</t>
        </is>
      </c>
      <c r="AM16" t="inlineStr"/>
      <c r="AN16" t="inlineStr"/>
      <c r="AO16" t="inlineStr"/>
      <c r="AP16" t="inlineStr"/>
      <c r="AQ16" t="inlineStr">
        <is>
          <t>IA_CONTACT_A_COMPLETER</t>
        </is>
      </c>
      <c r="AR16" t="inlineStr">
        <is>
          <t>Completer les champs manquants depuis l'avis source, le site acheteur ou le DCE.</t>
        </is>
      </c>
      <c r="AS16" t="inlineStr">
        <is>
          <t>adresse, ville</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26-59493. Objet: Prestations de nettoyage des locaux administratifs et des espaces ouverts au public des tours de la Cathédrale Notre-Dame de Paris. Acheteur: Centre des Monuments Nationaux. Lien: https://www.boamp.fr/pages/avis/?q=idweb:26-59493.</t>
        </is>
      </c>
      <c r="AU16" t="inlineStr">
        <is>
          <t>Verifier url_avis et DCE si disponible</t>
        </is>
      </c>
      <c r="AV16" t="inlineStr"/>
      <c r="AW16" t="inlineStr"/>
      <c r="AX16" t="inlineStr"/>
      <c r="AY16" t="inlineStr"/>
      <c r="AZ16" t="inlineStr"/>
      <c r="BA16" t="inlineStr"/>
      <c r="BB16" t="inlineStr">
        <is>
          <t>+35 nettoyage + categorie claire | +20 budget annualise &lt;= 100 000 EUR | +10 delai confortable 25j</t>
        </is>
      </c>
      <c r="BC16" t="inlineStr">
        <is>
          <t>Centre des Monuments Nationaux publie un AO potentiellement pertinent pour CHRUTH : Prestations de nettoyage des locaux administratifs et des espaces ouverts au public des tours de la Cathédrale Notre-Dame de Paris. Zone : 75. Budget detecte environ 85 000 EUR. Verifier le lien source avant contact.</t>
        </is>
      </c>
      <c r="BD16" t="inlineStr">
        <is>
          <t>Bonjour,
Je me permets de vous contacter au sujet de votre appel d'offres : Prestations de nettoyage des locaux administratifs et des espaces ouverts au public des tours de la Cathédrale Notre-Dame de Paris.
CHRUTH accompagne les structures publiques et privees sur les besoins de nettoyage, d'entretien des locaux et d'organisation de prestations de service.
Serait-il possible d'echanger rapidement afin de verifier les modalites de reponse et les attentes de Centre des Monuments Nationaux ?
Cordialement,</t>
        </is>
      </c>
      <c r="BE16" t="inlineStr">
        <is>
          <t>Bonjour, je vous appelle concernant un appel d'offres publie par Centre des Monuments Nationaux. Je souhaite verifier les informations pratiques : perimetre des prestations, date limite, modalites de visite, contact technique et pieces attendues. Pouvez-vous m'indiquer la bonne personne a contacter ?</t>
        </is>
      </c>
      <c r="BF16" t="inlineStr"/>
      <c r="BG16" t="inlineStr"/>
      <c r="BH16" t="inlineStr"/>
      <c r="BI16" t="inlineStr"/>
      <c r="BJ16" t="inlineStr"/>
      <c r="BK16" t="inlineStr"/>
      <c r="BL16" t="inlineStr"/>
      <c r="BM16" t="inlineStr">
        <is>
          <t>2026-W25</t>
        </is>
      </c>
    </row>
    <row r="17">
      <c r="A17" t="inlineStr">
        <is>
          <t>BOAMP</t>
        </is>
      </c>
      <c r="B17" t="inlineStr">
        <is>
          <t>26-56367</t>
        </is>
      </c>
      <c r="C17" t="inlineStr">
        <is>
          <t>Prestations de nettoyage courant des locaux administratifs de Pantin Habitat</t>
        </is>
      </c>
      <c r="D17" t="inlineStr">
        <is>
          <t>Pantin Habitat</t>
        </is>
      </c>
      <c r="E17" t="inlineStr">
        <is>
          <t>31162223700049</t>
        </is>
      </c>
      <c r="F17" t="inlineStr">
        <is>
          <t>311622237</t>
        </is>
      </c>
      <c r="G17" t="inlineStr">
        <is>
          <t>PANTIN HABITAT</t>
        </is>
      </c>
      <c r="H17" t="inlineStr"/>
      <c r="I17" t="inlineStr">
        <is>
          <t>servicedesmarches@pantinhabitat.fr</t>
        </is>
      </c>
      <c r="J17" t="inlineStr">
        <is>
          <t>01 48 44 73 03</t>
        </is>
      </c>
      <c r="K17" t="inlineStr">
        <is>
          <t>Seine-Saint-Denis</t>
        </is>
      </c>
      <c r="L17" t="inlineStr">
        <is>
          <t>93697</t>
        </is>
      </c>
      <c r="M17" t="inlineStr">
        <is>
          <t>Pantin cedex</t>
        </is>
      </c>
      <c r="N17" t="inlineStr">
        <is>
          <t>93,75,92,94</t>
        </is>
      </c>
      <c r="O17" t="inlineStr"/>
      <c r="P17" t="inlineStr">
        <is>
          <t>Ile-de-France</t>
        </is>
      </c>
      <c r="Q17" s="15" t="n">
        <v>46181</v>
      </c>
      <c r="R17" s="15" t="n">
        <v>46211</v>
      </c>
      <c r="S17" s="14" t="n">
        <v>93697</v>
      </c>
      <c r="T17" t="inlineStr">
        <is>
          <t>BUDGET_SOUS_SEUIL</t>
        </is>
      </c>
      <c r="U17" t="inlineStr">
        <is>
          <t>93697.0</t>
        </is>
      </c>
      <c r="V17" t="inlineStr">
        <is>
          <t>non</t>
        </is>
      </c>
      <c r="W17" t="inlineStr">
        <is>
          <t>Vitres</t>
        </is>
      </c>
      <c r="X17" t="inlineStr">
        <is>
          <t>Autre</t>
        </is>
      </c>
      <c r="Y17" t="inlineStr">
        <is>
          <t>SERVICES</t>
        </is>
      </c>
      <c r="Z17" t="inlineStr">
        <is>
          <t>Procédure Ouverte</t>
        </is>
      </c>
      <c r="AA17" t="inlineStr">
        <is>
          <t>Avis de marché</t>
        </is>
      </c>
      <c r="AB17" t="inlineStr">
        <is>
          <t>Nettoyage de locaux</t>
        </is>
      </c>
      <c r="AC17" t="inlineStr">
        <is>
          <t>['sociaux', 'environnementaux']</t>
        </is>
      </c>
      <c r="AD17" s="11" t="inlineStr">
        <is>
          <t>https://www.boamp.fr/pages/avis/?q=idweb:26-56367</t>
        </is>
      </c>
      <c r="AE17" t="inlineStr">
        <is>
          <t>https://www.achatpublic.com/sdm/ent/gen/ent_detail.do?PCSLID=CSL_2026_KUKPQ4kzgA</t>
        </is>
      </c>
      <c r="AF17" t="inlineStr">
        <is>
          <t>https://www.achatpublic.com/sdm/ent/gen/ent_detail.do?PCSLID=CSL_2026_KUKPQ4kzgA</t>
        </is>
      </c>
      <c r="AG17" t="inlineStr">
        <is>
          <t>nettoyage</t>
        </is>
      </c>
      <c r="AH17" t="inlineStr">
        <is>
          <t>6</t>
        </is>
      </c>
      <c r="AI17" t="inlineStr">
        <is>
          <t>98</t>
        </is>
      </c>
      <c r="AJ17" t="inlineStr">
        <is>
          <t>INFO_PARTIELLE</t>
        </is>
      </c>
      <c r="AK17" t="inlineStr">
        <is>
          <t>65</t>
        </is>
      </c>
      <c r="AL17" s="13" t="inlineStr">
        <is>
          <t>CHAUD</t>
        </is>
      </c>
      <c r="AM17" t="inlineStr"/>
      <c r="AN17" t="inlineStr"/>
      <c r="AO17" t="inlineStr"/>
      <c r="AP17" t="inlineStr"/>
      <c r="AQ17" t="inlineStr">
        <is>
          <t>IA_CONTROLE_SOURCE</t>
        </is>
      </c>
      <c r="AR17" t="inlineStr">
        <is>
          <t>Verifier rapidement la source avant contact.</t>
        </is>
      </c>
      <c r="AS17" t="inlineStr">
        <is>
          <t>Aucun champ critique manquant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26-56367. Objet: Prestations de nettoyage courant des locaux administratifs de Pantin Habitat. Acheteur: Pantin Habitat. Lien: https://www.boamp.fr/pages/avis/?q=idweb:26-56367.</t>
        </is>
      </c>
      <c r="AU17" t="inlineStr">
        <is>
          <t>Verifier url_avis et DCE si disponible</t>
        </is>
      </c>
      <c r="AV17" t="inlineStr"/>
      <c r="AW17" t="inlineStr"/>
      <c r="AX17" t="inlineStr"/>
      <c r="AY17" t="inlineStr"/>
      <c r="AZ17" t="inlineStr"/>
      <c r="BA17" t="inlineStr"/>
      <c r="BB17" t="inlineStr">
        <is>
          <t>+35 nettoyage + categorie claire | +20 budget annualise &lt;= 100 000 EUR | +10 delai confortable 16j</t>
        </is>
      </c>
      <c r="BC17" t="inlineStr">
        <is>
          <t>Pantin Habitat publie un AO potentiellement pertinent pour CHRUTH : Prestations de nettoyage courant des locaux administratifs de Pantin Habitat. Zone : Pantin cedex. Budget detecte environ 93 697 EUR. Verifier le lien source avant contact.</t>
        </is>
      </c>
      <c r="BD17" t="inlineStr">
        <is>
          <t>Bonjour,
Je me permets de vous contacter au sujet de votre appel d'offres : Prestations de nettoyage courant des locaux administratifs de Pantin Habitat.
CHRUTH accompagne les structures publiques et privees sur les besoins de nettoyage, d'entretien des locaux et d'organisation de prestations de service.
Serait-il possible d'echanger rapidement afin de verifier les modalites de reponse et les attentes de Pantin Habitat ?
Cordialement,</t>
        </is>
      </c>
      <c r="BE17" t="inlineStr">
        <is>
          <t>Bonjour, je vous appelle concernant un appel d'offres publie par Pantin Habitat. Je souhaite verifier les informations pratiques : perimetre des prestations, date limite, modalites de visite, contact technique et pieces attendues. Pouvez-vous m'indiquer la bonne personne a contacter ?</t>
        </is>
      </c>
      <c r="BF17" t="inlineStr"/>
      <c r="BG17" t="inlineStr"/>
      <c r="BH17" t="inlineStr"/>
      <c r="BI17" t="inlineStr"/>
      <c r="BJ17" t="inlineStr"/>
      <c r="BK17" t="inlineStr"/>
      <c r="BL17" t="inlineStr"/>
      <c r="BM17" t="inlineStr">
        <is>
          <t>2026-W24</t>
        </is>
      </c>
    </row>
    <row r="18">
      <c r="A18" t="inlineStr">
        <is>
          <t>BOAMP</t>
        </is>
      </c>
      <c r="B18" t="inlineStr">
        <is>
          <t>26-55118</t>
        </is>
      </c>
      <c r="C18" t="inlineStr">
        <is>
          <t>Nettoyage des locaux des bâtiments de la commune de Châtillon (92320)</t>
        </is>
      </c>
      <c r="D18" t="inlineStr">
        <is>
          <t>Commune de CHATILLON</t>
        </is>
      </c>
      <c r="E18" t="inlineStr"/>
      <c r="F18" t="inlineStr"/>
      <c r="G18" t="inlineStr"/>
      <c r="H18" t="inlineStr"/>
      <c r="I18" t="inlineStr">
        <is>
          <t>publications-joue@aws-france.com</t>
        </is>
      </c>
      <c r="J18" t="inlineStr">
        <is>
          <t>+33480041260</t>
        </is>
      </c>
      <c r="K18" t="inlineStr"/>
      <c r="L18" t="inlineStr"/>
      <c r="M18" t="inlineStr"/>
      <c r="N18" t="inlineStr">
        <is>
          <t>92</t>
        </is>
      </c>
      <c r="O18" t="inlineStr"/>
      <c r="P18" t="inlineStr">
        <is>
          <t>Ile-de-France</t>
        </is>
      </c>
      <c r="Q18" s="15" t="n">
        <v>46179</v>
      </c>
      <c r="R18" s="15" t="n">
        <v>46213</v>
      </c>
      <c r="S18" t="inlineStr"/>
      <c r="T18" t="inlineStr">
        <is>
          <t>A_VERIFIER_BUDGET</t>
        </is>
      </c>
      <c r="U18" t="inlineStr"/>
      <c r="V18" t="inlineStr">
        <is>
          <t>non</t>
        </is>
      </c>
      <c r="W18" t="inlineStr">
        <is>
          <t>Batiments</t>
        </is>
      </c>
      <c r="X18" t="inlineStr">
        <is>
          <t>Mairie</t>
        </is>
      </c>
      <c r="Y18" t="inlineStr">
        <is>
          <t>SERVICES</t>
        </is>
      </c>
      <c r="Z18" t="inlineStr">
        <is>
          <t>Procédure Ouverte</t>
        </is>
      </c>
      <c r="AA18" t="inlineStr">
        <is>
          <t>Avis de marché</t>
        </is>
      </c>
      <c r="AB18" t="inlineStr">
        <is>
          <t>Nettoyage de locaux</t>
        </is>
      </c>
      <c r="AC18" t="inlineStr">
        <is>
          <t>['environnementaux']</t>
        </is>
      </c>
      <c r="AD18" s="11" t="inlineStr">
        <is>
          <t>https://www.boamp.fr/pages/avis/?q=idweb:26-55118</t>
        </is>
      </c>
      <c r="AE18" t="inlineStr">
        <is>
          <t>https://www.marches-publics.info</t>
        </is>
      </c>
      <c r="AF18" t="inlineStr">
        <is>
          <t>https://www.marches-publics.info</t>
        </is>
      </c>
      <c r="AG18" t="inlineStr">
        <is>
          <t>nettoyage</t>
        </is>
      </c>
      <c r="AH18" t="inlineStr">
        <is>
          <t>2</t>
        </is>
      </c>
      <c r="AI18" t="inlineStr">
        <is>
          <t>58</t>
        </is>
      </c>
      <c r="AJ18" t="inlineStr">
        <is>
          <t>INFO_PARTIELLE</t>
        </is>
      </c>
      <c r="AK18" t="inlineStr">
        <is>
          <t>65</t>
        </is>
      </c>
      <c r="AL18" s="13" t="inlineStr">
        <is>
          <t>CHAUD</t>
        </is>
      </c>
      <c r="AM18" t="inlineStr"/>
      <c r="AN18" t="inlineStr"/>
      <c r="AO18" t="inlineStr"/>
      <c r="AP18" t="inlineStr"/>
      <c r="AQ18" t="inlineStr">
        <is>
          <t>IA_BUDGET_A_VERIFIER</t>
        </is>
      </c>
      <c r="AR18" t="inlineStr">
        <is>
          <t>Verifier le budget dans l'avis source ou le DCE avant decision commerciale.</t>
        </is>
      </c>
      <c r="AS18" t="inlineStr">
        <is>
          <t>SIRET, 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18" t="inlineStr">
        <is>
          <t>Verifier url_avis et DCE si disponible</t>
        </is>
      </c>
      <c r="AV18" t="inlineStr">
        <is>
          <t>LIEN_SEUL</t>
        </is>
      </c>
      <c r="AW18" t="inlineStr"/>
      <c r="AX18" t="inlineStr"/>
      <c r="AY18" t="inlineStr"/>
      <c r="AZ18" t="inlineStr"/>
      <c r="BA18" t="inlineStr"/>
      <c r="BB18" t="inlineStr">
        <is>
          <t>+35 nettoyage + categorie claire | +10 budget non affiche (a verifier) | +10 secteur cible Mairie | +10 delai confortable 20j</t>
        </is>
      </c>
      <c r="BC18" t="inlineStr">
        <is>
          <t>Commune de CHATILLON publie un AO potentiellement pertinent pour CHRUTH : Nettoyage des locaux des bâtiments de la commune de Châtillon (92320). Zone : 92. Budget a verifier. Verifier le lien source avant contact.</t>
        </is>
      </c>
      <c r="BD18"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18"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18" t="inlineStr"/>
      <c r="BG18" t="inlineStr"/>
      <c r="BH18" t="inlineStr"/>
      <c r="BI18" t="inlineStr"/>
      <c r="BJ18" t="inlineStr"/>
      <c r="BK18" t="inlineStr"/>
      <c r="BL18" t="inlineStr"/>
      <c r="BM18" t="inlineStr">
        <is>
          <t>2026-W23</t>
        </is>
      </c>
    </row>
    <row r="19">
      <c r="A19" t="inlineStr">
        <is>
          <t>BOAMP</t>
        </is>
      </c>
      <c r="B19" t="inlineStr">
        <is>
          <t>26-54753</t>
        </is>
      </c>
      <c r="C19" t="inlineStr">
        <is>
          <t>PRESTATIONS DE NETTOYAGE DE LA MAISON DES JEUNES ET DE LA MAISON DE L'ENFANCE ET DE LA FAMILLE DE LA COMMUNE BOISSY-SAINT-LEGER</t>
        </is>
      </c>
      <c r="D19" t="inlineStr">
        <is>
          <t>Mairie Boissy Saint Léger</t>
        </is>
      </c>
      <c r="E19" t="inlineStr">
        <is>
          <t>21940004100014</t>
        </is>
      </c>
      <c r="F19" t="inlineStr">
        <is>
          <t>219400041</t>
        </is>
      </c>
      <c r="G19" t="inlineStr"/>
      <c r="H19" t="inlineStr"/>
      <c r="I19" t="inlineStr">
        <is>
          <t>marches.publics@ville-boissy.fr</t>
        </is>
      </c>
      <c r="J19" t="inlineStr">
        <is>
          <t>04100014 01</t>
        </is>
      </c>
      <c r="K19" t="inlineStr"/>
      <c r="L19" t="inlineStr"/>
      <c r="M19" t="inlineStr"/>
      <c r="N19" t="inlineStr">
        <is>
          <t>94,95</t>
        </is>
      </c>
      <c r="O19" t="inlineStr"/>
      <c r="P19" t="inlineStr">
        <is>
          <t>Ile-de-France</t>
        </is>
      </c>
      <c r="Q19" s="15" t="n">
        <v>46178</v>
      </c>
      <c r="R19" s="15" t="n">
        <v>46213</v>
      </c>
      <c r="S19" t="inlineStr"/>
      <c r="T19" t="inlineStr">
        <is>
          <t>A_VERIFIER_BUDGET</t>
        </is>
      </c>
      <c r="U19" t="inlineStr"/>
      <c r="V19" t="inlineStr">
        <is>
          <t>non</t>
        </is>
      </c>
      <c r="W19" t="inlineStr">
        <is>
          <t>Batiments</t>
        </is>
      </c>
      <c r="X19" t="inlineStr">
        <is>
          <t>Mairie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https://www.boamp.fr/pages/avis/?q=idweb:26-54753</t>
        </is>
      </c>
      <c r="AE19" t="inlineStr">
        <is>
          <t>https://www.achatpublic.com/sdm/ent/gen/ent_detail.do?PCSLID=CSL_2026_Q0MbHTHdpI</t>
        </is>
      </c>
      <c r="AF19" t="inlineStr">
        <is>
          <t>https://www.achatpublic.com/sdm/ent/gen/ent_detail.do?PCSLID=CSL_2026_Q0MbHTHdpI</t>
        </is>
      </c>
      <c r="AG19" t="inlineStr">
        <is>
          <t>nettoyage</t>
        </is>
      </c>
      <c r="AH19" t="inlineStr">
        <is>
          <t>3</t>
        </is>
      </c>
      <c r="AI19" t="inlineStr">
        <is>
          <t>68</t>
        </is>
      </c>
      <c r="AJ19" t="inlineStr">
        <is>
          <t>INFO_PARTIELLE</t>
        </is>
      </c>
      <c r="AK19" t="inlineStr">
        <is>
          <t>65</t>
        </is>
      </c>
      <c r="AL19" s="13" t="inlineStr">
        <is>
          <t>CHAUD</t>
        </is>
      </c>
      <c r="AM19" t="inlineStr"/>
      <c r="AN19" t="inlineStr"/>
      <c r="AO19" t="inlineStr"/>
      <c r="AP19" t="inlineStr"/>
      <c r="AQ19" t="inlineStr">
        <is>
          <t>IA_BUDGET_A_VERIFIER</t>
        </is>
      </c>
      <c r="AR19" t="inlineStr">
        <is>
          <t>Verifier le budget dans l'avis source ou le DCE avant decision commerciale.</t>
        </is>
      </c>
      <c r="AS19" t="inlineStr">
        <is>
          <t>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19" t="inlineStr">
        <is>
          <t>Verifier url_avis et DCE si disponible</t>
        </is>
      </c>
      <c r="AV19" t="inlineStr">
        <is>
          <t>LIEN_SEUL</t>
        </is>
      </c>
      <c r="AW19" t="inlineStr"/>
      <c r="AX19" t="inlineStr"/>
      <c r="AY19" t="inlineStr"/>
      <c r="AZ19" t="inlineStr"/>
      <c r="BA19" t="inlineStr"/>
      <c r="BB19" t="inlineStr">
        <is>
          <t>+35 nettoyage + categorie claire | +10 budget non affiche (a verifier) | +10 secteur cible Mairie | +10 delai confortable 21j</t>
        </is>
      </c>
      <c r="BC19"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19"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19"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19" t="inlineStr"/>
      <c r="BG19" t="inlineStr"/>
      <c r="BH19" t="inlineStr"/>
      <c r="BI19" t="inlineStr"/>
      <c r="BJ19" t="inlineStr"/>
      <c r="BK19" t="inlineStr"/>
      <c r="BL19" t="inlineStr"/>
      <c r="BM19" t="inlineStr">
        <is>
          <t>2026-W23</t>
        </is>
      </c>
    </row>
    <row r="20">
      <c r="A20" t="inlineStr">
        <is>
          <t>BOAMP</t>
        </is>
      </c>
      <c r="B20" t="inlineStr">
        <is>
          <t>26-53819</t>
        </is>
      </c>
      <c r="C20" t="inlineStr">
        <is>
          <t>ACCORD-CADRE DE PRESTATIONS D'ENTRETIEN DES INSTALLATIONS D'ASSAINISSSMENT DES PARCS DE STATIONNEMENT DE LA SPL LEVAPARC A LEVALLOIS-PERRET</t>
        </is>
      </c>
      <c r="D20" t="inlineStr">
        <is>
          <t>SPL LEVAPARC</t>
        </is>
      </c>
      <c r="E20" t="inlineStr"/>
      <c r="F20" t="inlineStr"/>
      <c r="G20" t="inlineStr"/>
      <c r="H20" t="inlineStr"/>
      <c r="I20" t="inlineStr">
        <is>
          <t>publications-joue@aws-france.com</t>
        </is>
      </c>
      <c r="J20" t="inlineStr">
        <is>
          <t>+33480041260</t>
        </is>
      </c>
      <c r="K20" t="inlineStr"/>
      <c r="L20" t="inlineStr"/>
      <c r="M20" t="inlineStr"/>
      <c r="N20" t="inlineStr">
        <is>
          <t>92</t>
        </is>
      </c>
      <c r="O20" t="inlineStr"/>
      <c r="P20" t="inlineStr">
        <is>
          <t>Ile-de-France</t>
        </is>
      </c>
      <c r="Q20" s="15" t="n">
        <v>46176</v>
      </c>
      <c r="R20" s="15" t="n">
        <v>46206</v>
      </c>
      <c r="S20" s="14" t="n">
        <v>100000</v>
      </c>
      <c r="T20" t="inlineStr">
        <is>
          <t>BUDGET_EXPLICITE_OK</t>
        </is>
      </c>
      <c r="U20" t="inlineStr">
        <is>
          <t>100000.0</t>
        </is>
      </c>
      <c r="V20" t="inlineStr">
        <is>
          <t>non</t>
        </is>
      </c>
      <c r="W20" t="inlineStr">
        <is>
          <t>Batiments</t>
        </is>
      </c>
      <c r="X20" t="inlineStr">
        <is>
          <t>Autre</t>
        </is>
      </c>
      <c r="Y20" t="inlineStr">
        <is>
          <t>SERVICES</t>
        </is>
      </c>
      <c r="Z20" t="inlineStr">
        <is>
          <t>Procédure Ouverte</t>
        </is>
      </c>
      <c r="AA20" t="inlineStr">
        <is>
          <t>Avis de marché</t>
        </is>
      </c>
      <c r="AB20" t="inlineStr">
        <is>
          <t>Assainissement</t>
        </is>
      </c>
      <c r="AC20" t="inlineStr">
        <is>
          <t>['environnementaux']</t>
        </is>
      </c>
      <c r="AD20" s="11" t="inlineStr">
        <is>
          <t>https://www.boamp.fr/pages/avis/?q=idweb:26-53819</t>
        </is>
      </c>
      <c r="AE20" t="inlineStr">
        <is>
          <t>https://www.marches-publics.info</t>
        </is>
      </c>
      <c r="AF20" t="inlineStr">
        <is>
          <t>https://www.marches-publics.info</t>
        </is>
      </c>
      <c r="AG20" t="inlineStr">
        <is>
          <t>nettoyage</t>
        </is>
      </c>
      <c r="AH20" t="inlineStr">
        <is>
          <t>2</t>
        </is>
      </c>
      <c r="AI20" t="inlineStr">
        <is>
          <t>58</t>
        </is>
      </c>
      <c r="AJ20" t="inlineStr">
        <is>
          <t>INFO_PARTIELLE</t>
        </is>
      </c>
      <c r="AK20" t="inlineStr">
        <is>
          <t>65</t>
        </is>
      </c>
      <c r="AL20" s="13" t="inlineStr">
        <is>
          <t>CHAUD</t>
        </is>
      </c>
      <c r="AM20" t="inlineStr"/>
      <c r="AN20" t="inlineStr"/>
      <c r="AO20" t="inlineStr"/>
      <c r="AP20" t="inlineStr"/>
      <c r="AQ20" t="inlineStr">
        <is>
          <t>IA_CONTACT_A_COMPLETER</t>
        </is>
      </c>
      <c r="AR20" t="inlineStr">
        <is>
          <t>Completer les champs manquants depuis l'avis source, le site acheteur ou le DCE.</t>
        </is>
      </c>
      <c r="AS20" t="inlineStr">
        <is>
          <t>SIRET, adresse, ville</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26-53819. Objet: ACCORD-CADRE DE PRESTATIONS D'ENTRETIEN DES INSTALLATIONS D'ASSAINISSSMENT DES PARCS DE STATIONNEMENT DE LA SPL LEVAPARC A LEVALLOIS-PERRET. Acheteur: SPL LEVAPARC. Lien: https://www.boamp.fr/pages/avis/?q=idweb:26-53819.</t>
        </is>
      </c>
      <c r="AU20" t="inlineStr">
        <is>
          <t>Verifier url_avis et DCE si disponible</t>
        </is>
      </c>
      <c r="AV20" t="inlineStr"/>
      <c r="AW20" t="inlineStr"/>
      <c r="AX20" t="inlineStr"/>
      <c r="AY20" t="inlineStr"/>
      <c r="AZ20" t="inlineStr"/>
      <c r="BA20" t="inlineStr"/>
      <c r="BB20" t="inlineStr">
        <is>
          <t>+35 nettoyage + categorie claire | +20 budget annualise &lt;= 100 000 EUR | +10 delai confortable 16j</t>
        </is>
      </c>
      <c r="BC20" t="inlineStr">
        <is>
          <t>SPL LEVAPARC publie un AO potentiellement pertinent pour CHRUTH : ACCORD-CADRE DE PRESTATIONS D'ENTRETIEN DES INSTALLATIONS D'ASSAINISSSMENT DES PARCS DE STATIONNEMENT DE LA SPL LEVAPARC A LEVALLOIS-PERRET. Zone : 92. Budget detecte environ 100 000 EUR. Verifier le lien source avant contact.</t>
        </is>
      </c>
      <c r="BD20" t="inlineStr">
        <is>
          <t>Bonjour,
Je me permets de vous contacter au sujet de votre appel d'offres : ACCORD-CADRE DE PRESTATIONS D'ENTRETIEN DES INSTALLATIONS D'ASSAINISSSMENT DES PARCS DE STATIONNEMENT DE LA SPL LEVAPARC A LEVALLOIS-PERRET.
CHRUTH accompagne les structures publiques et privees sur les besoins de nettoyage, d'entretien des locaux et d'organisation de prestations de service.
Serait-il possible d'echanger rapidement afin de verifier les modalites de reponse et les attentes de SPL LEVAPARC ?
Cordialement,</t>
        </is>
      </c>
      <c r="BE20" t="inlineStr">
        <is>
          <t>Bonjour, je vous appelle concernant un appel d'offres publie par SPL LEVAPARC.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2026-W23</t>
        </is>
      </c>
    </row>
    <row r="21">
      <c r="A21" t="inlineStr">
        <is>
          <t>BOAMP</t>
        </is>
      </c>
      <c r="B21" t="inlineStr">
        <is>
          <t>26-64633</t>
        </is>
      </c>
      <c r="C21" t="inlineStr">
        <is>
          <t>Entretien des locaux municipaux de Villenoy</t>
        </is>
      </c>
      <c r="D21" t="inlineStr">
        <is>
          <t>Commune de Villenoy</t>
        </is>
      </c>
      <c r="E21" t="inlineStr">
        <is>
          <t>21770513600109</t>
        </is>
      </c>
      <c r="F21" t="inlineStr">
        <is>
          <t>217705136</t>
        </is>
      </c>
      <c r="G21" t="inlineStr"/>
      <c r="H21" t="inlineStr"/>
      <c r="I21" t="inlineStr">
        <is>
          <t>mairie@villenoy.fr</t>
        </is>
      </c>
      <c r="J21" t="inlineStr">
        <is>
          <t>0513600109</t>
        </is>
      </c>
      <c r="K21" t="inlineStr"/>
      <c r="L21" t="inlineStr"/>
      <c r="M21" t="inlineStr"/>
      <c r="N21" t="inlineStr">
        <is>
          <t>77</t>
        </is>
      </c>
      <c r="O21" t="inlineStr"/>
      <c r="P21" t="inlineStr">
        <is>
          <t>Ile-de-France</t>
        </is>
      </c>
      <c r="Q21" s="15" t="n">
        <v>46204</v>
      </c>
      <c r="R21" s="15" t="n">
        <v>46234</v>
      </c>
      <c r="S21" s="14" t="n">
        <v>200000</v>
      </c>
      <c r="T21" t="inlineStr">
        <is>
          <t>BUDGET_EXPLICITE_OK</t>
        </is>
      </c>
      <c r="U21" t="inlineStr">
        <is>
          <t>200000.0</t>
        </is>
      </c>
      <c r="V21" t="inlineStr">
        <is>
          <t>non</t>
        </is>
      </c>
      <c r="W21" t="inlineStr">
        <is>
          <t>Batiments</t>
        </is>
      </c>
      <c r="X21" t="inlineStr">
        <is>
          <t>Mairie</t>
        </is>
      </c>
      <c r="Y21" t="inlineStr">
        <is>
          <t>SERVICES</t>
        </is>
      </c>
      <c r="Z21" t="inlineStr">
        <is>
          <t>Procédure Ouverte</t>
        </is>
      </c>
      <c r="AA21" t="inlineStr">
        <is>
          <t>Avis de marché</t>
        </is>
      </c>
      <c r="AB21" t="inlineStr">
        <is>
          <t>Nettoyage de locaux</t>
        </is>
      </c>
      <c r="AC21" t="inlineStr"/>
      <c r="AD21" s="11" t="inlineStr">
        <is>
          <t>https://www.boamp.fr/pages/avis/?q=idweb:26-64633</t>
        </is>
      </c>
      <c r="AE21" t="inlineStr">
        <is>
          <t>https://marches.maximilien.fr/entreprise/consultation/942278?orgAcronyme=a4n</t>
        </is>
      </c>
      <c r="AF21" t="inlineStr">
        <is>
          <t>https://marches.maximilien.fr/entreprise/consultation/942278?orgAcronyme=a4n</t>
        </is>
      </c>
      <c r="AG21" t="inlineStr">
        <is>
          <t>nettoyage, entretien des locaux, menage</t>
        </is>
      </c>
      <c r="AH21" t="inlineStr">
        <is>
          <t>3</t>
        </is>
      </c>
      <c r="AI21" t="inlineStr">
        <is>
          <t>84</t>
        </is>
      </c>
      <c r="AJ21" t="inlineStr">
        <is>
          <t>INFO_PARTIELLE</t>
        </is>
      </c>
      <c r="AK21" t="inlineStr">
        <is>
          <t>60</t>
        </is>
      </c>
      <c r="AL21" t="inlineStr">
        <is>
          <t>TIEDE</t>
        </is>
      </c>
      <c r="AM21" t="inlineStr"/>
      <c r="AN21" t="inlineStr"/>
      <c r="AO21" t="inlineStr"/>
      <c r="AP21" t="inlineStr"/>
      <c r="AQ21" t="inlineStr">
        <is>
          <t>IA_CONTACT_A_COMPLETER</t>
        </is>
      </c>
      <c r="AR21" t="inlineStr">
        <is>
          <t>Completer les champs manquants depuis l'avis source, le site acheteur ou le DCE.</t>
        </is>
      </c>
      <c r="AS21" t="inlineStr">
        <is>
          <t>adresse, ville</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26-64633. Objet: Entretien des locaux municipaux de Villenoy. Acheteur: Commune de Villenoy. Lien: https://www.boamp.fr/pages/avis/?q=idweb:26-64633.</t>
        </is>
      </c>
      <c r="AU21" t="inlineStr">
        <is>
          <t>Verifier url_avis et DCE si disponible</t>
        </is>
      </c>
      <c r="AV21" t="inlineStr"/>
      <c r="AW21" t="inlineStr"/>
      <c r="AX21" t="inlineStr"/>
      <c r="AY21" t="inlineStr"/>
      <c r="AZ21" t="inlineStr"/>
      <c r="BA21" t="inlineStr"/>
      <c r="BB21" t="inlineStr">
        <is>
          <t>+35 nettoyage + categorie claire | +5 budget annualise &lt;= 200 000 EUR | +10 secteur cible Mairie | +10 delai confortable 28j</t>
        </is>
      </c>
      <c r="BC21" t="inlineStr">
        <is>
          <t>Commune de Villenoy publie un AO potentiellement pertinent pour CHRUTH : Entretien des locaux municipaux de Villenoy. Zone : 77. Budget detecte environ 200 000 EUR. Verifier le lien source avant contact.</t>
        </is>
      </c>
      <c r="BD21" t="inlineStr">
        <is>
          <t>Bonjour,
Je me permets de vous contacter au sujet de votre appel d'offres : Entretien des locaux municipaux de Villenoy.
CHRUTH accompagne les structures publiques et privées sur les besoins de nettoyage, d'entretien des locaux et d'organisation de prestations de service.
Serait-il possible d'échanger rapidement afin de vérifier les modalités de réponse et les attentes de Commune de Villenoy ?
Cordialement,</t>
        </is>
      </c>
      <c r="BE21" t="inlineStr">
        <is>
          <t>Bonjour, je vous appelle concernant un appel d'offres publié par Commune de Villenoy.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2026-W27</t>
        </is>
      </c>
    </row>
    <row r="22">
      <c r="A22" t="inlineStr">
        <is>
          <t>BOAMP</t>
        </is>
      </c>
      <c r="B22" t="inlineStr">
        <is>
          <t>26-63220</t>
        </is>
      </c>
      <c r="C22" t="inlineStr">
        <is>
          <t>Prestations de propreté urbaine de la Ville de Choisy-le-Roi</t>
        </is>
      </c>
      <c r="D22" t="inlineStr">
        <is>
          <t>Mairie de Choisy-le-Roi</t>
        </is>
      </c>
      <c r="E22" t="inlineStr">
        <is>
          <t>21940022300018</t>
        </is>
      </c>
      <c r="F22" t="inlineStr">
        <is>
          <t>219400223</t>
        </is>
      </c>
      <c r="G22" t="inlineStr"/>
      <c r="H22" t="inlineStr"/>
      <c r="I22" t="inlineStr">
        <is>
          <t>marches.publics@choisyleroi.fr</t>
        </is>
      </c>
      <c r="J22" t="inlineStr">
        <is>
          <t>0148924444</t>
        </is>
      </c>
      <c r="K22" t="inlineStr"/>
      <c r="L22" t="inlineStr"/>
      <c r="M22" t="inlineStr"/>
      <c r="N22" t="inlineStr">
        <is>
          <t>94,91</t>
        </is>
      </c>
      <c r="O22" t="inlineStr"/>
      <c r="P22" t="inlineStr">
        <is>
          <t>Ile-de-France</t>
        </is>
      </c>
      <c r="Q22" s="15" t="n">
        <v>46200</v>
      </c>
      <c r="R22" s="15" t="n">
        <v>46237</v>
      </c>
      <c r="S22" t="inlineStr"/>
      <c r="T22" t="inlineStr">
        <is>
          <t>A_VERIFIER_BUDGET</t>
        </is>
      </c>
      <c r="U22" t="inlineStr"/>
      <c r="V22" t="inlineStr">
        <is>
          <t>non</t>
        </is>
      </c>
      <c r="W22" t="inlineStr">
        <is>
          <t>Mixte/Autre</t>
        </is>
      </c>
      <c r="X22" t="inlineStr">
        <is>
          <t>Mairie</t>
        </is>
      </c>
      <c r="Y22" t="inlineStr">
        <is>
          <t>SERVICES</t>
        </is>
      </c>
      <c r="Z22" t="inlineStr">
        <is>
          <t>Procédure Ouverte</t>
        </is>
      </c>
      <c r="AA22" t="inlineStr">
        <is>
          <t>Avis de marché</t>
        </is>
      </c>
      <c r="AB22" t="inlineStr">
        <is>
          <t>Nettoyage urbain</t>
        </is>
      </c>
      <c r="AC22" t="inlineStr">
        <is>
          <t>['sociaux', 'environnementaux']</t>
        </is>
      </c>
      <c r="AD22" s="11" t="inlineStr">
        <is>
          <t>https://www.boamp.fr/pages/avis/?q=idweb:26-63220</t>
        </is>
      </c>
      <c r="AE22" t="inlineStr">
        <is>
          <t>https://www.achatpublic.com/sdm/ent/gen/ent_detail.do?PCSLID=CSL_2026_IDV3YK-Eq_</t>
        </is>
      </c>
      <c r="AF22" t="inlineStr">
        <is>
          <t>https://www.achatpublic.com/sdm/ent/gen/ent_detail.do?PCSLID=CSL_2026_IDV3YK-Eq_</t>
        </is>
      </c>
      <c r="AG22" t="inlineStr">
        <is>
          <t>nettoyage, proprete</t>
        </is>
      </c>
      <c r="AH22" t="inlineStr">
        <is>
          <t>3</t>
        </is>
      </c>
      <c r="AI22" t="inlineStr">
        <is>
          <t>76</t>
        </is>
      </c>
      <c r="AJ22" t="inlineStr">
        <is>
          <t>INFO_PARTIELLE</t>
        </is>
      </c>
      <c r="AK22" t="inlineStr">
        <is>
          <t>60</t>
        </is>
      </c>
      <c r="AL22" t="inlineStr">
        <is>
          <t>TIEDE</t>
        </is>
      </c>
      <c r="AM22" t="inlineStr"/>
      <c r="AN22" t="inlineStr"/>
      <c r="AO22" t="inlineStr"/>
      <c r="AP22" t="inlineStr"/>
      <c r="AQ22" t="inlineStr">
        <is>
          <t>IA_BUDGET_A_VERIFIER</t>
        </is>
      </c>
      <c r="AR22" t="inlineStr">
        <is>
          <t>Verifier le budget dans l'avis source ou le DCE avant decision commerciale.</t>
        </is>
      </c>
      <c r="AS22" t="inlineStr">
        <is>
          <t>adresse, ville,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26-63220. Objet: Prestations de propreté urbaine de la Ville de Choisy-le-Roi. Acheteur: Mairie de Choisy-le-Roi. Lien: https://www.boamp.fr/pages/avis/?q=idweb:26-63220.</t>
        </is>
      </c>
      <c r="AU22" t="inlineStr">
        <is>
          <t>Verifier url_avis et DCE si disponible</t>
        </is>
      </c>
      <c r="AV22" t="inlineStr"/>
      <c r="AW22" t="inlineStr"/>
      <c r="AX22" t="inlineStr"/>
      <c r="AY22" t="inlineStr"/>
      <c r="AZ22" t="inlineStr"/>
      <c r="BA22" t="inlineStr"/>
      <c r="BB22" t="inlineStr">
        <is>
          <t>+30 mots-cles nettoyage forts | +10 budget non affiche (a verifier) | +10 secteur cible Mairie | +10 delai confortable 28j</t>
        </is>
      </c>
      <c r="BC22" t="inlineStr">
        <is>
          <t>Mairie de Choisy-le-Roi publie un AO potentiellement pertinent pour CHRUTH : Prestations de propreté urbaine de la Ville de Choisy-le-Roi. Zone : 94,91. Budget a verifier. Verifier le lien source avant contact.</t>
        </is>
      </c>
      <c r="BD22" t="inlineStr">
        <is>
          <t>Bonjour,
Je me permets de vous contacter au sujet de votre appel d'offres : Prestations de propreté urbaine de la Ville de Choisy-le-Roi.
CHRUTH accompagne les structures publiques et privées sur les besoins de nettoyage, d'entretien des locaux et d'organisation de prestations de service.
Serait-il possible d'échanger rapidement afin de vérifier les modalités de réponse et les attentes de Mairie de Choisy-le-Roi ?
Cordialement,</t>
        </is>
      </c>
      <c r="BE22" t="inlineStr">
        <is>
          <t>Bonjour, je vous appelle concernant un appel d'offres publié par Mairie de Choisy-le-Roi.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2026-W26</t>
        </is>
      </c>
    </row>
    <row r="23">
      <c r="A23" t="inlineStr">
        <is>
          <t>BOAMP</t>
        </is>
      </c>
      <c r="B23" t="inlineStr">
        <is>
          <t>26-62559</t>
        </is>
      </c>
      <c r="C23" t="inlineStr">
        <is>
          <t>Achat et livraison de produits, matériels  et consommables d'entretien pour la ville  de Villeneuve Saint Georges</t>
        </is>
      </c>
      <c r="D23" t="inlineStr">
        <is>
          <t>MAIRIE DE VILLENEUVE-SAINT-GEORGES</t>
        </is>
      </c>
      <c r="E23" t="inlineStr">
        <is>
          <t>21940078500016</t>
        </is>
      </c>
      <c r="F23" t="inlineStr">
        <is>
          <t>219400785</t>
        </is>
      </c>
      <c r="G23" t="inlineStr"/>
      <c r="H23" t="inlineStr"/>
      <c r="I23" t="inlineStr">
        <is>
          <t>jlassoued@villeneuve-saint-georges.fr</t>
        </is>
      </c>
      <c r="J23" t="inlineStr">
        <is>
          <t>0171346029</t>
        </is>
      </c>
      <c r="K23" t="inlineStr"/>
      <c r="L23" t="inlineStr"/>
      <c r="M23" t="inlineStr"/>
      <c r="N23" t="inlineStr">
        <is>
          <t>94,75,91</t>
        </is>
      </c>
      <c r="O23" t="inlineStr"/>
      <c r="P23" t="inlineStr">
        <is>
          <t>Ile-de-France</t>
        </is>
      </c>
      <c r="Q23" s="15" t="n">
        <v>46198</v>
      </c>
      <c r="R23" s="15" t="n">
        <v>46233</v>
      </c>
      <c r="S23" t="inlineStr"/>
      <c r="T23" t="inlineStr">
        <is>
          <t>A_VERIFIER_BUDGET</t>
        </is>
      </c>
      <c r="U23" t="inlineStr"/>
      <c r="V23" t="inlineStr">
        <is>
          <t>non</t>
        </is>
      </c>
      <c r="W23" t="inlineStr">
        <is>
          <t>Mixte/Autre</t>
        </is>
      </c>
      <c r="X23" t="inlineStr">
        <is>
          <t>Mairie</t>
        </is>
      </c>
      <c r="Y23" t="inlineStr">
        <is>
          <t>FOURNITURES</t>
        </is>
      </c>
      <c r="Z23" t="inlineStr">
        <is>
          <t>Procédure Ouverte</t>
        </is>
      </c>
      <c r="AA23" t="inlineStr">
        <is>
          <t>Avis de marché</t>
        </is>
      </c>
      <c r="AB23" t="inlineStr">
        <is>
          <t>Produits d'entretien</t>
        </is>
      </c>
      <c r="AC23" t="inlineStr">
        <is>
          <t>['environnementaux']</t>
        </is>
      </c>
      <c r="AD23" s="11" t="inlineStr">
        <is>
          <t>https://www.boamp.fr/pages/avis/?q=idweb:26-62559</t>
        </is>
      </c>
      <c r="AE23" t="inlineStr">
        <is>
          <t>https://www.achatpublic.com/sdm/ent/gen/ent_detail.do?PCSLID=CSL_2026_hmulkPQYm7</t>
        </is>
      </c>
      <c r="AF23" t="inlineStr">
        <is>
          <t>https://www.achatpublic.com/sdm/ent/gen/ent_detail.do?PCSLID=CSL_2026_hmulkPQYm7</t>
        </is>
      </c>
      <c r="AG23" t="inlineStr">
        <is>
          <t>menage</t>
        </is>
      </c>
      <c r="AH23" t="inlineStr">
        <is>
          <t>3</t>
        </is>
      </c>
      <c r="AI23" t="inlineStr">
        <is>
          <t>68</t>
        </is>
      </c>
      <c r="AJ23" t="inlineStr">
        <is>
          <t>INFO_PARTIELLE</t>
        </is>
      </c>
      <c r="AK23" t="inlineStr">
        <is>
          <t>60</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26-62559. Objet: Achat et livraison de produits, matériels  et consommables d'entretien pour la ville  de Villeneuve Saint Georges. Acheteur: MAIRIE DE VILLENEUVE-SAINT-GEORGES. Lien: https://www.boamp.fr/pages/avis/?q=idweb:26-62559.</t>
        </is>
      </c>
      <c r="AU23" t="inlineStr">
        <is>
          <t>Verifier url_avis et DCE si disponible</t>
        </is>
      </c>
      <c r="AV23" t="inlineStr"/>
      <c r="AW23" t="inlineStr"/>
      <c r="AX23" t="inlineStr"/>
      <c r="AY23" t="inlineStr"/>
      <c r="AZ23" t="inlineStr"/>
      <c r="BA23" t="inlineStr"/>
      <c r="BB23" t="inlineStr">
        <is>
          <t>+30 mots-cles nettoyage forts | +10 budget non affiche (a verifier) | +10 secteur cible Mairie | +10 delai confortable 24j</t>
        </is>
      </c>
      <c r="BC23" t="inlineStr">
        <is>
          <t>MAIRIE DE VILLENEUVE-SAINT-GEORGES publie un AO potentiellement pertinent pour CHRUTH : Achat et livraison de produits, matériels  et consommables d'entretien pour la ville  de Villeneuve Saint Georges. Zone : 94,75,91. Budget a verifier. Verifier le lien source avant contact.</t>
        </is>
      </c>
      <c r="BD23" t="inlineStr">
        <is>
          <t>Bonjour,
Je me permets de vous contacter au sujet de votre appel d'offres : Achat et livraison de produits, matériels  et consommables d'entretien pour la ville  de Villeneuve Saint Georges.
CHRUTH accompagne les structures publiques et privées sur les besoins de nettoyage, d'entretien des locaux et d'organisation de prestations de service.
Serait-il possible d'échanger rapidement afin de vérifier les modalités de réponse et les attentes de MAIRIE DE VILLENEUVE-SAINT-GEORGES ?
Cordialement,</t>
        </is>
      </c>
      <c r="BE23" t="inlineStr">
        <is>
          <t>Bonjour, je vous appelle concernant un appel d'offres publié par MAIRIE DE VILLENEUVE-SAINT-GEORGES.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2026-W26</t>
        </is>
      </c>
    </row>
    <row r="24">
      <c r="A24" t="inlineStr">
        <is>
          <t>BOAMP</t>
        </is>
      </c>
      <c r="B24" t="inlineStr">
        <is>
          <t>26-58404</t>
        </is>
      </c>
      <c r="C24" t="inlineStr">
        <is>
          <t>Concession de service public portant sur la gestion et l'exploitation du Marché Saint-Louis pour le compte de la ville de Fontainebleau</t>
        </is>
      </c>
      <c r="D24" t="inlineStr">
        <is>
          <t>Ville De Fontainebleau</t>
        </is>
      </c>
      <c r="E24" t="inlineStr"/>
      <c r="F24" t="inlineStr">
        <is>
          <t>160746464</t>
        </is>
      </c>
      <c r="G24" t="inlineStr">
        <is>
          <t>Le Maire</t>
        </is>
      </c>
      <c r="H24" t="inlineStr"/>
      <c r="I24" t="inlineStr">
        <is>
          <t>catherine.durbecq@fontainebleau.fr</t>
        </is>
      </c>
      <c r="J24" t="inlineStr">
        <is>
          <t>+33 160746464</t>
        </is>
      </c>
      <c r="K24" t="inlineStr"/>
      <c r="L24" t="inlineStr">
        <is>
          <t>77303</t>
        </is>
      </c>
      <c r="M24" t="inlineStr">
        <is>
          <t>Fontainebleau</t>
        </is>
      </c>
      <c r="N24" t="inlineStr">
        <is>
          <t>77</t>
        </is>
      </c>
      <c r="O24" t="inlineStr"/>
      <c r="P24" t="inlineStr">
        <is>
          <t>Ile-de-France</t>
        </is>
      </c>
      <c r="Q24" s="15" t="n">
        <v>46185</v>
      </c>
      <c r="R24" s="15" t="n">
        <v>46234</v>
      </c>
      <c r="S24" t="inlineStr"/>
      <c r="T24" t="inlineStr">
        <is>
          <t>A_VERIFIER_BUDGET</t>
        </is>
      </c>
      <c r="U24" t="inlineStr"/>
      <c r="V24" t="inlineStr">
        <is>
          <t>non</t>
        </is>
      </c>
      <c r="W24" t="inlineStr">
        <is>
          <t>Mixte/Autre</t>
        </is>
      </c>
      <c r="X24" t="inlineStr">
        <is>
          <t>Mairie</t>
        </is>
      </c>
      <c r="Y24" t="inlineStr">
        <is>
          <t>SERVICES</t>
        </is>
      </c>
      <c r="Z24" t="inlineStr">
        <is>
          <t>Procédure NC</t>
        </is>
      </c>
      <c r="AA24" t="inlineStr">
        <is>
          <t>Avis de marché</t>
        </is>
      </c>
      <c r="AB24" t="inlineStr">
        <is>
          <t>Délégation de service public</t>
        </is>
      </c>
      <c r="AC24" t="inlineStr">
        <is>
          <t>['sociaux', 'environnementaux']</t>
        </is>
      </c>
      <c r="AD24" s="11" t="inlineStr">
        <is>
          <t>https://www.boamp.fr/pages/avis/?q=idweb:26-58404</t>
        </is>
      </c>
      <c r="AE24" t="inlineStr">
        <is>
          <t>http://www.fontainebleau.fr</t>
        </is>
      </c>
      <c r="AF24" t="inlineStr"/>
      <c r="AG24" t="inlineStr">
        <is>
          <t>nettoyage</t>
        </is>
      </c>
      <c r="AH24" t="inlineStr">
        <is>
          <t>4</t>
        </is>
      </c>
      <c r="AI24" t="inlineStr">
        <is>
          <t>78</t>
        </is>
      </c>
      <c r="AJ24" t="inlineStr">
        <is>
          <t>INFO_PARTIELLE</t>
        </is>
      </c>
      <c r="AK24" t="inlineStr">
        <is>
          <t>60</t>
        </is>
      </c>
      <c r="AL24" t="inlineStr">
        <is>
          <t>TIEDE</t>
        </is>
      </c>
      <c r="AM24" t="inlineStr"/>
      <c r="AN24" t="inlineStr"/>
      <c r="AO24" t="inlineStr"/>
      <c r="AP24" t="inlineStr"/>
      <c r="AQ24" t="inlineStr">
        <is>
          <t>IA_BUDGET_A_VERIFIER</t>
        </is>
      </c>
      <c r="AR24" t="inlineStr">
        <is>
          <t>Verifier le budget dans l'avis source ou le DCE avant decision commerciale.</t>
        </is>
      </c>
      <c r="AS24" t="inlineStr">
        <is>
          <t>SIRET, adresse,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26-58404. Objet: Concession de service public portant sur la gestion et l'exploitation du Marché Saint-Louis pour le compte de la ville de Fontainebleau. Acheteur: Ville De Fontainebleau. Lien: https://www.boamp.fr/pages/avis/?q=idweb:26-58404.</t>
        </is>
      </c>
      <c r="AU24" t="inlineStr">
        <is>
          <t>Verifier url_avis et DCE si disponible</t>
        </is>
      </c>
      <c r="AV24" t="inlineStr">
        <is>
          <t>LIEN_SEUL</t>
        </is>
      </c>
      <c r="AW24" t="inlineStr"/>
      <c r="AX24" t="inlineStr"/>
      <c r="AY24" t="inlineStr"/>
      <c r="AZ24" t="inlineStr"/>
      <c r="BA24" t="inlineStr"/>
      <c r="BB24" t="inlineStr">
        <is>
          <t>+30 mots-cles nettoyage forts | +10 budget non affiche (a verifier) | +10 secteur cible Mairie | +10 delai confortable 39j</t>
        </is>
      </c>
      <c r="BC24" t="inlineStr">
        <is>
          <t>Ville De Fontainebleau publie un AO potentiellement pertinent pour CHRUTH : Concession de service public portant sur la gestion et l'exploitation du Marché Saint-Louis pour le compte de la ville de Fontainebleau. Zone : Fontainebleau. Budget a verifier. Verifier le lien source avant contact.</t>
        </is>
      </c>
      <c r="BD24" t="inlineStr">
        <is>
          <t>Bonjour,
Je me permets de vous contacter au sujet de votre appel d'offres : Concession de service public portant sur la gestion et l'exploitation du Marché Saint-Louis pour le compte de la ville de Fontainebleau.
CHRUTH accompagne les structures publiques et privees sur les besoins de nettoyage, d'entretien des locaux et d'organisation de prestations de service.
Serait-il possible d'echanger rapidement afin de verifier les modalites de reponse et les attentes de Ville De Fontainebleau ?
Cordialement,</t>
        </is>
      </c>
      <c r="BE24" t="inlineStr">
        <is>
          <t>Bonjour, je vous appelle concernant un appel d'offres publie par Ville De Fontainebleau. Je souhaite verifier les informations pratiques : perimetre des prestations, date limite, modalites de visite, contact technique et pieces attendues. Pouvez-vous m'indiquer la bonne personne a contacter ?</t>
        </is>
      </c>
      <c r="BF24" t="inlineStr"/>
      <c r="BG24" t="inlineStr"/>
      <c r="BH24" t="inlineStr"/>
      <c r="BI24" t="inlineStr"/>
      <c r="BJ24" t="inlineStr"/>
      <c r="BK24" t="inlineStr"/>
      <c r="BL24" t="inlineStr"/>
      <c r="BM24" t="inlineStr">
        <is>
          <t>2026-W24</t>
        </is>
      </c>
    </row>
    <row r="25">
      <c r="A25" t="inlineStr">
        <is>
          <t>BOAMP</t>
        </is>
      </c>
      <c r="B25" t="inlineStr">
        <is>
          <t>26-55484</t>
        </is>
      </c>
      <c r="C25" t="inlineStr">
        <is>
          <t>Nettoyage Courant Et Remise En Etat De Locaux Sociaux Et Administratifs (sur tout le territoire Sitreva : département 27, 28 et 78)</t>
        </is>
      </c>
      <c r="D25" t="inlineStr">
        <is>
          <t>Sitreva</t>
        </is>
      </c>
      <c r="E25" t="inlineStr">
        <is>
          <t>25280334100236</t>
        </is>
      </c>
      <c r="F25" t="inlineStr">
        <is>
          <t>252803341</t>
        </is>
      </c>
      <c r="G25" t="inlineStr">
        <is>
          <t>Nathalie corniaux</t>
        </is>
      </c>
      <c r="H25" t="inlineStr"/>
      <c r="I25" t="inlineStr"/>
      <c r="J25" t="inlineStr">
        <is>
          <t>0334100236</t>
        </is>
      </c>
      <c r="K25" t="inlineStr">
        <is>
          <t>19 rue Gustave Eiffel 78120 - Rambouillet</t>
        </is>
      </c>
      <c r="L25" t="inlineStr">
        <is>
          <t>78120</t>
        </is>
      </c>
      <c r="M25" t="inlineStr">
        <is>
          <t>Rambouillet</t>
        </is>
      </c>
      <c r="N25" t="inlineStr">
        <is>
          <t>78,28</t>
        </is>
      </c>
      <c r="O25" t="inlineStr"/>
      <c r="P25" t="inlineStr">
        <is>
          <t>Ile-de-France</t>
        </is>
      </c>
      <c r="Q25" s="15" t="n">
        <v>46178</v>
      </c>
      <c r="R25" s="15" t="n">
        <v>46206</v>
      </c>
      <c r="S25" s="14" t="n">
        <v>78120</v>
      </c>
      <c r="T25" t="inlineStr">
        <is>
          <t>BUDGET_SOUS_SEUIL</t>
        </is>
      </c>
      <c r="U25" t="inlineStr">
        <is>
          <t>78120</t>
        </is>
      </c>
      <c r="V25" t="inlineStr">
        <is>
          <t>oui</t>
        </is>
      </c>
      <c r="W25" t="inlineStr">
        <is>
          <t>Batiments</t>
        </is>
      </c>
      <c r="X25" t="inlineStr">
        <is>
          <t>Autre</t>
        </is>
      </c>
      <c r="Y25" t="inlineStr">
        <is>
          <t>SERVICES</t>
        </is>
      </c>
      <c r="Z25" t="inlineStr">
        <is>
          <t>Procédure Ouverte</t>
        </is>
      </c>
      <c r="AA25" t="inlineStr">
        <is>
          <t>Avis de marché</t>
        </is>
      </c>
      <c r="AB25" t="inlineStr">
        <is>
          <t>Nettoyage de locaux, Prestations de services</t>
        </is>
      </c>
      <c r="AC25" t="inlineStr">
        <is>
          <t>['sociaux', 'environnementaux']</t>
        </is>
      </c>
      <c r="AD25" s="11" t="inlineStr">
        <is>
          <t>https://www.boamp.fr/pages/avis/?q=idweb:26-55484</t>
        </is>
      </c>
      <c r="AE25" t="inlineStr">
        <is>
          <t>https://www.marches-publics.info/mpiaws/index.cfm?fuseaction=dematent.login&amp;type=Dce&amp;Idm=1831542</t>
        </is>
      </c>
      <c r="AF25" t="inlineStr">
        <is>
          <t>https://www.marches-publics.info/mpiaws/index.cfm?fuseaction=dematent.login&amp;type=Dce&amp;Idm=1831542</t>
        </is>
      </c>
      <c r="AG25" t="inlineStr">
        <is>
          <t>nettoyage, proprete</t>
        </is>
      </c>
      <c r="AH25" t="inlineStr">
        <is>
          <t>5</t>
        </is>
      </c>
      <c r="AI25" t="inlineStr">
        <is>
          <t>96</t>
        </is>
      </c>
      <c r="AJ25" t="inlineStr">
        <is>
          <t>INFO_PARTIELLE</t>
        </is>
      </c>
      <c r="AK25" t="inlineStr">
        <is>
          <t>60</t>
        </is>
      </c>
      <c r="AL25" t="inlineStr">
        <is>
          <t>TIEDE</t>
        </is>
      </c>
      <c r="AM25" t="inlineStr"/>
      <c r="AN25" t="inlineStr"/>
      <c r="AO25" t="inlineStr"/>
      <c r="AP25" t="inlineStr"/>
      <c r="AQ25" t="inlineStr">
        <is>
          <t>IA_CONTACT_A_COMPLETER</t>
        </is>
      </c>
      <c r="AR25" t="inlineStr">
        <is>
          <t>Completer les champs manquants depuis l'avis source, le site acheteur ou le DCE.</t>
        </is>
      </c>
      <c r="AS25" t="inlineStr">
        <is>
          <t>email</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26-55484. Objet: Nettoyage Courant Et Remise En Etat De Locaux Sociaux Et Administratifs (sur tout le territoire Sitreva : département 27, 28 et 78). Acheteur: Sitreva. Lien: https://www.boamp.fr/pages/avis/?q=idweb:26-55484.</t>
        </is>
      </c>
      <c r="AU25" t="inlineStr">
        <is>
          <t>Verifier url_avis et DCE si disponible</t>
        </is>
      </c>
      <c r="AV25" t="inlineStr">
        <is>
          <t>LIEN_SEUL</t>
        </is>
      </c>
      <c r="AW25" t="inlineStr"/>
      <c r="AX25" t="inlineStr"/>
      <c r="AY25" t="inlineStr"/>
      <c r="AZ25" t="inlineStr"/>
      <c r="BA25" t="inlineStr"/>
      <c r="BB25" t="inlineStr">
        <is>
          <t>+35 nettoyage + categorie claire | +20 budget annualise &lt;= 100 000 EUR | +5 delai court 14j</t>
        </is>
      </c>
      <c r="BC25" t="inlineStr">
        <is>
          <t>Sitreva publie un AO potentiellement pertinent pour CHRUTH : Nettoyage Courant Et Remise En Etat De Locaux Sociaux Et Administratifs (sur tout le territoire Sitreva : département 27, 28 et 78). Zone : Rambouillet. Budget detecte environ 78 120 EUR. Verifier le lien source avant contact.</t>
        </is>
      </c>
      <c r="BD25" t="inlineStr">
        <is>
          <t>Bonjour,
Je me permets de vous contacter au sujet de votre appel d'offres : Nettoyage Courant Et Remise En Etat De Locaux Sociaux Et Administratifs (sur tout le territoire Sitreva : département 27, 28 et 78).
CHRUTH accompagne les structures publiques et privees sur les besoins de nettoyage, d'entretien des locaux et d'organisation de prestations de service.
Serait-il possible d'echanger rapidement afin de verifier les modalites de reponse et les attentes de Sitreva ?
Cordialement,</t>
        </is>
      </c>
      <c r="BE25" t="inlineStr">
        <is>
          <t>Bonjour, je vous appelle concernant un appel d'offres publie par Sitreva. Je souhaite verifier les informations pratiques : perimetre des prestations, date limite, modalites de visite, contact technique et pieces attendues. Pouvez-vous m'indiquer la bonne personne a contacter ?</t>
        </is>
      </c>
      <c r="BF25" t="inlineStr"/>
      <c r="BG25" t="inlineStr"/>
      <c r="BH25" t="inlineStr"/>
      <c r="BI25" t="inlineStr"/>
      <c r="BJ25" t="inlineStr"/>
      <c r="BK25" t="inlineStr"/>
      <c r="BL25" t="inlineStr"/>
      <c r="BM25" t="inlineStr">
        <is>
          <t>2026-W23</t>
        </is>
      </c>
    </row>
    <row r="26">
      <c r="A26" t="inlineStr">
        <is>
          <t>BOAMP</t>
        </is>
      </c>
      <c r="B26" t="inlineStr">
        <is>
          <t>26-54754</t>
        </is>
      </c>
      <c r="C26" t="inlineStr">
        <is>
          <t>Nettoyage et entretien courant des locaux de la commune de Combs-la-Ville</t>
        </is>
      </c>
      <c r="D26" t="inlineStr">
        <is>
          <t>Mairie de Combs-la-Ville</t>
        </is>
      </c>
      <c r="E26" t="inlineStr">
        <is>
          <t>17770704900017</t>
        </is>
      </c>
      <c r="F26" t="inlineStr">
        <is>
          <t>177707049</t>
        </is>
      </c>
      <c r="G26" t="inlineStr"/>
      <c r="H26" t="inlineStr"/>
      <c r="I26" t="inlineStr">
        <is>
          <t>nantene.diallo@mairie-combs-la-ville.fr</t>
        </is>
      </c>
      <c r="J26" t="inlineStr">
        <is>
          <t>+33 164131684</t>
        </is>
      </c>
      <c r="K26" t="inlineStr"/>
      <c r="L26" t="inlineStr"/>
      <c r="M26" t="inlineStr"/>
      <c r="N26" t="inlineStr">
        <is>
          <t>77,91,92,93,94,95,75</t>
        </is>
      </c>
      <c r="O26" t="inlineStr"/>
      <c r="P26" t="inlineStr">
        <is>
          <t>Ile-de-France</t>
        </is>
      </c>
      <c r="Q26" s="15" t="n">
        <v>46178</v>
      </c>
      <c r="R26" s="15" t="n">
        <v>46220</v>
      </c>
      <c r="S26" s="14" t="n">
        <v>150000</v>
      </c>
      <c r="T26" t="inlineStr">
        <is>
          <t>BUDGET_EXPLICITE_OK</t>
        </is>
      </c>
      <c r="U26" t="inlineStr">
        <is>
          <t>150000</t>
        </is>
      </c>
      <c r="V26" t="inlineStr">
        <is>
          <t>oui</t>
        </is>
      </c>
      <c r="W26" t="inlineStr">
        <is>
          <t>Batiments</t>
        </is>
      </c>
      <c r="X26" t="inlineStr">
        <is>
          <t>Mairie</t>
        </is>
      </c>
      <c r="Y26" t="inlineStr">
        <is>
          <t>SERVICES</t>
        </is>
      </c>
      <c r="Z26" t="inlineStr">
        <is>
          <t>Procédure Ouverte</t>
        </is>
      </c>
      <c r="AA26" t="inlineStr">
        <is>
          <t>Avis de marché</t>
        </is>
      </c>
      <c r="AB26" t="inlineStr">
        <is>
          <t>Prestations de services, Nettoyage de locaux</t>
        </is>
      </c>
      <c r="AC26" t="inlineStr">
        <is>
          <t>['sociaux', 'environnementaux']</t>
        </is>
      </c>
      <c r="AD26" s="11" t="inlineStr">
        <is>
          <t>https://www.boamp.fr/pages/avis/?q=idweb:26-54754</t>
        </is>
      </c>
      <c r="AE26" t="inlineStr">
        <is>
          <t>https://www.e-marchespublics.com/appel-offre/1164729</t>
        </is>
      </c>
      <c r="AF26" t="inlineStr">
        <is>
          <t>https://www.e-marchespublics.com/appel-offre/1164729</t>
        </is>
      </c>
      <c r="AG26" t="inlineStr">
        <is>
          <t>nettoyage</t>
        </is>
      </c>
      <c r="AH26" t="inlineStr">
        <is>
          <t>3</t>
        </is>
      </c>
      <c r="AI26" t="inlineStr">
        <is>
          <t>68</t>
        </is>
      </c>
      <c r="AJ26" t="inlineStr">
        <is>
          <t>INFO_PARTIELLE</t>
        </is>
      </c>
      <c r="AK26" t="inlineStr">
        <is>
          <t>60</t>
        </is>
      </c>
      <c r="AL26" t="inlineStr">
        <is>
          <t>TIEDE</t>
        </is>
      </c>
      <c r="AM26" t="inlineStr"/>
      <c r="AN26" t="inlineStr"/>
      <c r="AO26" t="inlineStr"/>
      <c r="AP26" t="inlineStr"/>
      <c r="AQ26" t="inlineStr">
        <is>
          <t>IA_CONTACT_A_COMPLETER</t>
        </is>
      </c>
      <c r="AR26" t="inlineStr">
        <is>
          <t>Completer les champs manquants depuis l'avis source, le site acheteur ou le DCE.</t>
        </is>
      </c>
      <c r="AS26" t="inlineStr">
        <is>
          <t>adresse, ville</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26-54754. Objet: Nettoyage et entretien courant des locaux de la commune de Combs-la-Ville. Acheteur: Mairie de Combs-la-Ville. Lien: https://www.boamp.fr/pages/avis/?q=idweb:26-54754.</t>
        </is>
      </c>
      <c r="AU26" t="inlineStr">
        <is>
          <t>Verifier url_avis et DCE si disponible</t>
        </is>
      </c>
      <c r="AV26" t="inlineStr"/>
      <c r="AW26" t="inlineStr"/>
      <c r="AX26" t="inlineStr"/>
      <c r="AY26" t="inlineStr"/>
      <c r="AZ26" t="inlineStr"/>
      <c r="BA26" t="inlineStr"/>
      <c r="BB26" t="inlineStr">
        <is>
          <t>+35 nettoyage + categorie claire | +5 budget annualise &lt;= 200 000 EUR | +10 secteur cible Mairie | +10 delai confortable 28j</t>
        </is>
      </c>
      <c r="BC26" t="inlineStr">
        <is>
          <t>Mairie de Combs-la-Ville publie un AO potentiellement pertinent pour CHRUTH : Nettoyage et entretien courant des locaux de la commune de Combs-la-Ville. Zone : 77,91,92,93,94,95,75. Budget detecte environ 150 000 EUR. Verifier le lien source avant contact.</t>
        </is>
      </c>
      <c r="BD26" t="inlineStr">
        <is>
          <t>Bonjour,
Je me permets de vous contacter au sujet de votre appel d'offres : Nettoyage et entretien courant des locaux de la commune de Combs-la-Ville.
CHRUTH accompagne les structures publiques et privees sur les besoins de nettoyage, d'entretien des locaux et d'organisation de prestations de service.
Serait-il possible d'echanger rapidement afin de verifier les modalites de reponse et les attentes de Mairie de Combs-la-Ville ?
Cordialement,</t>
        </is>
      </c>
      <c r="BE26" t="inlineStr">
        <is>
          <t>Bonjour, je vous appelle concernant un appel d'offres publie par Mairie de Combs-la-Ville. Je souhaite verifier les informations pratiques : perimetre des prestations, date limite, modalites de visite, contact technique et pieces attendues. Pouvez-vous m'indiquer la bonne personne a contacter ?</t>
        </is>
      </c>
      <c r="BF26" t="inlineStr"/>
      <c r="BG26" t="inlineStr"/>
      <c r="BH26" t="inlineStr"/>
      <c r="BI26" t="inlineStr"/>
      <c r="BJ26" t="inlineStr"/>
      <c r="BK26" t="inlineStr"/>
      <c r="BL26" t="inlineStr"/>
      <c r="BM26" t="inlineStr">
        <is>
          <t>2026-W23</t>
        </is>
      </c>
    </row>
    <row r="27">
      <c r="A27" t="inlineStr">
        <is>
          <t>BOAMP</t>
        </is>
      </c>
      <c r="B27" t="inlineStr">
        <is>
          <t>26-66211</t>
        </is>
      </c>
      <c r="C27" t="inlineStr">
        <is>
          <t>Accord-cadre de prestations de nettoyage des bâtiments du Département de la Seine-Saint-Denis</t>
        </is>
      </c>
      <c r="D27" t="inlineStr">
        <is>
          <t>Département de la Seine-Saint-Denis</t>
        </is>
      </c>
      <c r="E27" t="inlineStr"/>
      <c r="F27" t="inlineStr"/>
      <c r="G27" t="inlineStr"/>
      <c r="H27" t="inlineStr"/>
      <c r="I27" t="inlineStr">
        <is>
          <t>publications-joue@aws-france.com</t>
        </is>
      </c>
      <c r="J27" t="inlineStr">
        <is>
          <t>+33480041260</t>
        </is>
      </c>
      <c r="K27" t="inlineStr"/>
      <c r="L27" t="inlineStr"/>
      <c r="M27" t="inlineStr"/>
      <c r="N27" t="inlineStr">
        <is>
          <t>93</t>
        </is>
      </c>
      <c r="O27" t="inlineStr"/>
      <c r="P27" t="inlineStr">
        <is>
          <t>Ile-de-France</t>
        </is>
      </c>
      <c r="Q27" s="15" t="n">
        <v>46208</v>
      </c>
      <c r="R27" s="15" t="n">
        <v>46237</v>
      </c>
      <c r="S27" t="inlineStr"/>
      <c r="T27" t="inlineStr">
        <is>
          <t>A_VERIFIER_BUDGET</t>
        </is>
      </c>
      <c r="U27" t="inlineStr"/>
      <c r="V27" t="inlineStr">
        <is>
          <t>non</t>
        </is>
      </c>
      <c r="W27" t="inlineStr">
        <is>
          <t>Vitres</t>
        </is>
      </c>
      <c r="X27" t="inlineStr">
        <is>
          <t>Autre</t>
        </is>
      </c>
      <c r="Y27" t="inlineStr">
        <is>
          <t>SERVICES</t>
        </is>
      </c>
      <c r="Z27" t="inlineStr">
        <is>
          <t>Procédure Ouverte</t>
        </is>
      </c>
      <c r="AA27" t="inlineStr">
        <is>
          <t>Avis de marché</t>
        </is>
      </c>
      <c r="AB27" t="inlineStr">
        <is>
          <t>Nettoyage de locaux</t>
        </is>
      </c>
      <c r="AC27" t="inlineStr">
        <is>
          <t>['sociaux', 'environnementaux']</t>
        </is>
      </c>
      <c r="AD27" s="11" t="inlineStr">
        <is>
          <t>https://www.boamp.fr/pages/avis/?q=idweb:26-66211</t>
        </is>
      </c>
      <c r="AE27" t="inlineStr">
        <is>
          <t>https://www.marches-publics.info/mpiaws/index.cfm?fuseaction=dematEnt.login&amp;amp;type=DCE&amp;amp;IDM=1845738</t>
        </is>
      </c>
      <c r="AF27" t="inlineStr">
        <is>
          <t>https://www.marches-publics.info/mpiaws/index.cfm?fuseaction=dematEnt.login&amp;amp;type=DCE&amp;amp;IDM=1845738</t>
        </is>
      </c>
      <c r="AG27" t="inlineStr">
        <is>
          <t>nettoyage, proprete, proprete des locaux</t>
        </is>
      </c>
      <c r="AH27" t="inlineStr">
        <is>
          <t>2</t>
        </is>
      </c>
      <c r="AI27" t="inlineStr">
        <is>
          <t>70</t>
        </is>
      </c>
      <c r="AJ27" t="inlineStr">
        <is>
          <t>INFO_PARTIELLE</t>
        </is>
      </c>
      <c r="AK27" t="inlineStr">
        <is>
          <t>55</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SIRET, 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26-66211. Objet: Accord-cadre de prestations de nettoyage des bâtiments du Département de la Seine-Saint-Denis. Acheteur: Département de la Seine-Saint-Denis. Lien: https://www.boamp.fr/pages/avis/?q=idweb:26-66211.</t>
        </is>
      </c>
      <c r="AU27" t="inlineStr">
        <is>
          <t>Verifier url_avis et DCE si disponible</t>
        </is>
      </c>
      <c r="AV27" t="inlineStr"/>
      <c r="AW27" t="inlineStr"/>
      <c r="AX27" t="inlineStr"/>
      <c r="AY27" t="inlineStr"/>
      <c r="AZ27" t="inlineStr"/>
      <c r="BA27" t="inlineStr"/>
      <c r="BB27" t="inlineStr">
        <is>
          <t>+35 nettoyage + categorie claire | +10 budget non affiche (a verifier) | +10 delai confortable 28j</t>
        </is>
      </c>
      <c r="BC27" t="inlineStr">
        <is>
          <t>Département de la Seine-Saint-Denis publie un AO potentiellement pertinent pour CHRUTH : Accord-cadre de prestations de nettoyage des bâtiments du Département de la Seine-Saint-Denis. Zone : 93. Budget a verifier. Verifier le lien source avant contact.</t>
        </is>
      </c>
      <c r="BD27" t="inlineStr">
        <is>
          <t>Bonjour,
Je me permets de vous contacter au sujet de votre appel d'offres : Accord-cadre de prestations de nettoyage des bâtiments du Département de la Seine-Saint-Denis.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27"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2026-W27</t>
        </is>
      </c>
    </row>
    <row r="28">
      <c r="A28" t="inlineStr">
        <is>
          <t>BOAMP</t>
        </is>
      </c>
      <c r="B28" t="inlineStr">
        <is>
          <t>26-66164</t>
        </is>
      </c>
      <c r="C28" t="inlineStr">
        <is>
          <t>PRESTATIONS DE NETTOYAGE CAF77</t>
        </is>
      </c>
      <c r="D28" t="inlineStr">
        <is>
          <t>CAF77</t>
        </is>
      </c>
      <c r="E28" t="inlineStr">
        <is>
          <t>17750111100476</t>
        </is>
      </c>
      <c r="F28" t="inlineStr">
        <is>
          <t>177501111</t>
        </is>
      </c>
      <c r="G28" t="inlineStr"/>
      <c r="H28" t="inlineStr"/>
      <c r="I28" t="inlineStr">
        <is>
          <t>achatsmarches@caf77.caf.fr</t>
        </is>
      </c>
      <c r="J28" t="inlineStr">
        <is>
          <t>0670576838</t>
        </is>
      </c>
      <c r="K28" t="inlineStr"/>
      <c r="L28" t="inlineStr"/>
      <c r="M28" t="inlineStr"/>
      <c r="N28" t="inlineStr">
        <is>
          <t>75,77,91,94</t>
        </is>
      </c>
      <c r="O28" t="inlineStr"/>
      <c r="P28" t="inlineStr">
        <is>
          <t>Ile-de-France</t>
        </is>
      </c>
      <c r="Q28" s="15" t="n">
        <v>46208</v>
      </c>
      <c r="R28" s="15" t="n">
        <v>46255</v>
      </c>
      <c r="S28" t="inlineStr"/>
      <c r="T28" t="inlineStr">
        <is>
          <t>A_VERIFIER_BUDGET</t>
        </is>
      </c>
      <c r="U28" t="inlineStr"/>
      <c r="V28" t="inlineStr">
        <is>
          <t>non</t>
        </is>
      </c>
      <c r="W28" t="inlineStr">
        <is>
          <t>Vitres</t>
        </is>
      </c>
      <c r="X28" t="inlineStr">
        <is>
          <t>Autre</t>
        </is>
      </c>
      <c r="Y28" t="inlineStr">
        <is>
          <t>SERVICES</t>
        </is>
      </c>
      <c r="Z28" t="inlineStr">
        <is>
          <t>Procédure Ouverte</t>
        </is>
      </c>
      <c r="AA28" t="inlineStr">
        <is>
          <t>Avis de marché</t>
        </is>
      </c>
      <c r="AB28" t="inlineStr">
        <is>
          <t>Nettoyage de locaux, Vitrerie</t>
        </is>
      </c>
      <c r="AC28" t="inlineStr">
        <is>
          <t>['sociaux', 'environnementaux']</t>
        </is>
      </c>
      <c r="AD28" s="11" t="inlineStr">
        <is>
          <t>https://www.boamp.fr/pages/avis/?q=idweb:26-66164</t>
        </is>
      </c>
      <c r="AE28" t="inlineStr">
        <is>
          <t>https://www.marches-publics.gouv.fr/entreprise</t>
        </is>
      </c>
      <c r="AF28" t="inlineStr">
        <is>
          <t>https://www.marches-publics.gouv.fr/entreprise</t>
        </is>
      </c>
      <c r="AG28" t="inlineStr">
        <is>
          <t>nettoyage, menage</t>
        </is>
      </c>
      <c r="AH28" t="inlineStr">
        <is>
          <t>3</t>
        </is>
      </c>
      <c r="AI28" t="inlineStr">
        <is>
          <t>76</t>
        </is>
      </c>
      <c r="AJ28" t="inlineStr">
        <is>
          <t>INFO_PARTIELLE</t>
        </is>
      </c>
      <c r="AK28" t="inlineStr">
        <is>
          <t>55</t>
        </is>
      </c>
      <c r="AL28" t="inlineStr">
        <is>
          <t>TIEDE</t>
        </is>
      </c>
      <c r="AM28" t="inlineStr"/>
      <c r="AN28" t="inlineStr"/>
      <c r="AO28" t="inlineStr"/>
      <c r="AP28" t="inlineStr"/>
      <c r="AQ28" t="inlineStr">
        <is>
          <t>IA_BUDGET_A_VERIFIER</t>
        </is>
      </c>
      <c r="AR28" t="inlineStr">
        <is>
          <t>Verifier le budget dans l'avis source ou le DCE avant decision commerciale.</t>
        </is>
      </c>
      <c r="AS28" t="inlineStr">
        <is>
          <t>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26-66164. Objet: PRESTATIONS DE NETTOYAGE CAF77. Acheteur: CAF77. Lien: https://www.boamp.fr/pages/avis/?q=idweb:26-66164.</t>
        </is>
      </c>
      <c r="AU28" t="inlineStr">
        <is>
          <t>Verifier url_avis et DCE si disponible</t>
        </is>
      </c>
      <c r="AV28" t="inlineStr"/>
      <c r="AW28" t="inlineStr"/>
      <c r="AX28" t="inlineStr"/>
      <c r="AY28" t="inlineStr"/>
      <c r="AZ28" t="inlineStr"/>
      <c r="BA28" t="inlineStr"/>
      <c r="BB28" t="inlineStr">
        <is>
          <t>+35 nettoyage + categorie claire | +10 budget non affiche (a verifier) | +10 delai confortable 46j</t>
        </is>
      </c>
      <c r="BC28" t="inlineStr">
        <is>
          <t>CAF77 publie un AO potentiellement pertinent pour CHRUTH : PRESTATIONS DE NETTOYAGE CAF77. Zone : 75,77,91,94. Budget a verifier. Verifier le lien source avant contact.</t>
        </is>
      </c>
      <c r="BD28" t="inlineStr">
        <is>
          <t>Bonjour,
Je me permets de vous contacter au sujet de votre appel d'offres : PRESTATIONS DE NETTOYAGE CAF77.
CHRUTH accompagne les structures publiques et privées sur les besoins de nettoyage, d'entretien des locaux et d'organisation de prestations de service.
Serait-il possible d'échanger rapidement afin de vérifier les modalités de réponse et les attentes de CAF77 ?
Cordialement,</t>
        </is>
      </c>
      <c r="BE28" t="inlineStr">
        <is>
          <t>Bonjour, je vous appelle concernant un appel d'offres publié par CAF77.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2026-W27</t>
        </is>
      </c>
    </row>
    <row r="29">
      <c r="A29" t="inlineStr">
        <is>
          <t>BOAMP</t>
        </is>
      </c>
      <c r="B29" t="inlineStr">
        <is>
          <t>26-66494</t>
        </is>
      </c>
      <c r="C29" t="inlineStr">
        <is>
          <t>ENTRETIEN DES LOCAUX POUR LES BESOINS DE L’EPMS DE LA FONDATION HARDY</t>
        </is>
      </c>
      <c r="D29" t="inlineStr">
        <is>
          <t>EPMS FONDATION HARDY</t>
        </is>
      </c>
      <c r="E29" t="inlineStr">
        <is>
          <t>26770033400019</t>
        </is>
      </c>
      <c r="F29" t="inlineStr">
        <is>
          <t>267700334</t>
        </is>
      </c>
      <c r="G29" t="inlineStr"/>
      <c r="H29" t="inlineStr"/>
      <c r="I29" t="inlineStr">
        <is>
          <t>service.depenses@epms-hardy.fr</t>
        </is>
      </c>
      <c r="J29" t="inlineStr">
        <is>
          <t>+33 164252034</t>
        </is>
      </c>
      <c r="K29" t="inlineStr"/>
      <c r="L29" t="inlineStr"/>
      <c r="M29" t="inlineStr"/>
      <c r="N29" t="inlineStr">
        <is>
          <t>77</t>
        </is>
      </c>
      <c r="O29" t="inlineStr"/>
      <c r="P29" t="inlineStr">
        <is>
          <t>Ile-de-France</t>
        </is>
      </c>
      <c r="Q29" s="15" t="n">
        <v>46208</v>
      </c>
      <c r="R29" s="15" t="n">
        <v>46241</v>
      </c>
      <c r="S29" t="inlineStr"/>
      <c r="T29" t="inlineStr">
        <is>
          <t>A_VERIFIER_BUDGET</t>
        </is>
      </c>
      <c r="U29" t="inlineStr"/>
      <c r="V29" t="inlineStr">
        <is>
          <t>non</t>
        </is>
      </c>
      <c r="W29" t="inlineStr">
        <is>
          <t>Batiments</t>
        </is>
      </c>
      <c r="X29" t="inlineStr">
        <is>
          <t>Autre</t>
        </is>
      </c>
      <c r="Y29" t="inlineStr">
        <is>
          <t>SERVICES</t>
        </is>
      </c>
      <c r="Z29" t="inlineStr">
        <is>
          <t>Procédure Ouverte</t>
        </is>
      </c>
      <c r="AA29" t="inlineStr">
        <is>
          <t>Avis de marché</t>
        </is>
      </c>
      <c r="AB29" t="inlineStr">
        <is>
          <t>Nettoyage de locaux</t>
        </is>
      </c>
      <c r="AC29" t="inlineStr"/>
      <c r="AD29" s="11" t="inlineStr">
        <is>
          <t>https://www.boamp.fr/pages/avis/?q=idweb:26-66494</t>
        </is>
      </c>
      <c r="AE29" t="inlineStr">
        <is>
          <t>https://marches.maximilien.fr/entreprise/consultation/942574?orgAcronyme=a1i</t>
        </is>
      </c>
      <c r="AF29" t="inlineStr">
        <is>
          <t>https://marches.maximilien.fr/entreprise/consultation/942574?orgAcronyme=a1i</t>
        </is>
      </c>
      <c r="AG29" t="inlineStr">
        <is>
          <t>nettoyage, entretien des locaux</t>
        </is>
      </c>
      <c r="AH29" t="inlineStr">
        <is>
          <t>3</t>
        </is>
      </c>
      <c r="AI29" t="inlineStr">
        <is>
          <t>76</t>
        </is>
      </c>
      <c r="AJ29" t="inlineStr">
        <is>
          <t>INFO_PARTIELLE</t>
        </is>
      </c>
      <c r="AK29" t="inlineStr">
        <is>
          <t>55</t>
        </is>
      </c>
      <c r="AL29" t="inlineStr">
        <is>
          <t>TIEDE</t>
        </is>
      </c>
      <c r="AM29" t="inlineStr"/>
      <c r="AN29" t="inlineStr"/>
      <c r="AO29" t="inlineStr"/>
      <c r="AP29" t="inlineStr"/>
      <c r="AQ29" t="inlineStr">
        <is>
          <t>IA_BUDGET_A_VERIFIER</t>
        </is>
      </c>
      <c r="AR29" t="inlineStr">
        <is>
          <t>Verifier le budget dans l'avis source ou le DCE avant decision commerciale.</t>
        </is>
      </c>
      <c r="AS29" t="inlineStr">
        <is>
          <t>adresse, ville, budget</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26-66494. Objet: ENTRETIEN DES LOCAUX POUR LES BESOINS DE L’EPMS DE LA FONDATION HARDY. Acheteur: EPMS FONDATION HARDY. Lien: https://www.boamp.fr/pages/avis/?q=idweb:26-66494.</t>
        </is>
      </c>
      <c r="AU29" t="inlineStr">
        <is>
          <t>Verifier url_avis et DCE si disponible</t>
        </is>
      </c>
      <c r="AV29" t="inlineStr"/>
      <c r="AW29" t="inlineStr"/>
      <c r="AX29" t="inlineStr"/>
      <c r="AY29" t="inlineStr"/>
      <c r="AZ29" t="inlineStr"/>
      <c r="BA29" t="inlineStr"/>
      <c r="BB29" t="inlineStr">
        <is>
          <t>+35 nettoyage + categorie claire | +10 budget non affiche (a verifier) | +10 delai confortable 32j</t>
        </is>
      </c>
      <c r="BC29" t="inlineStr">
        <is>
          <t>EPMS FONDATION HARDY publie un AO potentiellement pertinent pour CHRUTH : ENTRETIEN DES LOCAUX POUR LES BESOINS DE L’EPMS DE LA FONDATION HARDY. Zone : 77. Budget a verifier. Verifier le lien source avant contact.</t>
        </is>
      </c>
      <c r="BD29" t="inlineStr">
        <is>
          <t>Bonjour,
Je me permets de vous contacter au sujet de votre appel d'offres : ENTRETIEN DES LOCAUX POUR LES BESOINS DE L’EPMS DE LA FONDATION HARDY.
CHRUTH accompagne les structures publiques et privées sur les besoins de nettoyage, d'entretien des locaux et d'organisation de prestations de service.
Serait-il possible d'échanger rapidement afin de vérifier les modalités de réponse et les attentes de EPMS FONDATION HARDY ?
Cordialement,</t>
        </is>
      </c>
      <c r="BE29" t="inlineStr">
        <is>
          <t>Bonjour, je vous appelle concernant un appel d'offres publié par EPMS FONDATION HARDY.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2026-W27</t>
        </is>
      </c>
    </row>
    <row r="30">
      <c r="A30" t="inlineStr">
        <is>
          <t>MAXIMILIEN</t>
        </is>
      </c>
      <c r="B30" t="inlineStr">
        <is>
          <t>MX-7858fdfde0f2</t>
        </is>
      </c>
      <c r="C30" t="inlineStr">
        <is>
          <t>CHRUTH - 3 nouveaux AO nettoyage IDF =?utf-8?q?=28apr=C3=A8s-midi?=
 03/07)</t>
        </is>
      </c>
      <c r="D30" t="inlineStr">
        <is>
          <t>Ville De Paris - Dfa - Sda</t>
        </is>
      </c>
      <c r="E30" t="inlineStr"/>
      <c r="F30" t="inlineStr"/>
      <c r="G30" t="inlineStr"/>
      <c r="H30" t="inlineStr"/>
      <c r="I30" t="inlineStr"/>
      <c r="J30" t="inlineStr"/>
      <c r="K30" t="inlineStr"/>
      <c r="L30" t="inlineStr"/>
      <c r="M30" t="inlineStr"/>
      <c r="N30" t="inlineStr"/>
      <c r="O30" t="inlineStr"/>
      <c r="P30" t="inlineStr"/>
      <c r="Q30" s="15" t="n">
        <v>46207</v>
      </c>
      <c r="R30" t="inlineStr"/>
      <c r="S30" t="inlineStr"/>
      <c r="T30" t="inlineStr">
        <is>
          <t>A_VERIFIER_BUDGET</t>
        </is>
      </c>
      <c r="U30" t="inlineStr"/>
      <c r="V30" t="inlineStr"/>
      <c r="W30" t="inlineStr">
        <is>
          <t>Batiments/Locaux</t>
        </is>
      </c>
      <c r="X30" t="inlineStr">
        <is>
          <t>Mairie</t>
        </is>
      </c>
      <c r="Y30" t="inlineStr"/>
      <c r="Z30" t="inlineStr"/>
      <c r="AA30" t="inlineStr"/>
      <c r="AB30" t="inlineStr"/>
      <c r="AC30" t="inlineStr"/>
      <c r="AD30" s="11" t="inlineStr">
        <is>
          <t>https://marches.maximilien.fr/entreprise/consultation/939575?orgAcronyme=r8t</t>
        </is>
      </c>
      <c r="AE30" t="inlineStr">
        <is>
          <t>https://marches.maximilien.fr/entreprise/consultation/939575?orgAcronyme=r8t</t>
        </is>
      </c>
      <c r="AF30" t="inlineStr"/>
      <c r="AG30" t="inlineStr">
        <is>
          <t>nettoyage</t>
        </is>
      </c>
      <c r="AH30" t="inlineStr"/>
      <c r="AI30" t="inlineStr">
        <is>
          <t>30</t>
        </is>
      </c>
      <c r="AJ30" t="inlineStr">
        <is>
          <t>DCE_A_TELECHARGER</t>
        </is>
      </c>
      <c r="AK30" t="inlineStr">
        <is>
          <t>55</t>
        </is>
      </c>
      <c r="AL30" s="16" t="inlineStr">
        <is>
          <t>A_VERIFIER</t>
        </is>
      </c>
      <c r="AM30" t="inlineStr"/>
      <c r="AN30" t="inlineStr"/>
      <c r="AO30" t="inlineStr"/>
      <c r="AP30" t="inlineStr"/>
      <c r="AQ30" t="inlineStr">
        <is>
          <t>IA_DCE_REQUISE</t>
        </is>
      </c>
      <c r="AR30" t="inlineStr">
        <is>
          <t>Telecharger ou ouvrir le DCE, puis extraire contact, budget, perimetre et contraintes.</t>
        </is>
      </c>
      <c r="AS30" t="inlineStr">
        <is>
          <t>SIRET, email, telephone,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MX-7858fdfde0f2. Objet: CHRUTH - 3 nouveaux AO nettoyage IDF =?utf-8?q?=28apr=C3=A8s-midi?=
 03/07). Acheteur: Ville De Paris - Dfa - Sda. Lien: https://marches.maximilien.fr/entreprise/consultation/939575?orgAcronyme=r8t.</t>
        </is>
      </c>
      <c r="AU30" t="inlineStr">
        <is>
          <t>Verifier url_avis et DCE si disponible</t>
        </is>
      </c>
      <c r="AV30" t="inlineStr">
        <is>
          <t>LIEN_SEUL</t>
        </is>
      </c>
      <c r="AW30" t="inlineStr"/>
      <c r="AX30" t="inlineStr"/>
      <c r="AY30" t="inlineStr"/>
      <c r="AZ30" t="inlineStr"/>
      <c r="BA30" t="inlineStr"/>
      <c r="BB30" t="inlineStr">
        <is>
          <t>+35 nettoyage + categorie claire | +10 budget non affiche (a verifier) | +10 secteur cible Mairie | 0 date limite absente</t>
        </is>
      </c>
      <c r="BC30" t="inlineStr"/>
      <c r="BD30" t="inlineStr"/>
      <c r="BE30" t="inlineStr"/>
      <c r="BF30" t="inlineStr"/>
      <c r="BG30" t="inlineStr"/>
      <c r="BH30" t="inlineStr"/>
      <c r="BI30" t="inlineStr"/>
      <c r="BJ30" t="inlineStr"/>
      <c r="BK30" t="inlineStr"/>
      <c r="BL30" t="inlineStr"/>
      <c r="BM30" t="inlineStr">
        <is>
          <t>2026-W27</t>
        </is>
      </c>
    </row>
    <row r="31">
      <c r="A31" t="inlineStr">
        <is>
          <t>BOAMP</t>
        </is>
      </c>
      <c r="B31" t="inlineStr">
        <is>
          <t>26-64372</t>
        </is>
      </c>
      <c r="C31" t="inlineStr">
        <is>
          <t>Marché public de prestations de services relatif au nettoyage des locaux administratifs du SIAH.</t>
        </is>
      </c>
      <c r="D31" t="inlineStr">
        <is>
          <t>SIAH (Syndicat Mixte d’Aménagement Hydraulique du Croult et du Petit Rosne)</t>
        </is>
      </c>
      <c r="E31" t="inlineStr">
        <is>
          <t>20004931000010</t>
        </is>
      </c>
      <c r="F31" t="inlineStr">
        <is>
          <t>200049310</t>
        </is>
      </c>
      <c r="G31" t="inlineStr"/>
      <c r="H31" t="inlineStr"/>
      <c r="I31" t="inlineStr">
        <is>
          <t>dce@siah-croult.org</t>
        </is>
      </c>
      <c r="J31" t="inlineStr">
        <is>
          <t>0493100001</t>
        </is>
      </c>
      <c r="K31" t="inlineStr"/>
      <c r="L31" t="inlineStr"/>
      <c r="M31" t="inlineStr"/>
      <c r="N31" t="inlineStr">
        <is>
          <t>95</t>
        </is>
      </c>
      <c r="O31" t="inlineStr"/>
      <c r="P31" t="inlineStr">
        <is>
          <t>Ile-de-France</t>
        </is>
      </c>
      <c r="Q31" s="15" t="n">
        <v>46204</v>
      </c>
      <c r="R31" s="15" t="n">
        <v>46234</v>
      </c>
      <c r="S31" t="inlineStr"/>
      <c r="T31" t="inlineStr">
        <is>
          <t>A_VERIFIER_BUDGET</t>
        </is>
      </c>
      <c r="U31" t="inlineStr"/>
      <c r="V31" t="inlineStr">
        <is>
          <t>non</t>
        </is>
      </c>
      <c r="W31" t="inlineStr">
        <is>
          <t>Batiments</t>
        </is>
      </c>
      <c r="X31" t="inlineStr">
        <is>
          <t>Autre</t>
        </is>
      </c>
      <c r="Y31" t="inlineStr">
        <is>
          <t>SERVICES</t>
        </is>
      </c>
      <c r="Z31" t="inlineStr">
        <is>
          <t>Procédure Ouverte</t>
        </is>
      </c>
      <c r="AA31" t="inlineStr">
        <is>
          <t>Avis de marché</t>
        </is>
      </c>
      <c r="AB31" t="inlineStr">
        <is>
          <t>Nettoyage de locaux</t>
        </is>
      </c>
      <c r="AC31" t="inlineStr"/>
      <c r="AD31" s="11" t="inlineStr">
        <is>
          <t>https://www.boamp.fr/pages/avis/?q=idweb:26-64372</t>
        </is>
      </c>
      <c r="AE31" t="inlineStr">
        <is>
          <t>https://www.achatpublic.com/sdm/ent/gen/ent_detail.do?PCSLID=CSL_2026_Pbs6BRZ3AV</t>
        </is>
      </c>
      <c r="AF31" t="inlineStr">
        <is>
          <t>https://www.achatpublic.com/sdm/ent/gen/ent_detail.do?PCSLID=CSL_2026_Pbs6BRZ3AV</t>
        </is>
      </c>
      <c r="AG31" t="inlineStr">
        <is>
          <t>nettoyage</t>
        </is>
      </c>
      <c r="AH31" t="inlineStr">
        <is>
          <t>3</t>
        </is>
      </c>
      <c r="AI31" t="inlineStr">
        <is>
          <t>68</t>
        </is>
      </c>
      <c r="AJ31" t="inlineStr">
        <is>
          <t>INFO_PARTIELLE</t>
        </is>
      </c>
      <c r="AK31" t="inlineStr">
        <is>
          <t>55</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26-64372. Objet: Marché public de prestations de services relatif au nettoyage des locaux administratifs du SIAH.. Acheteur: SIAH (Syndicat Mixte d’Aménagement Hydraulique du Croult et du Petit Rosne). Lien: https://www.boamp.fr/pages/avis/?q=idweb:26-64372.</t>
        </is>
      </c>
      <c r="AU31" t="inlineStr">
        <is>
          <t>Verifier url_avis et DCE si disponible</t>
        </is>
      </c>
      <c r="AV31" t="inlineStr"/>
      <c r="AW31" t="inlineStr"/>
      <c r="AX31" t="inlineStr"/>
      <c r="AY31" t="inlineStr"/>
      <c r="AZ31" t="inlineStr"/>
      <c r="BA31" t="inlineStr"/>
      <c r="BB31" t="inlineStr">
        <is>
          <t>+35 nettoyage + categorie claire | +10 budget non affiche (a verifier) | +10 delai confortable 25j</t>
        </is>
      </c>
      <c r="BC31" t="inlineStr">
        <is>
          <t>SIAH (Syndicat Mixte d’Aménagement Hydraulique du Croult et du Petit Rosne) publie un AO potentiellement pertinent pour CHRUTH : Marché public de prestations de services relatif au nettoyage des locaux administratifs du SIAH.. Zone : 95. Budget a verifier. Verifier le lien source avant contact.</t>
        </is>
      </c>
      <c r="BD31" t="inlineStr">
        <is>
          <t>Bonjour,
Je me permets de vous contacter au sujet de votre appel d'offres : Marché public de prestations de services relatif au nettoyage des locaux administratifs du SIAH..
CHRUTH accompagne les structures publiques et privées sur les besoins de nettoyage, d'entretien des locaux et d'organisation de prestations de service.
Serait-il possible d'échanger rapidement afin de vérifier les modalités de réponse et les attentes de SIAH (Syndicat Mixte d’Aménagement Hydraulique du Croult et du Petit Rosne) ?
Cordialement,</t>
        </is>
      </c>
      <c r="BE31" t="inlineStr">
        <is>
          <t>Bonjour, je vous appelle concernant un appel d'offres publié par SIAH (Syndicat Mixte d’Aménagement Hydraulique du Croult et du Petit Rosne).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2026-W27</t>
        </is>
      </c>
    </row>
    <row r="32">
      <c r="A32" t="inlineStr">
        <is>
          <t>BOAMP</t>
        </is>
      </c>
      <c r="B32" t="inlineStr">
        <is>
          <t>26-63717</t>
        </is>
      </c>
      <c r="C32" t="inlineStr">
        <is>
          <t>Nettoyage des locaux et des vitres des sites de la délégation Nouvelle Aquitaine du CNFPT</t>
        </is>
      </c>
      <c r="D32" t="inlineStr">
        <is>
          <t>CNFPT - Direction de l'achat public</t>
        </is>
      </c>
      <c r="E32" t="inlineStr"/>
      <c r="F32" t="inlineStr"/>
      <c r="G32" t="inlineStr"/>
      <c r="H32" t="inlineStr"/>
      <c r="I32" t="inlineStr">
        <is>
          <t>publications-joue@aws-france.com</t>
        </is>
      </c>
      <c r="J32" t="inlineStr">
        <is>
          <t>+33480041260</t>
        </is>
      </c>
      <c r="K32" t="inlineStr"/>
      <c r="L32" t="inlineStr"/>
      <c r="M32" t="inlineStr"/>
      <c r="N32" t="inlineStr">
        <is>
          <t>75</t>
        </is>
      </c>
      <c r="O32" t="inlineStr"/>
      <c r="P32" t="inlineStr">
        <is>
          <t>Ile-de-France</t>
        </is>
      </c>
      <c r="Q32" s="15" t="n">
        <v>46201</v>
      </c>
      <c r="R32" s="15" t="n">
        <v>46276</v>
      </c>
      <c r="S32" t="inlineStr"/>
      <c r="T32" t="inlineStr">
        <is>
          <t>A_VERIFIER_BUDGET</t>
        </is>
      </c>
      <c r="U32" t="inlineStr"/>
      <c r="V32" t="inlineStr">
        <is>
          <t>non</t>
        </is>
      </c>
      <c r="W32" t="inlineStr">
        <is>
          <t>Vitres</t>
        </is>
      </c>
      <c r="X32" t="inlineStr">
        <is>
          <t>Autre</t>
        </is>
      </c>
      <c r="Y32" t="inlineStr">
        <is>
          <t>SERVICES</t>
        </is>
      </c>
      <c r="Z32" t="inlineStr">
        <is>
          <t>Procédure Ouverte</t>
        </is>
      </c>
      <c r="AA32" t="inlineStr">
        <is>
          <t>Avis de marché</t>
        </is>
      </c>
      <c r="AB32" t="inlineStr">
        <is>
          <t>Nettoyage de locaux</t>
        </is>
      </c>
      <c r="AC32" t="inlineStr">
        <is>
          <t>['sociaux', 'environnementaux']</t>
        </is>
      </c>
      <c r="AD32" s="11" t="inlineStr">
        <is>
          <t>https://www.boamp.fr/pages/avis/?q=idweb:26-63717</t>
        </is>
      </c>
      <c r="AE32" t="inlineStr">
        <is>
          <t>https://cnfpt.marches-publics.info/</t>
        </is>
      </c>
      <c r="AF32" t="inlineStr">
        <is>
          <t>https://cnfpt.marches-publics.info/</t>
        </is>
      </c>
      <c r="AG32" t="inlineStr">
        <is>
          <t>nettoyage</t>
        </is>
      </c>
      <c r="AH32" t="inlineStr">
        <is>
          <t>2</t>
        </is>
      </c>
      <c r="AI32" t="inlineStr">
        <is>
          <t>58</t>
        </is>
      </c>
      <c r="AJ32" t="inlineStr">
        <is>
          <t>INFO_PARTIELLE</t>
        </is>
      </c>
      <c r="AK32" t="inlineStr">
        <is>
          <t>55</t>
        </is>
      </c>
      <c r="AL32" t="inlineStr">
        <is>
          <t>TIEDE</t>
        </is>
      </c>
      <c r="AM32" t="inlineStr"/>
      <c r="AN32" t="inlineStr"/>
      <c r="AO32" t="inlineStr"/>
      <c r="AP32" t="inlineStr"/>
      <c r="AQ32" t="inlineStr">
        <is>
          <t>IA_BUDGET_A_VERIFIER</t>
        </is>
      </c>
      <c r="AR32" t="inlineStr">
        <is>
          <t>Verifier le budget dans l'avis source ou le DCE avant decision commerciale.</t>
        </is>
      </c>
      <c r="AS32" t="inlineStr">
        <is>
          <t>SIRET, 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26-63717. Objet: Nettoyage des locaux et des vitres des sites de la délégation Nouvelle Aquitaine du CNFPT. Acheteur: CNFPT - Direction de l'achat public. Lien: https://www.boamp.fr/pages/avis/?q=idweb:26-63717.</t>
        </is>
      </c>
      <c r="AU32" t="inlineStr">
        <is>
          <t>Verifier url_avis et DCE si disponible</t>
        </is>
      </c>
      <c r="AV32" t="inlineStr"/>
      <c r="AW32" t="inlineStr"/>
      <c r="AX32" t="inlineStr"/>
      <c r="AY32" t="inlineStr"/>
      <c r="AZ32" t="inlineStr"/>
      <c r="BA32" t="inlineStr"/>
      <c r="BB32" t="inlineStr">
        <is>
          <t>+35 nettoyage + categorie claire | +10 budget non affiche (a verifier) | +10 delai confortable 67j</t>
        </is>
      </c>
      <c r="BC32" t="inlineStr">
        <is>
          <t>CNFPT - Direction de l'achat public publie un AO potentiellement pertinent pour CHRUTH : Nettoyage des locaux et des vitres des sites de la délégation Nouvelle Aquitaine du CNFPT. Zone : 75. Budget a verifier. Verifier le lien source avant contact.</t>
        </is>
      </c>
      <c r="BD32" t="inlineStr">
        <is>
          <t>Bonjour,
Je me permets de vous contacter au sujet de votre appel d'offres : Nettoyage des locaux et des vitres des sites de la délégation Nouvelle Aquitaine du CNFPT.
CHRUTH accompagne les structures publiques et privées sur les besoins de nettoyage, d'entretien des locaux et d'organisation de prestations de service.
Serait-il possible d'échanger rapidement afin de vérifier les modalités de réponse et les attentes de CNFPT - Direction de l'achat public ?
Cordialement,</t>
        </is>
      </c>
      <c r="BE32" t="inlineStr">
        <is>
          <t>Bonjour, je vous appelle concernant un appel d'offres publié par CNFPT - Direction de l'achat public.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2026-W26</t>
        </is>
      </c>
    </row>
    <row r="33">
      <c r="A33" t="inlineStr">
        <is>
          <t>BOAMP</t>
        </is>
      </c>
      <c r="B33" t="inlineStr">
        <is>
          <t>26-59151</t>
        </is>
      </c>
      <c r="C33" t="inlineStr">
        <is>
          <t>Prestations de nettoyage des surfaces vitrées, vitrines, baies vitrées, verrières et éléments assimilés des bâtiments de l’Université Paris 8 ainsi que de ses sites rattachés</t>
        </is>
      </c>
      <c r="D33" t="inlineStr">
        <is>
          <t>UNIVERSITE PARIS 8</t>
        </is>
      </c>
      <c r="E33" t="inlineStr">
        <is>
          <t>19931827000014</t>
        </is>
      </c>
      <c r="F33" t="inlineStr">
        <is>
          <t>199318270</t>
        </is>
      </c>
      <c r="G33" t="inlineStr"/>
      <c r="H33" t="inlineStr"/>
      <c r="I33" t="inlineStr">
        <is>
          <t>nicolas.luczak@univ-paris8.fr</t>
        </is>
      </c>
      <c r="J33" t="inlineStr">
        <is>
          <t>+33149406761</t>
        </is>
      </c>
      <c r="K33" t="inlineStr"/>
      <c r="L33" t="inlineStr"/>
      <c r="M33" t="inlineStr"/>
      <c r="N33" t="inlineStr">
        <is>
          <t>93</t>
        </is>
      </c>
      <c r="O33" t="inlineStr"/>
      <c r="P33" t="inlineStr">
        <is>
          <t>Ile-de-France</t>
        </is>
      </c>
      <c r="Q33" s="15" t="n">
        <v>46190</v>
      </c>
      <c r="R33" s="15" t="n">
        <v>46213</v>
      </c>
      <c r="S33" t="inlineStr"/>
      <c r="T33" t="inlineStr">
        <is>
          <t>A_VERIFIER_BUDGET</t>
        </is>
      </c>
      <c r="U33" t="inlineStr"/>
      <c r="V33" t="inlineStr">
        <is>
          <t>non</t>
        </is>
      </c>
      <c r="W33" t="inlineStr">
        <is>
          <t>Vitres</t>
        </is>
      </c>
      <c r="X33" t="inlineStr">
        <is>
          <t>Autre</t>
        </is>
      </c>
      <c r="Y33" t="inlineStr">
        <is>
          <t>SERVICES</t>
        </is>
      </c>
      <c r="Z33" t="inlineStr">
        <is>
          <t>Procédure Ouverte</t>
        </is>
      </c>
      <c r="AA33" t="inlineStr">
        <is>
          <t>Avis de marché</t>
        </is>
      </c>
      <c r="AB33" t="inlineStr">
        <is>
          <t>Vitrerie, Nettoyage de locaux</t>
        </is>
      </c>
      <c r="AC33" t="inlineStr"/>
      <c r="AD33" s="11" t="inlineStr">
        <is>
          <t>https://www.boamp.fr/pages/avis/?q=idweb:26-59151</t>
        </is>
      </c>
      <c r="AE33" t="inlineStr">
        <is>
          <t>https://www.marches-publics.gouv.fr/entreprise</t>
        </is>
      </c>
      <c r="AF33" t="inlineStr">
        <is>
          <t>https://www.marches-publics.gouv.fr/entreprise</t>
        </is>
      </c>
      <c r="AG33" t="inlineStr">
        <is>
          <t>nettoyage</t>
        </is>
      </c>
      <c r="AH33" t="inlineStr">
        <is>
          <t>3</t>
        </is>
      </c>
      <c r="AI33" t="inlineStr">
        <is>
          <t>68</t>
        </is>
      </c>
      <c r="AJ33" t="inlineStr">
        <is>
          <t>INFO_PARTIELLE</t>
        </is>
      </c>
      <c r="AK33" t="inlineStr">
        <is>
          <t>55</t>
        </is>
      </c>
      <c r="AL33" t="inlineStr">
        <is>
          <t>TIEDE</t>
        </is>
      </c>
      <c r="AM33" t="inlineStr"/>
      <c r="AN33" t="inlineStr"/>
      <c r="AO33" t="inlineStr"/>
      <c r="AP33" t="inlineStr"/>
      <c r="AQ33" t="inlineStr">
        <is>
          <t>IA_BUDGET_A_VERIFIER</t>
        </is>
      </c>
      <c r="AR33" t="inlineStr">
        <is>
          <t>Verifier le budget dans l'avis source ou le DCE avant decision commerciale.</t>
        </is>
      </c>
      <c r="AS33" t="inlineStr">
        <is>
          <t>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26-59151. Objet: Prestations de nettoyage des surfaces vitrées, vitrines, baies vitrées, verrières et éléments assimilés des bâtiments de l’Université Paris 8 ainsi que de ses sites rattachés. Acheteur: UNIVERSITE PARIS 8. Lien: https://www.boamp.fr/pages/avis/?q=idweb:26-59151.</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delai confortable 18j</t>
        </is>
      </c>
      <c r="BC33"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3"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3"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3" t="inlineStr"/>
      <c r="BG33" t="inlineStr"/>
      <c r="BH33" t="inlineStr"/>
      <c r="BI33" t="inlineStr"/>
      <c r="BJ33" t="inlineStr"/>
      <c r="BK33" t="inlineStr"/>
      <c r="BL33" t="inlineStr"/>
      <c r="BM33" t="inlineStr">
        <is>
          <t>2026-W25</t>
        </is>
      </c>
    </row>
    <row r="34">
      <c r="A34" t="inlineStr">
        <is>
          <t>BOAMP</t>
        </is>
      </c>
      <c r="B34" t="inlineStr">
        <is>
          <t>26-57705</t>
        </is>
      </c>
      <c r="C34" t="inlineStr">
        <is>
          <t>MARCHE PUBLIC RELATIF AU NETTOYAGE DES LOCAUX DE LA MISSION LOCALE DE PARIS</t>
        </is>
      </c>
      <c r="D34" t="inlineStr">
        <is>
          <t>MISSION LOCALE DE PARIS</t>
        </is>
      </c>
      <c r="E34" t="inlineStr">
        <is>
          <t>53132862300149</t>
        </is>
      </c>
      <c r="F34" t="inlineStr">
        <is>
          <t>531328623</t>
        </is>
      </c>
      <c r="G34" t="inlineStr"/>
      <c r="H34" t="inlineStr"/>
      <c r="I34" t="inlineStr">
        <is>
          <t>achats@missionlocaledeparis.fr</t>
        </is>
      </c>
      <c r="J34" t="inlineStr">
        <is>
          <t>0149 076467</t>
        </is>
      </c>
      <c r="K34" t="inlineStr"/>
      <c r="L34" t="inlineStr"/>
      <c r="M34" t="inlineStr"/>
      <c r="N34" t="inlineStr">
        <is>
          <t>75</t>
        </is>
      </c>
      <c r="O34" t="inlineStr"/>
      <c r="P34" t="inlineStr">
        <is>
          <t>Ile-de-France</t>
        </is>
      </c>
      <c r="Q34" s="15" t="n">
        <v>46185</v>
      </c>
      <c r="R34" s="15" t="n">
        <v>46213</v>
      </c>
      <c r="S34" t="inlineStr"/>
      <c r="T34" t="inlineStr">
        <is>
          <t>A_VERIFIER_BUDGET</t>
        </is>
      </c>
      <c r="U34" t="inlineStr"/>
      <c r="V34" t="inlineStr">
        <is>
          <t>non</t>
        </is>
      </c>
      <c r="W34" t="inlineStr">
        <is>
          <t>Vitres</t>
        </is>
      </c>
      <c r="X34" t="inlineStr">
        <is>
          <t>Autre</t>
        </is>
      </c>
      <c r="Y34" t="inlineStr">
        <is>
          <t>SERVICES</t>
        </is>
      </c>
      <c r="Z34" t="inlineStr">
        <is>
          <t>Procédure Ouverte</t>
        </is>
      </c>
      <c r="AA34" t="inlineStr">
        <is>
          <t>Avis de marché</t>
        </is>
      </c>
      <c r="AB34" t="inlineStr">
        <is>
          <t>Nettoyage de locaux</t>
        </is>
      </c>
      <c r="AC34" t="inlineStr"/>
      <c r="AD34" s="11" t="inlineStr">
        <is>
          <t>https://www.boamp.fr/pages/avis/?q=idweb:26-57705</t>
        </is>
      </c>
      <c r="AE34" t="inlineStr">
        <is>
          <t>https://www.achatpublic.com/sdm/ent/gen/ent_detail.do?PCSLID=CSL_2026_GODJdYpugJ</t>
        </is>
      </c>
      <c r="AF34" t="inlineStr">
        <is>
          <t>https://www.achatpublic.com/sdm/ent/gen/ent_detail.do?PCSLID=CSL_2026_GODJdYpugJ</t>
        </is>
      </c>
      <c r="AG34" t="inlineStr">
        <is>
          <t>nettoyage, proprete</t>
        </is>
      </c>
      <c r="AH34" t="inlineStr">
        <is>
          <t>3</t>
        </is>
      </c>
      <c r="AI34" t="inlineStr">
        <is>
          <t>76</t>
        </is>
      </c>
      <c r="AJ34" t="inlineStr">
        <is>
          <t>INFO_PARTIELLE</t>
        </is>
      </c>
      <c r="AK34" t="inlineStr">
        <is>
          <t>55</t>
        </is>
      </c>
      <c r="AL34" t="inlineStr">
        <is>
          <t>TIEDE</t>
        </is>
      </c>
      <c r="AM34" t="inlineStr"/>
      <c r="AN34" t="inlineStr"/>
      <c r="AO34" t="inlineStr"/>
      <c r="AP34" t="inlineStr"/>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26-57705. Objet: MARCHE PUBLIC RELATIF AU NETTOYAGE DES LOCAUX DE LA MISSION LOCALE DE PARIS. Acheteur: MISSION LOCALE DE PARIS. Lien: https://www.boamp.fr/pages/avis/?q=idweb:26-57705.</t>
        </is>
      </c>
      <c r="AU34" t="inlineStr">
        <is>
          <t>Verifier url_avis et DCE si disponible</t>
        </is>
      </c>
      <c r="AV34" t="inlineStr">
        <is>
          <t>LIEN_SEUL</t>
        </is>
      </c>
      <c r="AW34" t="inlineStr"/>
      <c r="AX34" t="inlineStr"/>
      <c r="AY34" t="inlineStr"/>
      <c r="AZ34" t="inlineStr"/>
      <c r="BA34" t="inlineStr"/>
      <c r="BB34" t="inlineStr">
        <is>
          <t>+35 nettoyage + categorie claire | +10 budget non affiche (a verifier) | +10 delai confortable 18j</t>
        </is>
      </c>
      <c r="BC34" t="inlineStr">
        <is>
          <t>MISSION LOCALE DE PARIS publie un AO potentiellement pertinent pour CHRUTH : MARCHE PUBLIC RELATIF AU NETTOYAGE DES LOCAUX DE LA MISSION LOCALE DE PARIS. Zone : 75. Budget a verifier. Verifier le lien source avant contact.</t>
        </is>
      </c>
      <c r="BD34" t="inlineStr">
        <is>
          <t>Bonjour,
Je me permets de vous contacter au sujet de votre appel d'offres : MARCHE PUBLIC RELATIF AU NETTOYAGE DES LOCAUX DE LA MISSION LOCALE DE PARIS.
CHRUTH accompagne les structures publiques et privees sur les besoins de nettoyage, d'entretien des locaux et d'organisation de prestations de service.
Serait-il possible d'echanger rapidement afin de verifier les modalites de reponse et les attentes de MISSION LOCALE DE PARIS ?
Cordialement,</t>
        </is>
      </c>
      <c r="BE34" t="inlineStr">
        <is>
          <t>Bonjour, je vous appelle concernant un appel d'offres publie par MISSION LOCALE DE PARIS. Je souhaite verifier les informations pratiques : perimetre des prestations, date limite, modalites de visite, contact technique et pieces attendues. Pouvez-vous m'indiquer la bonne personne a contacter ?</t>
        </is>
      </c>
      <c r="BF34" t="inlineStr"/>
      <c r="BG34" t="inlineStr"/>
      <c r="BH34" t="inlineStr"/>
      <c r="BI34" t="inlineStr"/>
      <c r="BJ34" t="inlineStr"/>
      <c r="BK34" t="inlineStr"/>
      <c r="BL34" t="inlineStr"/>
      <c r="BM34" t="inlineStr">
        <is>
          <t>2026-W24</t>
        </is>
      </c>
    </row>
    <row r="35">
      <c r="A35" t="inlineStr">
        <is>
          <t>BOAMP</t>
        </is>
      </c>
      <c r="B35" t="inlineStr">
        <is>
          <t>26-57778</t>
        </is>
      </c>
      <c r="C35" t="inlineStr">
        <is>
          <t>Prestations de nettoyage des surfaces vitrées, vitrines, baies vitrées, verrières et éléments assimilés des bâtiments de l’Université Paris 8 ainsi que de ses sites rattachés</t>
        </is>
      </c>
      <c r="D35" t="inlineStr">
        <is>
          <t>UNIVERSITE PARIS 8</t>
        </is>
      </c>
      <c r="E35" t="inlineStr">
        <is>
          <t>19931827000014</t>
        </is>
      </c>
      <c r="F35" t="inlineStr">
        <is>
          <t>199318270</t>
        </is>
      </c>
      <c r="G35" t="inlineStr"/>
      <c r="H35" t="inlineStr"/>
      <c r="I35" t="inlineStr">
        <is>
          <t>nicolas.luczak@univ-paris8.fr</t>
        </is>
      </c>
      <c r="J35" t="inlineStr">
        <is>
          <t>+33149406761</t>
        </is>
      </c>
      <c r="K35" t="inlineStr"/>
      <c r="L35" t="inlineStr"/>
      <c r="M35" t="inlineStr"/>
      <c r="N35" t="inlineStr">
        <is>
          <t>93</t>
        </is>
      </c>
      <c r="O35" t="inlineStr"/>
      <c r="P35" t="inlineStr">
        <is>
          <t>Ile-de-France</t>
        </is>
      </c>
      <c r="Q35" s="15" t="n">
        <v>46185</v>
      </c>
      <c r="R35" s="15" t="n">
        <v>46213</v>
      </c>
      <c r="S35" t="inlineStr"/>
      <c r="T35" t="inlineStr">
        <is>
          <t>A_VERIFIER_BUDGET</t>
        </is>
      </c>
      <c r="U35" t="inlineStr"/>
      <c r="V35" t="inlineStr">
        <is>
          <t>non</t>
        </is>
      </c>
      <c r="W35" t="inlineStr">
        <is>
          <t>Vitres</t>
        </is>
      </c>
      <c r="X35" t="inlineStr">
        <is>
          <t>Autre</t>
        </is>
      </c>
      <c r="Y35" t="inlineStr">
        <is>
          <t>SERVICES</t>
        </is>
      </c>
      <c r="Z35" t="inlineStr">
        <is>
          <t>Procédure Ouverte</t>
        </is>
      </c>
      <c r="AA35" t="inlineStr">
        <is>
          <t>Avis de marché</t>
        </is>
      </c>
      <c r="AB35" t="inlineStr">
        <is>
          <t>Vitrerie, Nettoyage de locaux</t>
        </is>
      </c>
      <c r="AC35" t="inlineStr">
        <is>
          <t>['sociaux']</t>
        </is>
      </c>
      <c r="AD35" s="11" t="inlineStr">
        <is>
          <t>https://www.boamp.fr/pages/avis/?q=idweb:26-57778</t>
        </is>
      </c>
      <c r="AE35" t="inlineStr">
        <is>
          <t>https://www.marches-publics.gouv.fr/entreprise</t>
        </is>
      </c>
      <c r="AF35" t="inlineStr">
        <is>
          <t>https://www.marches-publics.gouv.fr/entreprise</t>
        </is>
      </c>
      <c r="AG35" t="inlineStr">
        <is>
          <t>nettoyage</t>
        </is>
      </c>
      <c r="AH35" t="inlineStr">
        <is>
          <t>3</t>
        </is>
      </c>
      <c r="AI35" t="inlineStr">
        <is>
          <t>68</t>
        </is>
      </c>
      <c r="AJ35" t="inlineStr">
        <is>
          <t>INFO_PARTIELLE</t>
        </is>
      </c>
      <c r="AK35" t="inlineStr">
        <is>
          <t>55</t>
        </is>
      </c>
      <c r="AL35" t="inlineStr">
        <is>
          <t>TIEDE</t>
        </is>
      </c>
      <c r="AM35" t="inlineStr"/>
      <c r="AN35" t="inlineStr"/>
      <c r="AO35" t="inlineStr"/>
      <c r="AP35" t="inlineStr"/>
      <c r="AQ35" t="inlineStr">
        <is>
          <t>IA_BUDGET_A_VERIFIER</t>
        </is>
      </c>
      <c r="AR35" t="inlineStr">
        <is>
          <t>Verifier le budget dans l'avis source ou le DCE avant decision commerciale.</t>
        </is>
      </c>
      <c r="AS35" t="inlineStr">
        <is>
          <t>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26-57778. Objet: Prestations de nettoyage des surfaces vitrées, vitrines, baies vitrées, verrières et éléments assimilés des bâtiments de l’Université Paris 8 ainsi que de ses sites rattachés. Acheteur: UNIVERSITE PARIS 8. Lien: https://www.boamp.fr/pages/avis/?q=idweb:26-57778.</t>
        </is>
      </c>
      <c r="AU35" t="inlineStr">
        <is>
          <t>Verifier url_avis et DCE si disponible</t>
        </is>
      </c>
      <c r="AV35" t="inlineStr">
        <is>
          <t>LIEN_SEUL</t>
        </is>
      </c>
      <c r="AW35" t="inlineStr"/>
      <c r="AX35" t="inlineStr"/>
      <c r="AY35" t="inlineStr"/>
      <c r="AZ35" t="inlineStr"/>
      <c r="BA35" t="inlineStr"/>
      <c r="BB35" t="inlineStr">
        <is>
          <t>+35 nettoyage + categorie claire | +10 budget non affiche (a verifier) | +10 delai confortable 18j</t>
        </is>
      </c>
      <c r="BC35"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5"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5"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5" t="inlineStr"/>
      <c r="BG35" t="inlineStr"/>
      <c r="BH35" t="inlineStr"/>
      <c r="BI35" t="inlineStr"/>
      <c r="BJ35" t="inlineStr"/>
      <c r="BK35" t="inlineStr"/>
      <c r="BL35" t="inlineStr"/>
      <c r="BM35" t="inlineStr">
        <is>
          <t>2026-W24</t>
        </is>
      </c>
    </row>
    <row r="36">
      <c r="A36" t="inlineStr">
        <is>
          <t>BOAMP</t>
        </is>
      </c>
      <c r="B36" t="inlineStr">
        <is>
          <t>26-57678</t>
        </is>
      </c>
      <c r="C36" t="inlineStr">
        <is>
          <t>Prestations d'entretien ménager, de fourniture de consommables pour sanitaires et de nettoyage des vitres des locaux de la délégation Auvergne Rhône-Alpes du CNFPT</t>
        </is>
      </c>
      <c r="D36" t="inlineStr">
        <is>
          <t>CNFPT - Direction de l'achat public</t>
        </is>
      </c>
      <c r="E36" t="inlineStr"/>
      <c r="F36" t="inlineStr"/>
      <c r="G36" t="inlineStr"/>
      <c r="H36" t="inlineStr"/>
      <c r="I36" t="inlineStr">
        <is>
          <t>publications-joue@aws-france.com</t>
        </is>
      </c>
      <c r="J36" t="inlineStr">
        <is>
          <t>+33480041260</t>
        </is>
      </c>
      <c r="K36" t="inlineStr"/>
      <c r="L36" t="inlineStr"/>
      <c r="M36" t="inlineStr"/>
      <c r="N36" t="inlineStr">
        <is>
          <t>75</t>
        </is>
      </c>
      <c r="O36" t="inlineStr"/>
      <c r="P36" t="inlineStr">
        <is>
          <t>Ile-de-France</t>
        </is>
      </c>
      <c r="Q36" s="15" t="n">
        <v>46185</v>
      </c>
      <c r="R36" s="15" t="n">
        <v>46218</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Nettoyage de locaux</t>
        </is>
      </c>
      <c r="AC36" t="inlineStr">
        <is>
          <t>['sociaux', 'environnementaux']</t>
        </is>
      </c>
      <c r="AD36" s="11" t="inlineStr">
        <is>
          <t>https://www.boamp.fr/pages/avis/?q=idweb:26-57678</t>
        </is>
      </c>
      <c r="AE36" t="inlineStr">
        <is>
          <t>https://cnfpt.marches-publics.info/</t>
        </is>
      </c>
      <c r="AF36" t="inlineStr">
        <is>
          <t>https://cnfpt.marches-publics.info/</t>
        </is>
      </c>
      <c r="AG36" t="inlineStr">
        <is>
          <t>nettoyage, entretien menager</t>
        </is>
      </c>
      <c r="AH36" t="inlineStr">
        <is>
          <t>2</t>
        </is>
      </c>
      <c r="AI36" t="inlineStr">
        <is>
          <t>62</t>
        </is>
      </c>
      <c r="AJ36" t="inlineStr">
        <is>
          <t>INFO_PARTIELLE</t>
        </is>
      </c>
      <c r="AK36" t="inlineStr">
        <is>
          <t>55</t>
        </is>
      </c>
      <c r="AL36" t="inlineStr">
        <is>
          <t>TIEDE</t>
        </is>
      </c>
      <c r="AM36" t="inlineStr"/>
      <c r="AN36" t="inlineStr"/>
      <c r="AO36" t="inlineStr"/>
      <c r="AP36" t="inlineStr"/>
      <c r="AQ36" t="inlineStr">
        <is>
          <t>IA_BUDGET_A_VERIFIER</t>
        </is>
      </c>
      <c r="AR36" t="inlineStr">
        <is>
          <t>Verifier le budget dans l'avis source ou le DCE avant decision commerciale.</t>
        </is>
      </c>
      <c r="AS36" t="inlineStr">
        <is>
          <t>SIRET, 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26-57678. Objet: Prestations d'entretien ménager, de fourniture de consommables pour sanitaires et de nettoyage des vitres des locaux de la délégation Auvergne Rhône-Alpes du CNFPT. Acheteur: CNFPT - Direction de l'achat public. Lien: https://www.boamp.fr/pages/avis/?q=idweb:26-57678.</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23j</t>
        </is>
      </c>
      <c r="BC36" t="inlineStr">
        <is>
          <t>CNFPT - Direction de l'achat public publie un AO potentiellement pertinent pour CHRUTH : Prestations d'entretien ménager, de fourniture de consommables pour sanitaires et de nettoyage des vitres des locaux de la délégation Auvergne Rhône-Alpes du CNFPT. Zone : 75. Budget a verifier. Verifier le lien source avant contact.</t>
        </is>
      </c>
      <c r="BD36" t="inlineStr">
        <is>
          <t>Bonjour,
Je me permets de vous contacter au sujet de votre appel d'offres : Prestations d'entretien ménager, de fourniture de consommables pour sanitaires et de nettoyage des vitres des locaux de la délégation Auvergne Rhône-Alpes du CNFPT.
CHRUTH accompagne les structures publiques et privees sur les besoins de nettoyage, d'entretien des locaux et d'organisation de prestations de service.
Serait-il possible d'echanger rapidement afin de verifier les modalites de reponse et les attentes de CNFPT - Direction de l'achat public ?
Cordialement,</t>
        </is>
      </c>
      <c r="BE36" t="inlineStr">
        <is>
          <t>Bonjour, je vous appelle concernant un appel d'offres publie par CNFPT - Direction de l'achat public. Je souhaite verifier les informations pratiques : perimetre des prestations, date limite, modalites de visite, contact technique et pieces attendues. Pouvez-vous m'indiquer la bonne personne a contacter ?</t>
        </is>
      </c>
      <c r="BF36" t="inlineStr"/>
      <c r="BG36" t="inlineStr"/>
      <c r="BH36" t="inlineStr"/>
      <c r="BI36" t="inlineStr"/>
      <c r="BJ36" t="inlineStr"/>
      <c r="BK36" t="inlineStr"/>
      <c r="BL36" t="inlineStr"/>
      <c r="BM36" t="inlineStr">
        <is>
          <t>2026-W24</t>
        </is>
      </c>
    </row>
    <row r="37">
      <c r="A37" t="inlineStr">
        <is>
          <t>BOAMP</t>
        </is>
      </c>
      <c r="B37" t="inlineStr">
        <is>
          <t>26-57231</t>
        </is>
      </c>
      <c r="C37" t="inlineStr">
        <is>
          <t>Prestations de nettoyage des surfaces vitrées, vitrines, baies vitrées, verrières et éléments assimilés des bâtiments de l’Université Paris 8 ainsi que de ses sites rattachés</t>
        </is>
      </c>
      <c r="D37" t="inlineStr">
        <is>
          <t>UNIVERSITE PARIS 8</t>
        </is>
      </c>
      <c r="E37" t="inlineStr">
        <is>
          <t>19931827000014</t>
        </is>
      </c>
      <c r="F37" t="inlineStr">
        <is>
          <t>199318270</t>
        </is>
      </c>
      <c r="G37" t="inlineStr"/>
      <c r="H37" t="inlineStr"/>
      <c r="I37" t="inlineStr">
        <is>
          <t>nicolas.luczak@univ-paris8.fr</t>
        </is>
      </c>
      <c r="J37" t="inlineStr">
        <is>
          <t>+33149406761</t>
        </is>
      </c>
      <c r="K37" t="inlineStr"/>
      <c r="L37" t="inlineStr"/>
      <c r="M37" t="inlineStr"/>
      <c r="N37" t="inlineStr">
        <is>
          <t>93</t>
        </is>
      </c>
      <c r="O37" t="inlineStr"/>
      <c r="P37" t="inlineStr">
        <is>
          <t>Ile-de-France</t>
        </is>
      </c>
      <c r="Q37" s="15" t="n">
        <v>46184</v>
      </c>
      <c r="R37" s="15" t="n">
        <v>46213</v>
      </c>
      <c r="S37" t="inlineStr"/>
      <c r="T37" t="inlineStr">
        <is>
          <t>A_VERIFIER_BUDGET</t>
        </is>
      </c>
      <c r="U37" t="inlineStr"/>
      <c r="V37" t="inlineStr">
        <is>
          <t>non</t>
        </is>
      </c>
      <c r="W37" t="inlineStr">
        <is>
          <t>Vitres</t>
        </is>
      </c>
      <c r="X37" t="inlineStr">
        <is>
          <t>Autre</t>
        </is>
      </c>
      <c r="Y37" t="inlineStr">
        <is>
          <t>SERVICES</t>
        </is>
      </c>
      <c r="Z37" t="inlineStr">
        <is>
          <t>Procédure Ouverte</t>
        </is>
      </c>
      <c r="AA37" t="inlineStr">
        <is>
          <t>Avis de marché</t>
        </is>
      </c>
      <c r="AB37" t="inlineStr">
        <is>
          <t>Vitrerie, Nettoyage de locaux</t>
        </is>
      </c>
      <c r="AC37" t="inlineStr"/>
      <c r="AD37" s="11" t="inlineStr">
        <is>
          <t>https://www.boamp.fr/pages/avis/?q=idweb:26-57231</t>
        </is>
      </c>
      <c r="AE37" t="inlineStr">
        <is>
          <t>https://www.marches-publics.gouv.fr/entreprise</t>
        </is>
      </c>
      <c r="AF37" t="inlineStr">
        <is>
          <t>https://www.marches-publics.gouv.fr/entreprise</t>
        </is>
      </c>
      <c r="AG37" t="inlineStr">
        <is>
          <t>nettoyage</t>
        </is>
      </c>
      <c r="AH37" t="inlineStr">
        <is>
          <t>3</t>
        </is>
      </c>
      <c r="AI37" t="inlineStr">
        <is>
          <t>68</t>
        </is>
      </c>
      <c r="AJ37" t="inlineStr">
        <is>
          <t>INFO_PARTIELLE</t>
        </is>
      </c>
      <c r="AK37" t="inlineStr">
        <is>
          <t>55</t>
        </is>
      </c>
      <c r="AL37" t="inlineStr">
        <is>
          <t>TIEDE</t>
        </is>
      </c>
      <c r="AM37" t="inlineStr"/>
      <c r="AN37" t="inlineStr"/>
      <c r="AO37" t="inlineStr"/>
      <c r="AP37" t="inlineStr"/>
      <c r="AQ37" t="inlineStr">
        <is>
          <t>IA_BUDGET_A_VERIFIER</t>
        </is>
      </c>
      <c r="AR37" t="inlineStr">
        <is>
          <t>Verifier le budget dans l'avis source ou le DCE avant decision commerciale.</t>
        </is>
      </c>
      <c r="AS37" t="inlineStr">
        <is>
          <t>adresse, ville, budget</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26-57231. Objet: Prestations de nettoyage des surfaces vitrées, vitrines, baies vitrées, verrières et éléments assimilés des bâtiments de l’Université Paris 8 ainsi que de ses sites rattachés. Acheteur: UNIVERSITE PARIS 8. Lien: https://www.boamp.fr/pages/avis/?q=idweb:26-57231.</t>
        </is>
      </c>
      <c r="AU37" t="inlineStr">
        <is>
          <t>Verifier url_avis et DCE si disponible</t>
        </is>
      </c>
      <c r="AV37" t="inlineStr">
        <is>
          <t>LIEN_SEUL</t>
        </is>
      </c>
      <c r="AW37" t="inlineStr"/>
      <c r="AX37" t="inlineStr"/>
      <c r="AY37" t="inlineStr"/>
      <c r="AZ37" t="inlineStr"/>
      <c r="BA37" t="inlineStr"/>
      <c r="BB37" t="inlineStr">
        <is>
          <t>+35 nettoyage + categorie claire | +10 budget non affiche (a verifier) | +10 delai confortable 18j</t>
        </is>
      </c>
      <c r="BC37"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7"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7"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7" t="inlineStr"/>
      <c r="BG37" t="inlineStr"/>
      <c r="BH37" t="inlineStr"/>
      <c r="BI37" t="inlineStr"/>
      <c r="BJ37" t="inlineStr"/>
      <c r="BK37" t="inlineStr"/>
      <c r="BL37" t="inlineStr"/>
      <c r="BM37" t="inlineStr">
        <is>
          <t>2026-W24</t>
        </is>
      </c>
    </row>
    <row r="38">
      <c r="A38" t="inlineStr">
        <is>
          <t>BOAMP</t>
        </is>
      </c>
      <c r="B38" t="inlineStr">
        <is>
          <t>26-62297</t>
        </is>
      </c>
      <c r="C38" t="inlineStr">
        <is>
          <t>Nettoyage des locaux du siège du SIAAP</t>
        </is>
      </c>
      <c r="D38" t="inlineStr">
        <is>
          <t>Syndicat interdépartemental pour l'assainissement de l'agglomération parisienne (SIAAP)</t>
        </is>
      </c>
      <c r="E38" t="inlineStr"/>
      <c r="F38" t="inlineStr"/>
      <c r="G38" t="inlineStr"/>
      <c r="H38" t="inlineStr"/>
      <c r="I38" t="inlineStr">
        <is>
          <t>publications-joue@aws-france.com</t>
        </is>
      </c>
      <c r="J38" t="inlineStr">
        <is>
          <t>+33480041260</t>
        </is>
      </c>
      <c r="K38" t="inlineStr"/>
      <c r="L38" t="inlineStr"/>
      <c r="M38" t="inlineStr"/>
      <c r="N38" t="inlineStr">
        <is>
          <t>75</t>
        </is>
      </c>
      <c r="O38" t="inlineStr"/>
      <c r="P38" t="inlineStr">
        <is>
          <t>Ile-de-France</t>
        </is>
      </c>
      <c r="Q38" s="15" t="n">
        <v>46198</v>
      </c>
      <c r="R38" s="15" t="n">
        <v>46218</v>
      </c>
      <c r="S38" t="inlineStr"/>
      <c r="T38" t="inlineStr">
        <is>
          <t>A_VERIFIER_BUDGET</t>
        </is>
      </c>
      <c r="U38" t="inlineStr"/>
      <c r="V38" t="inlineStr">
        <is>
          <t>non</t>
        </is>
      </c>
      <c r="W38" t="inlineStr">
        <is>
          <t>Batiments</t>
        </is>
      </c>
      <c r="X38" t="inlineStr">
        <is>
          <t>Autre</t>
        </is>
      </c>
      <c r="Y38" t="inlineStr">
        <is>
          <t>SERVICES</t>
        </is>
      </c>
      <c r="Z38" t="inlineStr">
        <is>
          <t>Procédure Ouverte</t>
        </is>
      </c>
      <c r="AA38" t="inlineStr">
        <is>
          <t>Avis de marché</t>
        </is>
      </c>
      <c r="AB38" t="inlineStr">
        <is>
          <t>Nettoyage de locaux, Prestations de services</t>
        </is>
      </c>
      <c r="AC38" t="inlineStr"/>
      <c r="AD38" s="11" t="inlineStr">
        <is>
          <t>https://www.boamp.fr/pages/avis/?q=idweb:26-62297</t>
        </is>
      </c>
      <c r="AE38" t="inlineStr">
        <is>
          <t>https://www.marches-publics.info/mpiaws/index.cfm?fuseaction=dematEnt.login&amp;amp;type=DCE&amp;amp;IDM=1840671</t>
        </is>
      </c>
      <c r="AF38" t="inlineStr">
        <is>
          <t>https://www.marches-publics.info/mpiaws/index.cfm?fuseaction=dematEnt.login&amp;amp;type=DCE&amp;amp;IDM=1840671</t>
        </is>
      </c>
      <c r="AG38" t="inlineStr">
        <is>
          <t>nettoyage</t>
        </is>
      </c>
      <c r="AH38" t="inlineStr">
        <is>
          <t>2</t>
        </is>
      </c>
      <c r="AI38" t="inlineStr">
        <is>
          <t>58</t>
        </is>
      </c>
      <c r="AJ38" t="inlineStr">
        <is>
          <t>INFO_PARTIELLE</t>
        </is>
      </c>
      <c r="AK38" t="inlineStr">
        <is>
          <t>50</t>
        </is>
      </c>
      <c r="AL38" t="inlineStr">
        <is>
          <t>TIEDE</t>
        </is>
      </c>
      <c r="AM38" t="inlineStr"/>
      <c r="AN38" t="inlineStr"/>
      <c r="AO38" t="inlineStr"/>
      <c r="AP38" t="inlineStr"/>
      <c r="AQ38" t="inlineStr">
        <is>
          <t>IA_BUDGET_A_VERIFIER</t>
        </is>
      </c>
      <c r="AR38" t="inlineStr">
        <is>
          <t>Verifier le budget dans l'avis source ou le DCE avant decision commerciale.</t>
        </is>
      </c>
      <c r="AS38" t="inlineStr">
        <is>
          <t>SIRET, adresse, ville, budget</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26-62297. Objet: Nettoyage des locaux du siège du SIAAP. Acheteur: Syndicat interdépartemental pour l'assainissement de l'agglomération parisienne (SIAAP). Lien: https://www.boamp.fr/pages/avis/?q=idweb:26-62297.</t>
        </is>
      </c>
      <c r="AU38" t="inlineStr">
        <is>
          <t>Verifier url_avis et DCE si disponible</t>
        </is>
      </c>
      <c r="AV38" t="inlineStr">
        <is>
          <t>LIEN_SEUL</t>
        </is>
      </c>
      <c r="AW38" t="inlineStr"/>
      <c r="AX38" t="inlineStr"/>
      <c r="AY38" t="inlineStr"/>
      <c r="AZ38" t="inlineStr"/>
      <c r="BA38" t="inlineStr"/>
      <c r="BB38" t="inlineStr">
        <is>
          <t>+35 nettoyage + categorie claire | +10 budget non affiche (a verifier) | +5 delai court 12j</t>
        </is>
      </c>
      <c r="BC38" t="inlineStr">
        <is>
          <t>Syndicat interdépartemental pour l'assainissement de l'agglomération parisienne (SIAAP) publie un AO potentiellement pertinent pour CHRUTH : Nettoyage des locaux du siège du SIAAP. Zone : 75. Budget a verifier. Verifier le lien source avant contact.</t>
        </is>
      </c>
      <c r="BD38" t="inlineStr">
        <is>
          <t>Bonjour,
Je me permets de vous contacter au sujet de votre appel d'offres : Nettoyage des locaux du siège du SIAAP.
CHRUTH accompagne les structures publiques et privées sur les besoins de nettoyage, d'entretien des locaux et d'organisation de prestations de service.
Serait-il possible d'échanger rapidement afin de vérifier les modalités de réponse et les attentes de Syndicat interdépartemental pour l'assainissement de l'agglomération parisienne (SIAAP) ?
Cordialement,</t>
        </is>
      </c>
      <c r="BE38" t="inlineStr">
        <is>
          <t>Bonjour, je vous appelle concernant un appel d'offres publié par Syndicat interdépartemental pour l'assainissement de l'agglomération parisienne (SIAAP).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2026-W26</t>
        </is>
      </c>
    </row>
    <row r="39">
      <c r="A39" t="inlineStr">
        <is>
          <t>BOAMP</t>
        </is>
      </c>
      <c r="B39" t="inlineStr">
        <is>
          <t>26-61419</t>
        </is>
      </c>
      <c r="C39" t="inlineStr">
        <is>
          <t>Prestations de mise en propreté et la gestion des déchets du réseau routier national et de ses dépendances gérés par les 4 arrondissements de la DiRIF</t>
        </is>
      </c>
      <c r="D39" t="inlineStr">
        <is>
          <t>Direction régionale et interdépartementale de l'Environnement, de l'Aménagement et des Transports d'Ile-de-France (DRIEAT-IF)</t>
        </is>
      </c>
      <c r="E39" t="inlineStr">
        <is>
          <t>13002932500011</t>
        </is>
      </c>
      <c r="F39" t="inlineStr">
        <is>
          <t>130029325</t>
        </is>
      </c>
      <c r="G39" t="inlineStr"/>
      <c r="H39" t="inlineStr"/>
      <c r="I39" t="inlineStr">
        <is>
          <t>dcppa.sg.drieat-if@developpement-durable.gouv.fr</t>
        </is>
      </c>
      <c r="J39" t="inlineStr">
        <is>
          <t>0293250001</t>
        </is>
      </c>
      <c r="K39" t="inlineStr"/>
      <c r="L39" t="inlineStr"/>
      <c r="M39" t="inlineStr"/>
      <c r="N39" t="inlineStr">
        <is>
          <t>75,77,78,91,92,93,94,95</t>
        </is>
      </c>
      <c r="O39" t="inlineStr"/>
      <c r="P39" t="inlineStr">
        <is>
          <t>Ile-de-France</t>
        </is>
      </c>
      <c r="Q39" s="15" t="n">
        <v>46197</v>
      </c>
      <c r="R39" s="15" t="n">
        <v>46237</v>
      </c>
      <c r="S39" t="inlineStr"/>
      <c r="T39" t="inlineStr">
        <is>
          <t>A_VERIFIER_BUDGET</t>
        </is>
      </c>
      <c r="U39" t="inlineStr"/>
      <c r="V39" t="inlineStr">
        <is>
          <t>non</t>
        </is>
      </c>
      <c r="W39" t="inlineStr">
        <is>
          <t>Mixte/Autre</t>
        </is>
      </c>
      <c r="X39" t="inlineStr">
        <is>
          <t>Autre</t>
        </is>
      </c>
      <c r="Y39" t="inlineStr">
        <is>
          <t>SERVICES</t>
        </is>
      </c>
      <c r="Z39" t="inlineStr">
        <is>
          <t>Procédure Ouverte</t>
        </is>
      </c>
      <c r="AA39" t="inlineStr">
        <is>
          <t>Avis de marché</t>
        </is>
      </c>
      <c r="AB39" t="inlineStr">
        <is>
          <t>Déchets non ménagers (prestations), Prestations de services</t>
        </is>
      </c>
      <c r="AC39" t="inlineStr">
        <is>
          <t>['sociaux', 'environnementaux']</t>
        </is>
      </c>
      <c r="AD39" s="11" t="inlineStr">
        <is>
          <t>https://www.boamp.fr/pages/avis/?q=idweb:26-61419</t>
        </is>
      </c>
      <c r="AE39" t="inlineStr">
        <is>
          <t>https://www.marches-publics.gouv.fr/entreprise</t>
        </is>
      </c>
      <c r="AF39" t="inlineStr">
        <is>
          <t>https://www.marches-publics.gouv.fr/entreprise</t>
        </is>
      </c>
      <c r="AG39" t="inlineStr">
        <is>
          <t>nettoyage, proprete</t>
        </is>
      </c>
      <c r="AH39" t="inlineStr">
        <is>
          <t>3</t>
        </is>
      </c>
      <c r="AI39" t="inlineStr">
        <is>
          <t>76</t>
        </is>
      </c>
      <c r="AJ39" t="inlineStr">
        <is>
          <t>INFO_PARTIELLE</t>
        </is>
      </c>
      <c r="AK39" t="inlineStr">
        <is>
          <t>50</t>
        </is>
      </c>
      <c r="AL39" t="inlineStr">
        <is>
          <t>TIEDE</t>
        </is>
      </c>
      <c r="AM39" t="inlineStr"/>
      <c r="AN39" t="inlineStr"/>
      <c r="AO39" t="inlineStr"/>
      <c r="AP39" t="inlineStr"/>
      <c r="AQ39" t="inlineStr">
        <is>
          <t>IA_BUDGET_A_VERIFIER</t>
        </is>
      </c>
      <c r="AR39" t="inlineStr">
        <is>
          <t>Verifier le budget dans l'avis source ou le DCE avant decision commerciale.</t>
        </is>
      </c>
      <c r="AS39" t="inlineStr">
        <is>
          <t>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26-61419. Objet: Prestations de mise en propreté et la gestion des déchets du réseau routier national et de ses dépendances gérés par les 4 arrondissements de la DiRIF. Acheteur: Direction régionale et interdépartementale de l'Environnement, de l'Aménagement et des Transports d'Ile-de-France (DRIEAT-IF). Lien: https://www.boamp.fr/pages/avis/?q=idweb:26-61419.</t>
        </is>
      </c>
      <c r="AU39" t="inlineStr">
        <is>
          <t>Verifier url_avis et DCE si disponible</t>
        </is>
      </c>
      <c r="AV39" t="inlineStr"/>
      <c r="AW39" t="inlineStr"/>
      <c r="AX39" t="inlineStr"/>
      <c r="AY39" t="inlineStr"/>
      <c r="AZ39" t="inlineStr"/>
      <c r="BA39" t="inlineStr"/>
      <c r="BB39" t="inlineStr">
        <is>
          <t>+30 mots-cles nettoyage forts | +10 budget non affiche (a verifier) | +10 delai confortable 28j</t>
        </is>
      </c>
      <c r="BC39" t="inlineStr">
        <is>
          <t>Direction régionale et interdépartementale de l'Environnement, de l'Aménagement et des Transports d'Ile-de-France (DRIEAT-IF) publie un AO potentiellement pertinent pour CHRUTH : Prestations de mise en propreté et la gestion des déchets du réseau routier national et de ses dépendances gérés par les 4 arrondissements de la DiRIF. Zone : 75,77,78,91,92,93,94,95. Budget a verifier. Verifier le lien source avant contact.</t>
        </is>
      </c>
      <c r="BD39" t="inlineStr">
        <is>
          <t>Bonjour,
Je me permets de vous contacter au sujet de votre appel d'offres : Prestations de mise en propreté et la gestion des déchets du réseau routier national et de ses dépendances gérés par les 4 arrondissements de la DiRIF.
CHRUTH accompagne les structures publiques et privées sur les besoins de nettoyage, d'entretien des locaux et d'organisation de prestations de service.
Serait-il possible d'échanger rapidement afin de vérifier les modalités de réponse et les attentes de Direction régionale et interdépartementale de l'Environnement, de l'Aménagement et des Transports d'Ile-de-France (DRIEAT-IF) ?
Cordialement,</t>
        </is>
      </c>
      <c r="BE39" t="inlineStr">
        <is>
          <t>Bonjour, je vous appelle concernant un appel d'offres publié par Direction régionale et interdépartementale de l'Environnement, de l'Aménagement et des Transports d'Ile-de-France (DRIEAT-IF). Je souhaite vérifier les informations pratiques : périmètre des prestations, date limite, modalités de visite, contact technique et pièces attendues. Pouvez-vous m'indiquer la bonne personne à contacter ?</t>
        </is>
      </c>
      <c r="BF39" t="inlineStr"/>
      <c r="BG39" t="inlineStr"/>
      <c r="BH39" t="inlineStr"/>
      <c r="BI39" t="inlineStr"/>
      <c r="BJ39" t="inlineStr"/>
      <c r="BK39" t="inlineStr"/>
      <c r="BL39" t="inlineStr"/>
      <c r="BM39" t="inlineStr">
        <is>
          <t>2026-W26</t>
        </is>
      </c>
    </row>
    <row r="40">
      <c r="A40" t="inlineStr">
        <is>
          <t>BOAMP</t>
        </is>
      </c>
      <c r="B40" t="inlineStr">
        <is>
          <t>26-61287</t>
        </is>
      </c>
      <c r="C40" t="inlineStr">
        <is>
          <t>Gestion et entretien des trois aires d'accueil des gens du voyage communautaires</t>
        </is>
      </c>
      <c r="D40" t="inlineStr">
        <is>
          <t>Communauté d'agglomération Plaine Vallée</t>
        </is>
      </c>
      <c r="E40" t="inlineStr">
        <is>
          <t>20005638000013</t>
        </is>
      </c>
      <c r="F40" t="inlineStr">
        <is>
          <t>200056380</t>
        </is>
      </c>
      <c r="G40" t="inlineStr"/>
      <c r="H40" t="inlineStr"/>
      <c r="I40" t="inlineStr">
        <is>
          <t>contact@agglo-plainevallee.fr</t>
        </is>
      </c>
      <c r="J40" t="inlineStr">
        <is>
          <t>0563800001</t>
        </is>
      </c>
      <c r="K40" t="inlineStr"/>
      <c r="L40" t="inlineStr"/>
      <c r="M40" t="inlineStr"/>
      <c r="N40" t="inlineStr">
        <is>
          <t>95</t>
        </is>
      </c>
      <c r="O40" t="inlineStr"/>
      <c r="P40" t="inlineStr">
        <is>
          <t>Ile-de-France</t>
        </is>
      </c>
      <c r="Q40" s="15" t="n">
        <v>46194</v>
      </c>
      <c r="R40" s="15" t="n">
        <v>46225</v>
      </c>
      <c r="S40" t="inlineStr"/>
      <c r="T40" t="inlineStr">
        <is>
          <t>A_VERIFIER_BUDGET</t>
        </is>
      </c>
      <c r="U40" t="inlineStr"/>
      <c r="V40" t="inlineStr">
        <is>
          <t>non</t>
        </is>
      </c>
      <c r="W40" t="inlineStr">
        <is>
          <t>Mixte/Autre</t>
        </is>
      </c>
      <c r="X40" t="inlineStr">
        <is>
          <t>Autre</t>
        </is>
      </c>
      <c r="Y40" t="inlineStr">
        <is>
          <t>SERVICES</t>
        </is>
      </c>
      <c r="Z40" t="inlineStr">
        <is>
          <t>Procédure Ouverte</t>
        </is>
      </c>
      <c r="AA40" t="inlineStr">
        <is>
          <t>Avis de marché</t>
        </is>
      </c>
      <c r="AB40" t="inlineStr">
        <is>
          <t>Prestations de services</t>
        </is>
      </c>
      <c r="AC40" t="inlineStr"/>
      <c r="AD40" s="11" t="inlineStr">
        <is>
          <t>https://www.boamp.fr/pages/avis/?q=idweb:26-61287</t>
        </is>
      </c>
      <c r="AE40" t="inlineStr">
        <is>
          <t>https://www.achatpublic.com/sdm/ent/gen/ent_detail.do?PCSLID=CSL_2026_8zWAXknio-</t>
        </is>
      </c>
      <c r="AF40" t="inlineStr">
        <is>
          <t>https://www.achatpublic.com/sdm/ent/gen/ent_detail.do?PCSLID=CSL_2026_8zWAXknio-</t>
        </is>
      </c>
      <c r="AG40" t="inlineStr">
        <is>
          <t>nettoyage</t>
        </is>
      </c>
      <c r="AH40" t="inlineStr">
        <is>
          <t>3</t>
        </is>
      </c>
      <c r="AI40" t="inlineStr">
        <is>
          <t>68</t>
        </is>
      </c>
      <c r="AJ40" t="inlineStr">
        <is>
          <t>INFO_PARTIELLE</t>
        </is>
      </c>
      <c r="AK40" t="inlineStr">
        <is>
          <t>50</t>
        </is>
      </c>
      <c r="AL40" t="inlineStr">
        <is>
          <t>TIEDE</t>
        </is>
      </c>
      <c r="AM40" t="inlineStr"/>
      <c r="AN40" t="inlineStr"/>
      <c r="AO40" t="inlineStr"/>
      <c r="AP40" t="inlineStr"/>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26-61287. Objet: Gestion et entretien des trois aires d'accueil des gens du voyage communautaires. Acheteur: Communauté d'agglomération Plaine Vallée. Lien: https://www.boamp.fr/pages/avis/?q=idweb:26-61287.</t>
        </is>
      </c>
      <c r="AU40" t="inlineStr">
        <is>
          <t>Verifier url_avis et DCE si disponible</t>
        </is>
      </c>
      <c r="AV40" t="inlineStr">
        <is>
          <t>LIEN_SEUL</t>
        </is>
      </c>
      <c r="AW40" t="inlineStr"/>
      <c r="AX40" t="inlineStr"/>
      <c r="AY40" t="inlineStr"/>
      <c r="AZ40" t="inlineStr"/>
      <c r="BA40" t="inlineStr"/>
      <c r="BB40" t="inlineStr">
        <is>
          <t>+30 mots-cles nettoyage forts | +10 budget non affiche (a verifier) | +10 delai confortable 19j</t>
        </is>
      </c>
      <c r="BC40" t="inlineStr">
        <is>
          <t>Communauté d'agglomération Plaine Vallée publie un AO potentiellement pertinent pour CHRUTH : Gestion et entretien des trois aires d'accueil des gens du voyage communautaires. Zone : 95. Budget a verifier. Verifier le lien source avant contact.</t>
        </is>
      </c>
      <c r="BD40" t="inlineStr">
        <is>
          <t>Bonjour,
Je me permets de vous contacter au sujet de votre appel d'offres : Gestion et entretien des trois aires d'accueil des gens du voyage communautaires.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Plaine Vallée ?
Cordialement,</t>
        </is>
      </c>
      <c r="BE40" t="inlineStr">
        <is>
          <t>Bonjour, je vous appelle concernant un appel d'offres publié par Communauté d'agglomération Plaine Vallée. Je souhaite vérifier les informations pratiques : périmètre des prestations, date limite, modalités de visite, contact technique et pièces attendues. Pouvez-vous m'indiquer la bonne personne à contacter ?</t>
        </is>
      </c>
      <c r="BF40" t="inlineStr"/>
      <c r="BG40" t="inlineStr"/>
      <c r="BH40" t="inlineStr"/>
      <c r="BI40" t="inlineStr"/>
      <c r="BJ40" t="inlineStr"/>
      <c r="BK40" t="inlineStr"/>
      <c r="BL40" t="inlineStr"/>
      <c r="BM40" t="inlineStr">
        <is>
          <t>2026-W25</t>
        </is>
      </c>
    </row>
    <row r="41">
      <c r="A41" t="inlineStr">
        <is>
          <t>BOAMP</t>
        </is>
      </c>
      <c r="B41" t="inlineStr">
        <is>
          <t>26-57313</t>
        </is>
      </c>
      <c r="C41" t="inlineStr">
        <is>
          <t>Entretien des toitures et des terrasses des sites : H. MONDOR – A. CHENEVIER – E. ROUX – DUPUYTREN – G. CLEMENCEAU</t>
        </is>
      </c>
      <c r="D41" t="inlineStr">
        <is>
          <t>Hopitaux Universitaires Henri Mondor</t>
        </is>
      </c>
      <c r="E41" t="inlineStr">
        <is>
          <t>26750045200557</t>
        </is>
      </c>
      <c r="F41" t="inlineStr">
        <is>
          <t>267500452</t>
        </is>
      </c>
      <c r="G41" t="inlineStr"/>
      <c r="H41" t="inlineStr"/>
      <c r="I41" t="inlineStr">
        <is>
          <t>eddy-pierrick.nsana@aphp.fr</t>
        </is>
      </c>
      <c r="J41" t="inlineStr">
        <is>
          <t>0145178465</t>
        </is>
      </c>
      <c r="K41" t="inlineStr"/>
      <c r="L41" t="inlineStr"/>
      <c r="M41" t="inlineStr"/>
      <c r="N41" t="inlineStr">
        <is>
          <t>75,77,78,91,92,93,94,95</t>
        </is>
      </c>
      <c r="O41" t="inlineStr"/>
      <c r="P41" t="inlineStr">
        <is>
          <t>Ile-de-France</t>
        </is>
      </c>
      <c r="Q41" s="15" t="n">
        <v>46185</v>
      </c>
      <c r="R41" s="15" t="n">
        <v>46219</v>
      </c>
      <c r="S41" t="inlineStr"/>
      <c r="T41" t="inlineStr">
        <is>
          <t>A_VERIFIER_BUDGET</t>
        </is>
      </c>
      <c r="U41" t="inlineStr"/>
      <c r="V41" t="inlineStr">
        <is>
          <t>non</t>
        </is>
      </c>
      <c r="W41" t="inlineStr">
        <is>
          <t>Mixte/Autre</t>
        </is>
      </c>
      <c r="X41" t="inlineStr">
        <is>
          <t>Autre</t>
        </is>
      </c>
      <c r="Y41" t="inlineStr">
        <is>
          <t>SERVICES</t>
        </is>
      </c>
      <c r="Z41" t="inlineStr">
        <is>
          <t>Procédure Ouverte</t>
        </is>
      </c>
      <c r="AA41" t="inlineStr">
        <is>
          <t>Avis de marché</t>
        </is>
      </c>
      <c r="AB41" t="inlineStr">
        <is>
          <t>Terrasse</t>
        </is>
      </c>
      <c r="AC41" t="inlineStr">
        <is>
          <t>['environnementaux']</t>
        </is>
      </c>
      <c r="AD41" s="11" t="inlineStr">
        <is>
          <t>https://www.boamp.fr/pages/avis/?q=idweb:26-57313</t>
        </is>
      </c>
      <c r="AE41" t="inlineStr">
        <is>
          <t>https://www.marches-publics.gouv.fr/?page=Entreprise.EntrepriseAdvancedSearch&amp;AllCons&amp;id=3014984&amp;orgAcronyme=x7c</t>
        </is>
      </c>
      <c r="AF41" t="inlineStr">
        <is>
          <t>https://www.marches-publics.gouv.fr/?page=Entreprise.EntrepriseAdvancedSearch&amp;AllCons&amp;id=3014984&amp;orgAcronyme=x7c</t>
        </is>
      </c>
      <c r="AG41" t="inlineStr">
        <is>
          <t>nettoyage</t>
        </is>
      </c>
      <c r="AH41" t="inlineStr">
        <is>
          <t>3</t>
        </is>
      </c>
      <c r="AI41" t="inlineStr">
        <is>
          <t>68</t>
        </is>
      </c>
      <c r="AJ41" t="inlineStr">
        <is>
          <t>INFO_PARTIELLE</t>
        </is>
      </c>
      <c r="AK41" t="inlineStr">
        <is>
          <t>50</t>
        </is>
      </c>
      <c r="AL41" t="inlineStr">
        <is>
          <t>TIEDE</t>
        </is>
      </c>
      <c r="AM41" t="inlineStr"/>
      <c r="AN41" t="inlineStr"/>
      <c r="AO41" t="inlineStr"/>
      <c r="AP41" t="inlineStr"/>
      <c r="AQ41" t="inlineStr">
        <is>
          <t>IA_BUDGET_A_VERIFIER</t>
        </is>
      </c>
      <c r="AR41" t="inlineStr">
        <is>
          <t>Verifier le budget dans l'avis source ou le DCE avant decision commerciale.</t>
        </is>
      </c>
      <c r="AS41" t="inlineStr">
        <is>
          <t>adresse, ville, budget</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26-57313. Objet: Entretien des toitures et des terrasses des sites : H. MONDOR – A. CHENEVIER – E. ROUX – DUPUYTREN – G. CLEMENCEAU. Acheteur: Hopitaux Universitaires Henri Mondor. Lien: https://www.boamp.fr/pages/avis/?q=idweb:26-57313.</t>
        </is>
      </c>
      <c r="AU41" t="inlineStr">
        <is>
          <t>Verifier url_avis et DCE si disponible</t>
        </is>
      </c>
      <c r="AV41" t="inlineStr">
        <is>
          <t>LIEN_SEUL</t>
        </is>
      </c>
      <c r="AW41" t="inlineStr"/>
      <c r="AX41" t="inlineStr"/>
      <c r="AY41" t="inlineStr"/>
      <c r="AZ41" t="inlineStr"/>
      <c r="BA41" t="inlineStr"/>
      <c r="BB41" t="inlineStr">
        <is>
          <t>+30 mots-cles nettoyage forts | +10 budget non affiche (a verifier) | +10 delai confortable 24j</t>
        </is>
      </c>
      <c r="BC41" t="inlineStr">
        <is>
          <t>Hopitaux Universitaires Henri Mondor publie un AO potentiellement pertinent pour CHRUTH : Entretien des toitures et des terrasses des sites : H. MONDOR – A. CHENEVIER – E. ROUX – DUPUYTREN – G. CLEMENCEAU. Zone : 75,77,78,91,92,93,94,95. Budget a verifier. Verifier le lien source avant contact.</t>
        </is>
      </c>
      <c r="BD41" t="inlineStr">
        <is>
          <t>Bonjour,
Je me permets de vous contacter au sujet de votre appel d'offres : Entretien des toitures et des terrasses des sites : H. MONDOR – A. CHENEVIER – E. ROUX – DUPUYTREN – G. CLEMENCEAU.
CHRUTH accompagne les structures publiques et privees sur les besoins de nettoyage, d'entretien des locaux et d'organisation de prestations de service.
Serait-il possible d'echanger rapidement afin de verifier les modalites de reponse et les attentes de Hopitaux Universitaires Henri Mondor ?
Cordialement,</t>
        </is>
      </c>
      <c r="BE41" t="inlineStr">
        <is>
          <t>Bonjour, je vous appelle concernant un appel d'offres publie par Hopitaux Universitaires Henri Mondor. Je souhaite verifier les informations pratiques : perimetre des prestations, date limite, modalites de visite, contact technique et pieces attendues. Pouvez-vous m'indiquer la bonne personne a contacter ?</t>
        </is>
      </c>
      <c r="BF41" t="inlineStr"/>
      <c r="BG41" t="inlineStr"/>
      <c r="BH41" t="inlineStr"/>
      <c r="BI41" t="inlineStr"/>
      <c r="BJ41" t="inlineStr"/>
      <c r="BK41" t="inlineStr"/>
      <c r="BL41" t="inlineStr"/>
      <c r="BM41" t="inlineStr">
        <is>
          <t>2026-W24</t>
        </is>
      </c>
    </row>
    <row r="42">
      <c r="A42" t="inlineStr">
        <is>
          <t>BOAMP</t>
        </is>
      </c>
      <c r="B42" t="inlineStr">
        <is>
          <t>26-56245</t>
        </is>
      </c>
      <c r="C42" t="inlineStr">
        <is>
          <t>PRESTATION DE NETTOYAGE DES LOCAUX DU CREPS ÎLE-DE-FRANCE</t>
        </is>
      </c>
      <c r="D42" t="inlineStr">
        <is>
          <t>CREPS Île-de-France</t>
        </is>
      </c>
      <c r="E42" t="inlineStr">
        <is>
          <t>19921619300037</t>
        </is>
      </c>
      <c r="F42" t="inlineStr">
        <is>
          <t>199216193</t>
        </is>
      </c>
      <c r="G42" t="inlineStr"/>
      <c r="H42" t="inlineStr"/>
      <c r="I42" t="inlineStr">
        <is>
          <t>accueil@creps-idf.fr</t>
        </is>
      </c>
      <c r="J42" t="inlineStr">
        <is>
          <t>+33 141872030</t>
        </is>
      </c>
      <c r="K42" t="inlineStr"/>
      <c r="L42" t="inlineStr"/>
      <c r="M42" t="inlineStr"/>
      <c r="N42" t="inlineStr">
        <is>
          <t>92</t>
        </is>
      </c>
      <c r="O42" t="inlineStr"/>
      <c r="P42" t="inlineStr">
        <is>
          <t>Ile-de-France</t>
        </is>
      </c>
      <c r="Q42" s="15" t="n">
        <v>46182</v>
      </c>
      <c r="R42" s="15" t="n">
        <v>46205</v>
      </c>
      <c r="S42" t="inlineStr"/>
      <c r="T42" t="inlineStr">
        <is>
          <t>A_VERIFIER_BUDGET</t>
        </is>
      </c>
      <c r="U42" t="inlineStr"/>
      <c r="V42" t="inlineStr">
        <is>
          <t>non</t>
        </is>
      </c>
      <c r="W42" t="inlineStr">
        <is>
          <t>Vitres</t>
        </is>
      </c>
      <c r="X42" t="inlineStr">
        <is>
          <t>Autre</t>
        </is>
      </c>
      <c r="Y42" t="inlineStr">
        <is>
          <t>SERVICES</t>
        </is>
      </c>
      <c r="Z42" t="inlineStr">
        <is>
          <t>Procédure Ouverte</t>
        </is>
      </c>
      <c r="AA42" t="inlineStr">
        <is>
          <t>Avis de marché</t>
        </is>
      </c>
      <c r="AB42" t="inlineStr">
        <is>
          <t>Nettoyage de locaux</t>
        </is>
      </c>
      <c r="AC42" t="inlineStr"/>
      <c r="AD42" s="11" t="inlineStr">
        <is>
          <t>https://www.boamp.fr/pages/avis/?q=idweb:26-56245</t>
        </is>
      </c>
      <c r="AE42" t="inlineStr">
        <is>
          <t>https://marches.maximilien.fr/entreprise/consultation/940630?orgAcronyme=a0t</t>
        </is>
      </c>
      <c r="AF42" t="inlineStr">
        <is>
          <t>https://marches.maximilien.fr/entreprise/consultation/940630?orgAcronyme=a0t</t>
        </is>
      </c>
      <c r="AG42" t="inlineStr">
        <is>
          <t>nettoyage</t>
        </is>
      </c>
      <c r="AH42" t="inlineStr">
        <is>
          <t>3</t>
        </is>
      </c>
      <c r="AI42" t="inlineStr">
        <is>
          <t>68</t>
        </is>
      </c>
      <c r="AJ42" t="inlineStr">
        <is>
          <t>INFO_PARTIELLE</t>
        </is>
      </c>
      <c r="AK42" t="inlineStr">
        <is>
          <t>50</t>
        </is>
      </c>
      <c r="AL42" t="inlineStr">
        <is>
          <t>TIEDE</t>
        </is>
      </c>
      <c r="AM42" t="inlineStr"/>
      <c r="AN42" t="inlineStr"/>
      <c r="AO42" t="inlineStr"/>
      <c r="AP42" t="inlineStr"/>
      <c r="AQ42" t="inlineStr">
        <is>
          <t>IA_BUDGET_A_VERIFIER</t>
        </is>
      </c>
      <c r="AR42" t="inlineStr">
        <is>
          <t>Verifier le budget dans l'avis source ou le DCE avant decision commerciale.</t>
        </is>
      </c>
      <c r="AS42" t="inlineStr">
        <is>
          <t>adresse, ville, budget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26-56245. Objet: PRESTATION DE NETTOYAGE DES LOCAUX DU CREPS ÎLE-DE-FRANCE. Acheteur: CREPS Île-de-France. Lien: https://www.boamp.fr/pages/avis/?q=idweb:26-56245.</t>
        </is>
      </c>
      <c r="AU42" t="inlineStr">
        <is>
          <t>Verifier url_avis et DCE si disponible</t>
        </is>
      </c>
      <c r="AV42" t="inlineStr">
        <is>
          <t>LIEN_SEUL</t>
        </is>
      </c>
      <c r="AW42" t="inlineStr"/>
      <c r="AX42" t="inlineStr"/>
      <c r="AY42" t="inlineStr"/>
      <c r="AZ42" t="inlineStr"/>
      <c r="BA42" t="inlineStr"/>
      <c r="BB42" t="inlineStr">
        <is>
          <t>+35 nettoyage + categorie claire | +10 budget non affiche (a verifier) | +5 delai court 10j</t>
        </is>
      </c>
      <c r="BC42" t="inlineStr">
        <is>
          <t>CREPS Île-de-France publie un AO potentiellement pertinent pour CHRUTH : PRESTATION DE NETTOYAGE DES LOCAUX DU CREPS ÎLE-DE-FRANCE. Zone : 92. Budget a verifier. Verifier le lien source avant contact.</t>
        </is>
      </c>
      <c r="BD42" t="inlineStr">
        <is>
          <t>Bonjour,
Je me permets de vous contacter au sujet de votre appel d'offres : PRESTATION DE NETTOYAGE DES LOCAUX DU CREPS ÎLE-DE-FRANCE.
CHRUTH accompagne les structures publiques et privees sur les besoins de nettoyage, d'entretien des locaux et d'organisation de prestations de service.
Serait-il possible d'echanger rapidement afin de verifier les modalites de reponse et les attentes de CREPS Île-de-France ?
Cordialement,</t>
        </is>
      </c>
      <c r="BE42" t="inlineStr">
        <is>
          <t>Bonjour, je vous appelle concernant un appel d'offres publie par CREPS Île-de-France. Je souhaite verifier les informations pratiques : perimetre des prestations, date limite, modalites de visite, contact technique et pieces attendues. Pouvez-vous m'indiquer la bonne personne a contacter ?</t>
        </is>
      </c>
      <c r="BF42" t="inlineStr"/>
      <c r="BG42" t="inlineStr"/>
      <c r="BH42" t="inlineStr"/>
      <c r="BI42" t="inlineStr"/>
      <c r="BJ42" t="inlineStr"/>
      <c r="BK42" t="inlineStr"/>
      <c r="BL42" t="inlineStr"/>
      <c r="BM42" t="inlineStr">
        <is>
          <t>2026-W24</t>
        </is>
      </c>
    </row>
    <row r="43">
      <c r="A43" t="inlineStr">
        <is>
          <t>BOAMP</t>
        </is>
      </c>
      <c r="B43" t="inlineStr">
        <is>
          <t>26-55238</t>
        </is>
      </c>
      <c r="C43" t="inlineStr">
        <is>
          <t>Nettoyage des locaux et des vitres des bâtiments scolaires, communaux et sportifs de la Ville de Poissy (3 lots)</t>
        </is>
      </c>
      <c r="D43" t="inlineStr">
        <is>
          <t>Ville de Poissy</t>
        </is>
      </c>
      <c r="E43" t="inlineStr">
        <is>
          <t>17780005900012</t>
        </is>
      </c>
      <c r="F43" t="inlineStr">
        <is>
          <t>177800059</t>
        </is>
      </c>
      <c r="G43" t="inlineStr"/>
      <c r="H43" t="inlineStr"/>
      <c r="I43" t="inlineStr">
        <is>
          <t>greffe.ta-versailles@juradm.fr</t>
        </is>
      </c>
      <c r="J43" t="inlineStr">
        <is>
          <t>0139205400</t>
        </is>
      </c>
      <c r="K43" t="inlineStr"/>
      <c r="L43" t="inlineStr"/>
      <c r="M43" t="inlineStr"/>
      <c r="N43" t="inlineStr">
        <is>
          <t>78</t>
        </is>
      </c>
      <c r="O43" t="inlineStr"/>
      <c r="P43" t="inlineStr">
        <is>
          <t>Ile-de-France</t>
        </is>
      </c>
      <c r="Q43" s="15" t="n">
        <v>46179</v>
      </c>
      <c r="R43" s="15" t="n">
        <v>46209</v>
      </c>
      <c r="S43" s="14" t="n">
        <v>3000000</v>
      </c>
      <c r="T43" t="inlineStr">
        <is>
          <t>BUDGET_EXPLICITE_OK</t>
        </is>
      </c>
      <c r="U43" t="inlineStr">
        <is>
          <t>3000000</t>
        </is>
      </c>
      <c r="V43" t="inlineStr">
        <is>
          <t>oui</t>
        </is>
      </c>
      <c r="W43" t="inlineStr">
        <is>
          <t>Vitres</t>
        </is>
      </c>
      <c r="X43" t="inlineStr">
        <is>
          <t>Mairie</t>
        </is>
      </c>
      <c r="Y43" t="inlineStr">
        <is>
          <t>SERVICES</t>
        </is>
      </c>
      <c r="Z43" t="inlineStr">
        <is>
          <t>Procédure Ouverte</t>
        </is>
      </c>
      <c r="AA43" t="inlineStr">
        <is>
          <t>Avis de marché</t>
        </is>
      </c>
      <c r="AB43" t="inlineStr">
        <is>
          <t>Nettoyage de locaux</t>
        </is>
      </c>
      <c r="AC43" t="inlineStr">
        <is>
          <t>['sociaux', 'environnementaux']</t>
        </is>
      </c>
      <c r="AD43" s="11" t="inlineStr">
        <is>
          <t>https://www.boamp.fr/pages/avis/?q=idweb:26-55238</t>
        </is>
      </c>
      <c r="AE43" t="inlineStr">
        <is>
          <t>https://www.achatpublic.com/sdm/ent/gen/index.do</t>
        </is>
      </c>
      <c r="AF43" t="inlineStr">
        <is>
          <t>https://www.achatpublic.com/sdm/ent/gen/index.do</t>
        </is>
      </c>
      <c r="AG43" t="inlineStr">
        <is>
          <t>nettoyage</t>
        </is>
      </c>
      <c r="AH43" t="inlineStr">
        <is>
          <t>3</t>
        </is>
      </c>
      <c r="AI43" t="inlineStr">
        <is>
          <t>68</t>
        </is>
      </c>
      <c r="AJ43" t="inlineStr">
        <is>
          <t>INFO_PARTIELLE</t>
        </is>
      </c>
      <c r="AK43" t="inlineStr">
        <is>
          <t>50</t>
        </is>
      </c>
      <c r="AL43" t="inlineStr">
        <is>
          <t>TIEDE</t>
        </is>
      </c>
      <c r="AM43" t="inlineStr"/>
      <c r="AN43" t="inlineStr"/>
      <c r="AO43" t="inlineStr"/>
      <c r="AP43" t="inlineStr"/>
      <c r="AQ43" t="inlineStr">
        <is>
          <t>IA_CONTACT_A_COMPLETER</t>
        </is>
      </c>
      <c r="AR43" t="inlineStr">
        <is>
          <t>Completer les champs manquants depuis l'avis source, le site acheteur ou le DCE.</t>
        </is>
      </c>
      <c r="AS43" t="inlineStr">
        <is>
          <t>adresse, ville</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26-55238. Objet: Nettoyage des locaux et des vitres des bâtiments scolaires, communaux et sportifs de la Ville de Poissy (3 lots). Acheteur: Ville de Poissy. Lien: https://www.boamp.fr/pages/avis/?q=idweb:26-55238.</t>
        </is>
      </c>
      <c r="AU43" t="inlineStr">
        <is>
          <t>Verifier url_avis et DCE si disponible</t>
        </is>
      </c>
      <c r="AV43" t="inlineStr"/>
      <c r="AW43" t="inlineStr"/>
      <c r="AX43" t="inlineStr"/>
      <c r="AY43" t="inlineStr"/>
      <c r="AZ43" t="inlineStr"/>
      <c r="BA43" t="inlineStr"/>
      <c r="BB43" t="inlineStr">
        <is>
          <t>+35 nettoyage + categorie claire | -20 gros budget (&gt; 500 000 EUR) | +15 procedure adaptee / MAPA / allotissement | +10 secteur cible Mairie | +10 delai confortable 16j</t>
        </is>
      </c>
      <c r="BC43" t="inlineStr">
        <is>
          <t>Ville de Poissy publie un AO potentiellement pertinent pour CHRUTH : Nettoyage des locaux et des vitres des bâtiments scolaires, communaux et sportifs de la Ville de Poissy (3 lots). Zone : 78. Budget detecte environ 3 000 000 EUR. Verifier le lien source avant contact.</t>
        </is>
      </c>
      <c r="BD43" t="inlineStr">
        <is>
          <t>Bonjour,
Je me permets de vous contacter au sujet de votre appel d'offres : Nettoyage des locaux et des vitres des bâtiments scolaires, communaux et sportifs de la Ville de Poissy (3 lots).
CHRUTH accompagne les structures publiques et privees sur les besoins de nettoyage, d'entretien des locaux et d'organisation de prestations de service.
Serait-il possible d'echanger rapidement afin de verifier les modalites de reponse et les attentes de Ville de Poissy ?
Cordialement,</t>
        </is>
      </c>
      <c r="BE43" t="inlineStr">
        <is>
          <t>Bonjour, je vous appelle concernant un appel d'offres publie par Ville de Poissy. Je souhaite verifier les informations pratiques : perimetre des prestations, date limite, modalites de visite, contact technique et pieces attendues. Pouvez-vous m'indiquer la bonne personne a contacter ?</t>
        </is>
      </c>
      <c r="BF43" t="inlineStr"/>
      <c r="BG43" t="inlineStr"/>
      <c r="BH43" t="inlineStr"/>
      <c r="BI43" t="inlineStr"/>
      <c r="BJ43" t="inlineStr"/>
      <c r="BK43" t="inlineStr"/>
      <c r="BL43" t="inlineStr"/>
      <c r="BM43" t="inlineStr">
        <is>
          <t>2026-W23</t>
        </is>
      </c>
    </row>
    <row r="44">
      <c r="A44" t="inlineStr">
        <is>
          <t>MAXIMILIEN</t>
        </is>
      </c>
      <c r="B44" t="inlineStr">
        <is>
          <t>MX-b6801bdc5d3e</t>
        </is>
      </c>
      <c r="C44" t="inlineStr">
        <is>
          <t>CHRUTH - 1 nouveaux AO nettoyage IDF =?utf-8?q?=28apr=C3=A8s-midi?=
 05/07)</t>
        </is>
      </c>
      <c r="D44" t="inlineStr">
        <is>
          <t>Epms Fondation Hardy</t>
        </is>
      </c>
      <c r="E44" t="inlineStr"/>
      <c r="F44" t="inlineStr"/>
      <c r="G44" t="inlineStr"/>
      <c r="H44" t="inlineStr"/>
      <c r="I44" t="inlineStr"/>
      <c r="J44" t="inlineStr"/>
      <c r="K44" t="inlineStr"/>
      <c r="L44" t="inlineStr"/>
      <c r="M44" t="inlineStr"/>
      <c r="N44" t="inlineStr"/>
      <c r="O44" t="inlineStr"/>
      <c r="P44" t="inlineStr"/>
      <c r="Q44" s="15" t="n">
        <v>46208</v>
      </c>
      <c r="R44" t="inlineStr"/>
      <c r="S44" t="inlineStr"/>
      <c r="T44" t="inlineStr">
        <is>
          <t>A_VERIFIER_BUDGET</t>
        </is>
      </c>
      <c r="U44" t="inlineStr"/>
      <c r="V44" t="inlineStr"/>
      <c r="W44" t="inlineStr">
        <is>
          <t>Batiments/Locaux</t>
        </is>
      </c>
      <c r="X44" t="inlineStr">
        <is>
          <t>Autre</t>
        </is>
      </c>
      <c r="Y44" t="inlineStr"/>
      <c r="Z44" t="inlineStr"/>
      <c r="AA44" t="inlineStr"/>
      <c r="AB44" t="inlineStr"/>
      <c r="AC44" t="inlineStr"/>
      <c r="AD44" s="11" t="inlineStr">
        <is>
          <t>https://marches.maximilien.fr/entreprise/consultation/942574?orgAcronyme=a1i</t>
        </is>
      </c>
      <c r="AE44" t="inlineStr">
        <is>
          <t>https://marches.maximilien.fr/entreprise/consultation/942574?orgAcronyme=a1i</t>
        </is>
      </c>
      <c r="AF44" t="inlineStr"/>
      <c r="AG44" t="inlineStr">
        <is>
          <t>nettoyage</t>
        </is>
      </c>
      <c r="AH44" t="inlineStr"/>
      <c r="AI44" t="inlineStr">
        <is>
          <t>30</t>
        </is>
      </c>
      <c r="AJ44" t="inlineStr">
        <is>
          <t>DCE_A_TELECHARGER</t>
        </is>
      </c>
      <c r="AK44" t="inlineStr">
        <is>
          <t>45</t>
        </is>
      </c>
      <c r="AL44" s="16" t="inlineStr">
        <is>
          <t>A_VERIFIER</t>
        </is>
      </c>
      <c r="AM44" t="inlineStr"/>
      <c r="AN44" t="inlineStr"/>
      <c r="AO44" t="inlineStr"/>
      <c r="AP44" t="inlineStr"/>
      <c r="AQ44" t="inlineStr">
        <is>
          <t>IA_DCE_REQUISE</t>
        </is>
      </c>
      <c r="AR44" t="inlineStr">
        <is>
          <t>Telecharger ou ouvrir le DCE, puis extraire contact, budget, perimetre et contraintes.</t>
        </is>
      </c>
      <c r="AS44" t="inlineStr">
        <is>
          <t>SIRET, email, telephone, adresse, ville, budget</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MX-b6801bdc5d3e. Objet: CHRUTH - 1 nouveaux AO nettoyage IDF =?utf-8?q?=28apr=C3=A8s-midi?=
 05/07). Acheteur: Epms Fondation Hardy. Lien: https://marches.maximilien.fr/entreprise/consultation/942574?orgAcronyme=a1i.</t>
        </is>
      </c>
      <c r="AU44" t="inlineStr">
        <is>
          <t>Verifier url_avis et DCE si disponible</t>
        </is>
      </c>
      <c r="AV44" t="inlineStr">
        <is>
          <t>LIEN_SEUL</t>
        </is>
      </c>
      <c r="AW44" t="inlineStr"/>
      <c r="AX44" t="inlineStr"/>
      <c r="AY44" t="inlineStr"/>
      <c r="AZ44" t="inlineStr"/>
      <c r="BA44" t="inlineStr"/>
      <c r="BB44" t="inlineStr">
        <is>
          <t>+35 nettoyage + categorie claire | +10 budget non affiche (a verifier) | 0 date limite absente</t>
        </is>
      </c>
      <c r="BC44" t="inlineStr"/>
      <c r="BD44" t="inlineStr"/>
      <c r="BE44" t="inlineStr"/>
      <c r="BF44" t="inlineStr"/>
      <c r="BG44" t="inlineStr"/>
      <c r="BH44" t="inlineStr"/>
      <c r="BI44" t="inlineStr"/>
      <c r="BJ44" t="inlineStr"/>
      <c r="BK44" t="inlineStr"/>
      <c r="BL44" t="inlineStr"/>
      <c r="BM44" t="inlineStr">
        <is>
          <t>2026-W27</t>
        </is>
      </c>
    </row>
    <row r="45">
      <c r="A45" t="inlineStr">
        <is>
          <t>BOAMP</t>
        </is>
      </c>
      <c r="B45" t="inlineStr">
        <is>
          <t>26-60829</t>
        </is>
      </c>
      <c r="C45" t="inlineStr">
        <is>
          <t>Prestation de propreté des espaces verts de la ville d'Alfortville</t>
        </is>
      </c>
      <c r="D45" t="inlineStr">
        <is>
          <t>Commune d'Alfortville</t>
        </is>
      </c>
      <c r="E45" t="inlineStr">
        <is>
          <t>21940002500017</t>
        </is>
      </c>
      <c r="F45" t="inlineStr">
        <is>
          <t>219400025</t>
        </is>
      </c>
      <c r="G45" t="inlineStr"/>
      <c r="H45" t="inlineStr"/>
      <c r="I45" t="inlineStr">
        <is>
          <t>etienne.ouatiki@alfortville.fr</t>
        </is>
      </c>
      <c r="J45" t="inlineStr">
        <is>
          <t>0158732900</t>
        </is>
      </c>
      <c r="K45" t="inlineStr"/>
      <c r="L45" t="inlineStr"/>
      <c r="M45" t="inlineStr"/>
      <c r="N45" t="inlineStr">
        <is>
          <t>94</t>
        </is>
      </c>
      <c r="O45" t="inlineStr"/>
      <c r="P45" t="inlineStr">
        <is>
          <t>Ile-de-France</t>
        </is>
      </c>
      <c r="Q45" s="15" t="n">
        <v>46194</v>
      </c>
      <c r="R45" s="15" t="n">
        <v>46223</v>
      </c>
      <c r="S45" t="inlineStr"/>
      <c r="T45" t="inlineStr">
        <is>
          <t>A_VERIFIER_BUDGET</t>
        </is>
      </c>
      <c r="U45" t="inlineStr"/>
      <c r="V45" t="inlineStr">
        <is>
          <t>non</t>
        </is>
      </c>
      <c r="W45" t="inlineStr">
        <is>
          <t>Mixte/Autre</t>
        </is>
      </c>
      <c r="X45" t="inlineStr">
        <is>
          <t>Autre</t>
        </is>
      </c>
      <c r="Y45" t="inlineStr">
        <is>
          <t>SERVICES</t>
        </is>
      </c>
      <c r="Z45" t="inlineStr">
        <is>
          <t>Procédure Ouverte</t>
        </is>
      </c>
      <c r="AA45" t="inlineStr">
        <is>
          <t>Avis de marché</t>
        </is>
      </c>
      <c r="AB45" t="inlineStr">
        <is>
          <t>Espaces verts</t>
        </is>
      </c>
      <c r="AC45" t="inlineStr"/>
      <c r="AD45" s="11" t="inlineStr">
        <is>
          <t>https://www.boamp.fr/pages/avis/?q=idweb:26-60829</t>
        </is>
      </c>
      <c r="AE45" t="inlineStr">
        <is>
          <t>https://www.maximilien.fr/</t>
        </is>
      </c>
      <c r="AF45" t="inlineStr">
        <is>
          <t>https://www.maximilien.fr/</t>
        </is>
      </c>
      <c r="AG45" t="inlineStr">
        <is>
          <t>proprete</t>
        </is>
      </c>
      <c r="AH45" t="inlineStr">
        <is>
          <t>3</t>
        </is>
      </c>
      <c r="AI45" t="inlineStr">
        <is>
          <t>68</t>
        </is>
      </c>
      <c r="AJ45" t="inlineStr">
        <is>
          <t>INFO_PARTIELLE</t>
        </is>
      </c>
      <c r="AK45" t="inlineStr">
        <is>
          <t>45</t>
        </is>
      </c>
      <c r="AL45" t="inlineStr">
        <is>
          <t>TIEDE</t>
        </is>
      </c>
      <c r="AM45" t="inlineStr"/>
      <c r="AN45" t="inlineStr"/>
      <c r="AO45" t="inlineStr"/>
      <c r="AP45" t="inlineStr"/>
      <c r="AQ45" t="inlineStr">
        <is>
          <t>IA_BUDGET_A_VERIFIER</t>
        </is>
      </c>
      <c r="AR45" t="inlineStr">
        <is>
          <t>Verifier le budget dans l'avis source ou le DCE avant decision commerciale.</t>
        </is>
      </c>
      <c r="AS45" t="inlineStr">
        <is>
          <t>adresse, ville, budget</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26-60829. Objet: Prestation de propreté des espaces verts de la ville d'Alfortville. Acheteur: Commune d'Alfortville. Lien: https://www.boamp.fr/pages/avis/?q=idweb:26-60829.</t>
        </is>
      </c>
      <c r="AU45" t="inlineStr">
        <is>
          <t>Verifier url_avis et DCE si disponible</t>
        </is>
      </c>
      <c r="AV45" t="inlineStr">
        <is>
          <t>LIEN_SEUL</t>
        </is>
      </c>
      <c r="AW45" t="inlineStr"/>
      <c r="AX45" t="inlineStr"/>
      <c r="AY45" t="inlineStr"/>
      <c r="AZ45" t="inlineStr"/>
      <c r="BA45" t="inlineStr"/>
      <c r="BB45" t="inlineStr">
        <is>
          <t>+30 mots-cles nettoyage forts | +10 budget non affiche (a verifier) | +5 delai court 15j</t>
        </is>
      </c>
      <c r="BC45" t="inlineStr">
        <is>
          <t>Commune d'Alfortville publie un AO potentiellement pertinent pour CHRUTH : Prestation de propreté des espaces verts de la ville d'Alfortville. Zone : 94. Budget a verifier. Verifier le lien source avant contact.</t>
        </is>
      </c>
      <c r="BD45" t="inlineStr">
        <is>
          <t>Bonjour,
Je me permets de vous contacter au sujet de votre appel d'offres : Prestation de propreté des espaces verts de la ville d'Alfortville.
CHRUTH accompagne les structures publiques et privées sur les besoins de nettoyage, d'entretien des locaux et d'organisation de prestations de service.
Serait-il possible d'échanger rapidement afin de vérifier les modalités de réponse et les attentes de Commune d'Alfortville ?
Cordialement,</t>
        </is>
      </c>
      <c r="BE45" t="inlineStr">
        <is>
          <t>Bonjour, je vous appelle concernant un appel d'offres publié par Commune d'Alfortville. Je souhaite vérifier les informations pratiques : périmètre des prestations, date limite, modalités de visite, contact technique et pièces attendues. Pouvez-vous m'indiquer la bonne personne à contacter ?</t>
        </is>
      </c>
      <c r="BF45" t="inlineStr"/>
      <c r="BG45" t="inlineStr"/>
      <c r="BH45" t="inlineStr"/>
      <c r="BI45" t="inlineStr"/>
      <c r="BJ45" t="inlineStr"/>
      <c r="BK45" t="inlineStr"/>
      <c r="BL45" t="inlineStr"/>
      <c r="BM45" t="inlineStr">
        <is>
          <t>2026-W25</t>
        </is>
      </c>
    </row>
    <row r="46">
      <c r="A46" t="inlineStr">
        <is>
          <t>BOAMP</t>
        </is>
      </c>
      <c r="B46" t="inlineStr">
        <is>
          <t>26-61133</t>
        </is>
      </c>
      <c r="C46" t="inlineStr">
        <is>
          <t>Marché de nettoyage de fin de chantier</t>
        </is>
      </c>
      <c r="D46" t="inlineStr">
        <is>
          <t>OPPIC</t>
        </is>
      </c>
      <c r="E46" t="inlineStr">
        <is>
          <t>18009208200023</t>
        </is>
      </c>
      <c r="F46" t="inlineStr">
        <is>
          <t>180092082</t>
        </is>
      </c>
      <c r="G46" t="inlineStr"/>
      <c r="H46" t="inlineStr"/>
      <c r="I46" t="inlineStr">
        <is>
          <t>departement.marches@oppic.fr</t>
        </is>
      </c>
      <c r="J46" t="inlineStr">
        <is>
          <t>0920820002</t>
        </is>
      </c>
      <c r="K46" t="inlineStr"/>
      <c r="L46" t="inlineStr"/>
      <c r="M46" t="inlineStr"/>
      <c r="N46" t="inlineStr">
        <is>
          <t>75,77,78,91,92,93,94,95</t>
        </is>
      </c>
      <c r="O46" t="inlineStr"/>
      <c r="P46" t="inlineStr">
        <is>
          <t>Ile-de-France</t>
        </is>
      </c>
      <c r="Q46" s="15" t="n">
        <v>46194</v>
      </c>
      <c r="R46" s="15" t="n">
        <v>46216</v>
      </c>
      <c r="S46" s="14" t="n">
        <v>100000</v>
      </c>
      <c r="T46" t="inlineStr">
        <is>
          <t>BUDGET_EXPLICITE_OK</t>
        </is>
      </c>
      <c r="U46" t="inlineStr">
        <is>
          <t>200000</t>
        </is>
      </c>
      <c r="V46" t="inlineStr">
        <is>
          <t>oui</t>
        </is>
      </c>
      <c r="W46" t="inlineStr">
        <is>
          <t>Batiments</t>
        </is>
      </c>
      <c r="X46" t="inlineStr">
        <is>
          <t>Autre</t>
        </is>
      </c>
      <c r="Y46" t="inlineStr">
        <is>
          <t>SERVICES</t>
        </is>
      </c>
      <c r="Z46" t="inlineStr">
        <is>
          <t>Procédure Ouverte</t>
        </is>
      </c>
      <c r="AA46" t="inlineStr">
        <is>
          <t>Avis de marché</t>
        </is>
      </c>
      <c r="AB46" t="inlineStr">
        <is>
          <t>Bâtiment, Déchets non ménagers (prestations), Nettoyage de locaux</t>
        </is>
      </c>
      <c r="AC46" t="inlineStr"/>
      <c r="AD46" s="11" t="inlineStr">
        <is>
          <t>https://www.boamp.fr/pages/avis/?q=idweb:26-61133</t>
        </is>
      </c>
      <c r="AE46" t="inlineStr">
        <is>
          <t>https://www.marches-publics.gouv.fr</t>
        </is>
      </c>
      <c r="AF46" t="inlineStr">
        <is>
          <t>https://www.marches-publics.gouv.fr</t>
        </is>
      </c>
      <c r="AG46" t="inlineStr">
        <is>
          <t>nettoyage, menage</t>
        </is>
      </c>
      <c r="AH46" t="inlineStr">
        <is>
          <t>3</t>
        </is>
      </c>
      <c r="AI46" t="inlineStr">
        <is>
          <t>76</t>
        </is>
      </c>
      <c r="AJ46" t="inlineStr">
        <is>
          <t>INFO_PARTIELLE</t>
        </is>
      </c>
      <c r="AK46" t="inlineStr">
        <is>
          <t>45</t>
        </is>
      </c>
      <c r="AL46" t="inlineStr">
        <is>
          <t>TIEDE</t>
        </is>
      </c>
      <c r="AM46" t="inlineStr"/>
      <c r="AN46" t="inlineStr"/>
      <c r="AO46" t="inlineStr"/>
      <c r="AP46" t="inlineStr"/>
      <c r="AQ46" t="inlineStr">
        <is>
          <t>IA_CONTACT_A_COMPLETER</t>
        </is>
      </c>
      <c r="AR46" t="inlineStr">
        <is>
          <t>Completer les champs manquants depuis l'avis source, le site acheteur ou le DCE.</t>
        </is>
      </c>
      <c r="AS46" t="inlineStr">
        <is>
          <t>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26-61133. Objet: Marché de nettoyage de fin de chantier. Acheteur: OPPIC. Lien: https://www.boamp.fr/pages/avis/?q=idweb:26-61133.</t>
        </is>
      </c>
      <c r="AU46" t="inlineStr">
        <is>
          <t>Verifier url_avis et DCE si disponible</t>
        </is>
      </c>
      <c r="AV46" t="inlineStr"/>
      <c r="AW46" t="inlineStr"/>
      <c r="AX46" t="inlineStr"/>
      <c r="AY46" t="inlineStr"/>
      <c r="AZ46" t="inlineStr"/>
      <c r="BA46" t="inlineStr"/>
      <c r="BB46" t="inlineStr">
        <is>
          <t>+35 nettoyage + categorie claire | +5 budget annualise &lt;= 200 000 EUR | +5 delai court 8j</t>
        </is>
      </c>
      <c r="BC46" t="inlineStr">
        <is>
          <t>OPPIC publie un AO potentiellement pertinent pour CHRUTH : Marché de nettoyage de fin de chantier. Zone : 75,77,78,91,92,93,94,95. Budget detecte environ 100 000 EUR. Verifier le lien source avant contact.</t>
        </is>
      </c>
      <c r="BD46" t="inlineStr">
        <is>
          <t>Bonjour,
Je me permets de vous contacter au sujet de votre appel d'offres : Marché de nettoyage de fin de chantier.
CHRUTH accompagne les structures publiques et privées sur les besoins de nettoyage, d'entretien des locaux et d'organisation de prestations de service.
Serait-il possible d'échanger rapidement afin de vérifier les modalités de réponse et les attentes de OPPIC ?
Cordialement,</t>
        </is>
      </c>
      <c r="BE46" t="inlineStr">
        <is>
          <t>Bonjour, je vous appelle concernant un appel d'offres publié par OPPIC. Je souhaite vérifier les informations pratiques : périmètre des prestations, date limite, modalités de visite, contact technique et pièces attendues. Pouvez-vous m'indiquer la bonne personne à contacter ?</t>
        </is>
      </c>
      <c r="BF46" t="inlineStr"/>
      <c r="BG46" t="inlineStr"/>
      <c r="BH46" t="inlineStr"/>
      <c r="BI46" t="inlineStr"/>
      <c r="BJ46" t="inlineStr"/>
      <c r="BK46" t="inlineStr"/>
      <c r="BL46" t="inlineStr"/>
      <c r="BM46" t="inlineStr">
        <is>
          <t>2026-W25</t>
        </is>
      </c>
    </row>
    <row r="47">
      <c r="A47" t="inlineStr">
        <is>
          <t>MAXIMILIEN</t>
        </is>
      </c>
      <c r="B47" t="inlineStr">
        <is>
          <t>MX-249ac2b2b557</t>
        </is>
      </c>
      <c r="C47" t="inlineStr">
        <is>
          <t>CHRUTH - 5 nouveaux AO nettoyage IDF (apres-midi 21/06)</t>
        </is>
      </c>
      <c r="D47" t="inlineStr"/>
      <c r="E47" t="inlineStr"/>
      <c r="F47" t="inlineStr"/>
      <c r="G47" t="inlineStr"/>
      <c r="H47" t="inlineStr"/>
      <c r="I47" t="inlineStr"/>
      <c r="J47" t="inlineStr"/>
      <c r="K47" t="inlineStr"/>
      <c r="L47" t="inlineStr"/>
      <c r="M47" t="inlineStr"/>
      <c r="N47" t="inlineStr"/>
      <c r="O47" t="inlineStr"/>
      <c r="P47" t="inlineStr"/>
      <c r="Q47" s="15" t="n">
        <v>46194</v>
      </c>
      <c r="R47" t="inlineStr"/>
      <c r="S47" t="inlineStr"/>
      <c r="T47" t="inlineStr">
        <is>
          <t>A_VERIFIER_BUDGET</t>
        </is>
      </c>
      <c r="U47" t="inlineStr"/>
      <c r="V47" t="inlineStr"/>
      <c r="W47" t="inlineStr">
        <is>
          <t>Batiments/Locaux</t>
        </is>
      </c>
      <c r="X47" t="inlineStr">
        <is>
          <t>Autre</t>
        </is>
      </c>
      <c r="Y47" t="inlineStr"/>
      <c r="Z47" t="inlineStr"/>
      <c r="AA47" t="inlineStr"/>
      <c r="AB47" t="inlineStr"/>
      <c r="AC47" t="inlineStr"/>
      <c r="AD47" s="11" t="inlineStr">
        <is>
          <t>https://marches.maximilien.fr/entreprise/consultation/941627?orgAcronyme=d7d</t>
        </is>
      </c>
      <c r="AE47" t="inlineStr">
        <is>
          <t>https://marches.maximilien.fr/entreprise/consultation/941627?orgAcronyme=d7d</t>
        </is>
      </c>
      <c r="AF47" t="inlineStr"/>
      <c r="AG47" t="inlineStr">
        <is>
          <t>nettoyage</t>
        </is>
      </c>
      <c r="AH47" t="inlineStr"/>
      <c r="AI47" t="inlineStr">
        <is>
          <t>30</t>
        </is>
      </c>
      <c r="AJ47" t="inlineStr">
        <is>
          <t>DCE_A_TELECHARGER</t>
        </is>
      </c>
      <c r="AK47" t="inlineStr">
        <is>
          <t>45</t>
        </is>
      </c>
      <c r="AL47" s="16" t="inlineStr">
        <is>
          <t>A_VERIFIER</t>
        </is>
      </c>
      <c r="AM47" t="inlineStr"/>
      <c r="AN47" t="inlineStr"/>
      <c r="AO47" t="inlineStr"/>
      <c r="AP47" t="inlineStr"/>
      <c r="AQ47" t="inlineStr">
        <is>
          <t>IA_DCE_REQUISE</t>
        </is>
      </c>
      <c r="AR47" t="inlineStr">
        <is>
          <t>Telecharger ou ouvrir le DCE, puis extraire contact, budget, perimetre et contraintes.</t>
        </is>
      </c>
      <c r="AS47" t="inlineStr">
        <is>
          <t>SIRET, email, telephone, adresse, ville, budget</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MX-249ac2b2b557. Objet: CHRUTH - 5 nouveaux AO nettoyage IDF (apres-midi 21/06). Acheteur: . Lien: https://marches.maximilien.fr/entreprise/consultation/941627?orgAcronyme=d7d.</t>
        </is>
      </c>
      <c r="AU47" t="inlineStr">
        <is>
          <t>Verifier url_avis et DCE si disponible</t>
        </is>
      </c>
      <c r="AV47" t="inlineStr">
        <is>
          <t>LIEN_SEUL</t>
        </is>
      </c>
      <c r="AW47" t="inlineStr"/>
      <c r="AX47" t="inlineStr"/>
      <c r="AY47" t="inlineStr"/>
      <c r="AZ47" t="inlineStr"/>
      <c r="BA47" t="inlineStr"/>
      <c r="BB47" t="inlineStr">
        <is>
          <t>+35 nettoyage + categorie claire | +10 budget non affiche (a verifier) | 0 date limite absente</t>
        </is>
      </c>
      <c r="BC47" t="inlineStr"/>
      <c r="BD47" t="inlineStr"/>
      <c r="BE47" t="inlineStr"/>
      <c r="BF47" t="inlineStr"/>
      <c r="BG47" t="inlineStr"/>
      <c r="BH47" t="inlineStr"/>
      <c r="BI47" t="inlineStr"/>
      <c r="BJ47" t="inlineStr"/>
      <c r="BK47" t="inlineStr"/>
      <c r="BL47" t="inlineStr"/>
      <c r="BM47" t="inlineStr">
        <is>
          <t>2026-W25</t>
        </is>
      </c>
    </row>
    <row r="48">
      <c r="A48" t="inlineStr">
        <is>
          <t>MAXIMILIEN</t>
        </is>
      </c>
      <c r="B48" t="inlineStr">
        <is>
          <t>MX-baa796e6137e</t>
        </is>
      </c>
      <c r="C48" t="inlineStr">
        <is>
          <t>CHRUTH - 4 nouveaux AO nettoyage IDF (apres-midi 17/06)</t>
        </is>
      </c>
      <c r="D48" t="inlineStr"/>
      <c r="E48" t="inlineStr"/>
      <c r="F48" t="inlineStr"/>
      <c r="G48" t="inlineStr"/>
      <c r="H48" t="inlineStr"/>
      <c r="I48" t="inlineStr"/>
      <c r="J48" t="inlineStr"/>
      <c r="K48" t="inlineStr"/>
      <c r="L48" t="inlineStr"/>
      <c r="M48" t="inlineStr"/>
      <c r="N48" t="inlineStr"/>
      <c r="O48" t="inlineStr"/>
      <c r="P48" t="inlineStr"/>
      <c r="Q48" s="15" t="n">
        <v>46190</v>
      </c>
      <c r="R48" t="inlineStr"/>
      <c r="S48" t="inlineStr"/>
      <c r="T48" t="inlineStr">
        <is>
          <t>A_VERIFIER_BUDGET</t>
        </is>
      </c>
      <c r="U48" t="inlineStr"/>
      <c r="V48" t="inlineStr"/>
      <c r="W48" t="inlineStr">
        <is>
          <t>Batiments/Locaux</t>
        </is>
      </c>
      <c r="X48" t="inlineStr">
        <is>
          <t>Autre</t>
        </is>
      </c>
      <c r="Y48" t="inlineStr"/>
      <c r="Z48" t="inlineStr"/>
      <c r="AA48" t="inlineStr"/>
      <c r="AB48" t="inlineStr"/>
      <c r="AC48" t="inlineStr"/>
      <c r="AD48" s="11" t="inlineStr">
        <is>
          <t>https://marches.maximilien.fr/entreprise/consultation/939069?orgAcronyme=d8e</t>
        </is>
      </c>
      <c r="AE48" t="inlineStr">
        <is>
          <t>https://marches.maximilien.fr/entreprise/consultation/939069?orgAcronyme=d8e</t>
        </is>
      </c>
      <c r="AF48" t="inlineStr"/>
      <c r="AG48" t="inlineStr">
        <is>
          <t>nettoyage</t>
        </is>
      </c>
      <c r="AH48" t="inlineStr"/>
      <c r="AI48" t="inlineStr">
        <is>
          <t>30</t>
        </is>
      </c>
      <c r="AJ48" t="inlineStr">
        <is>
          <t>DCE_A_TELECHARGER</t>
        </is>
      </c>
      <c r="AK48" t="inlineStr">
        <is>
          <t>45</t>
        </is>
      </c>
      <c r="AL48" s="16" t="inlineStr">
        <is>
          <t>A_VERIFIER</t>
        </is>
      </c>
      <c r="AM48" t="inlineStr"/>
      <c r="AN48" t="inlineStr"/>
      <c r="AO48" t="inlineStr"/>
      <c r="AP48" t="inlineStr"/>
      <c r="AQ48" t="inlineStr">
        <is>
          <t>IA_DCE_REQUISE</t>
        </is>
      </c>
      <c r="AR48" t="inlineStr">
        <is>
          <t>Telecharger ou ouvrir le DCE, puis extraire contact, budget, perimetre et contraintes.</t>
        </is>
      </c>
      <c r="AS48" t="inlineStr">
        <is>
          <t>SIRET, email, telephone, adresse, ville, budget</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MX-baa796e6137e. Objet: CHRUTH - 4 nouveaux AO nettoyage IDF (apres-midi 17/06). Acheteur: . Lien: https://marches.maximilien.fr/entreprise/consultation/939069?orgAcronyme=d8e.</t>
        </is>
      </c>
      <c r="AU48" t="inlineStr">
        <is>
          <t>Verifier url_avis et DCE si disponible</t>
        </is>
      </c>
      <c r="AV48" t="inlineStr">
        <is>
          <t>LIEN_SEUL</t>
        </is>
      </c>
      <c r="AW48" t="inlineStr"/>
      <c r="AX48" t="inlineStr"/>
      <c r="AY48" t="inlineStr"/>
      <c r="AZ48" t="inlineStr"/>
      <c r="BA48" t="inlineStr"/>
      <c r="BB48" t="inlineStr">
        <is>
          <t>+35 nettoyage + categorie claire | +10 budget non affiche (a verifier) | 0 date limite absente</t>
        </is>
      </c>
      <c r="BC48" t="inlineStr"/>
      <c r="BD48" t="inlineStr"/>
      <c r="BE48" t="inlineStr"/>
      <c r="BF48" t="inlineStr"/>
      <c r="BG48" t="inlineStr"/>
      <c r="BH48" t="inlineStr"/>
      <c r="BI48" t="inlineStr"/>
      <c r="BJ48" t="inlineStr"/>
      <c r="BK48" t="inlineStr"/>
      <c r="BL48" t="inlineStr"/>
      <c r="BM48" t="inlineStr">
        <is>
          <t>2026-W25</t>
        </is>
      </c>
    </row>
    <row r="49">
      <c r="A49" t="inlineStr">
        <is>
          <t>BOAMP</t>
        </is>
      </c>
      <c r="B49" t="inlineStr">
        <is>
          <t>26-56896</t>
        </is>
      </c>
      <c r="C49" t="inlineStr">
        <is>
          <t>PRESTATIONS DE NETTOYAGE DE LOCAUX COMMUNAUX DIVERS DE LA VILLE DE MONTROUGE</t>
        </is>
      </c>
      <c r="D49" t="inlineStr">
        <is>
          <t>Ville de Montrouge</t>
        </is>
      </c>
      <c r="E49" t="inlineStr"/>
      <c r="F49" t="inlineStr"/>
      <c r="G49" t="inlineStr"/>
      <c r="H49" t="inlineStr"/>
      <c r="I49" t="inlineStr">
        <is>
          <t>j.marius@ville-montrouge.fr</t>
        </is>
      </c>
      <c r="J49" t="inlineStr">
        <is>
          <t>0428-4817-89</t>
        </is>
      </c>
      <c r="K49" t="inlineStr"/>
      <c r="L49" t="inlineStr"/>
      <c r="M49" t="inlineStr"/>
      <c r="N49" t="inlineStr">
        <is>
          <t>92</t>
        </is>
      </c>
      <c r="O49" t="inlineStr"/>
      <c r="P49" t="inlineStr">
        <is>
          <t>Ile-de-France</t>
        </is>
      </c>
      <c r="Q49" s="15" t="n">
        <v>46184</v>
      </c>
      <c r="R49" s="15" t="n">
        <v>46212</v>
      </c>
      <c r="S49" s="14" t="n">
        <v>230000</v>
      </c>
      <c r="T49" t="inlineStr">
        <is>
          <t>BUDGET_EXPLICITE_OK</t>
        </is>
      </c>
      <c r="U49" t="inlineStr">
        <is>
          <t>230000</t>
        </is>
      </c>
      <c r="V49" t="inlineStr">
        <is>
          <t>oui</t>
        </is>
      </c>
      <c r="W49" t="inlineStr">
        <is>
          <t>Batiments</t>
        </is>
      </c>
      <c r="X49" t="inlineStr">
        <is>
          <t>Mairie</t>
        </is>
      </c>
      <c r="Y49" t="inlineStr">
        <is>
          <t>SERVICES</t>
        </is>
      </c>
      <c r="Z49" t="inlineStr">
        <is>
          <t>Procédure Ouverte</t>
        </is>
      </c>
      <c r="AA49" t="inlineStr">
        <is>
          <t>Avis de marché</t>
        </is>
      </c>
      <c r="AB49" t="inlineStr">
        <is>
          <t>Nettoyage de locaux</t>
        </is>
      </c>
      <c r="AC49" t="inlineStr">
        <is>
          <t>['sociaux', 'environnementaux']</t>
        </is>
      </c>
      <c r="AD49" s="11" t="inlineStr">
        <is>
          <t>https://www.boamp.fr/pages/avis/?q=idweb:26-56896</t>
        </is>
      </c>
      <c r="AE49" t="inlineStr">
        <is>
          <t>https://www.achatpublic.com/sdm/ent/gen/ent_detail.do?PCSLID=CSL_2026_FSmPNMa43l</t>
        </is>
      </c>
      <c r="AF49" t="inlineStr">
        <is>
          <t>https://www.achatpublic.com/sdm/ent/gen/ent_detail.do?PCSLID=CSL_2026_FSmPNMa43l</t>
        </is>
      </c>
      <c r="AG49" t="inlineStr">
        <is>
          <t>nettoyage, proprete</t>
        </is>
      </c>
      <c r="AH49" t="inlineStr">
        <is>
          <t>2</t>
        </is>
      </c>
      <c r="AI49" t="inlineStr">
        <is>
          <t>66</t>
        </is>
      </c>
      <c r="AJ49" t="inlineStr">
        <is>
          <t>INFO_PARTIELLE</t>
        </is>
      </c>
      <c r="AK49" t="inlineStr">
        <is>
          <t>45</t>
        </is>
      </c>
      <c r="AL49" t="inlineStr">
        <is>
          <t>TIEDE</t>
        </is>
      </c>
      <c r="AM49" t="inlineStr"/>
      <c r="AN49" t="inlineStr"/>
      <c r="AO49" t="inlineStr"/>
      <c r="AP49" t="inlineStr"/>
      <c r="AQ49" t="inlineStr">
        <is>
          <t>IA_CONTACT_A_COMPLETER</t>
        </is>
      </c>
      <c r="AR49" t="inlineStr">
        <is>
          <t>Completer les champs manquants depuis l'avis source, le site acheteur ou le DCE.</t>
        </is>
      </c>
      <c r="AS49" t="inlineStr">
        <is>
          <t>SIRET, adresse, ville</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26-56896. Objet: PRESTATIONS DE NETTOYAGE DE LOCAUX COMMUNAUX DIVERS DE LA VILLE DE MONTROUGE. Acheteur: Ville de Montrouge. Lien: https://www.boamp.fr/pages/avis/?q=idweb:26-56896.</t>
        </is>
      </c>
      <c r="AU49" t="inlineStr">
        <is>
          <t>Verifier url_avis et DCE si disponible</t>
        </is>
      </c>
      <c r="AV49" t="inlineStr"/>
      <c r="AW49" t="inlineStr"/>
      <c r="AX49" t="inlineStr"/>
      <c r="AY49" t="inlineStr"/>
      <c r="AZ49" t="inlineStr"/>
      <c r="BA49" t="inlineStr"/>
      <c r="BB49" t="inlineStr">
        <is>
          <t>+35 nettoyage + categorie claire | -10 budget annualise &lt;= 500 000 EUR | +10 secteur cible Mairie | +10 delai confortable 17j</t>
        </is>
      </c>
      <c r="BC49" t="inlineStr">
        <is>
          <t>Ville de Montrouge publie un AO potentiellement pertinent pour CHRUTH : PRESTATIONS DE NETTOYAGE DE LOCAUX COMMUNAUX DIVERS DE LA VILLE DE MONTROUGE. Zone : 92. Budget detecte environ 230 000 EUR. Verifier le lien source avant contact.</t>
        </is>
      </c>
      <c r="BD49" t="inlineStr">
        <is>
          <t>Bonjour,
Je me permets de vous contacter au sujet de votre appel d'offres : PRESTATIONS DE NETTOYAGE DE LOCAUX COMMUNAUX DIVERS DE LA VILLE DE MONTROUGE.
CHRUTH accompagne les structures publiques et privees sur les besoins de nettoyage, d'entretien des locaux et d'organisation de prestations de service.
Serait-il possible d'echanger rapidement afin de verifier les modalites de reponse et les attentes de Ville de Montrouge ?
Cordialement,</t>
        </is>
      </c>
      <c r="BE49" t="inlineStr">
        <is>
          <t>Bonjour, je vous appelle concernant un appel d'offres publie par Ville de Montrouge. Je souhaite verifier les informations pratiques : perimetre des prestations, date limite, modalites de visite, contact technique et pieces attendues. Pouvez-vous m'indiquer la bonne personne a contacter ?</t>
        </is>
      </c>
      <c r="BF49" t="inlineStr"/>
      <c r="BG49" t="inlineStr"/>
      <c r="BH49" t="inlineStr"/>
      <c r="BI49" t="inlineStr"/>
      <c r="BJ49" t="inlineStr"/>
      <c r="BK49" t="inlineStr"/>
      <c r="BL49" t="inlineStr"/>
      <c r="BM49" t="inlineStr">
        <is>
          <t>2026-W24</t>
        </is>
      </c>
    </row>
    <row r="50">
      <c r="A50" t="inlineStr">
        <is>
          <t>BOAMP</t>
        </is>
      </c>
      <c r="B50" t="inlineStr">
        <is>
          <t>26-60093</t>
        </is>
      </c>
      <c r="C50" t="inlineStr">
        <is>
          <t>Mise en propreté des abords du site principal du Centre National d’Art et de Culture Georges Pompidou et des bâtiments annexes (CNAC-GP) (2 lots) - Vague 2 : lot 2 (26-CP04-044-AC)</t>
        </is>
      </c>
      <c r="D50" t="inlineStr">
        <is>
          <t>CENTRE POMPIDOU</t>
        </is>
      </c>
      <c r="E50" t="inlineStr">
        <is>
          <t>18004602100028</t>
        </is>
      </c>
      <c r="F50" t="inlineStr">
        <is>
          <t>180046021</t>
        </is>
      </c>
      <c r="G50" t="inlineStr"/>
      <c r="H50" t="inlineStr"/>
      <c r="I50" t="inlineStr">
        <is>
          <t>achat@centrepompidou.fr</t>
        </is>
      </c>
      <c r="J50" t="inlineStr">
        <is>
          <t>0460210002</t>
        </is>
      </c>
      <c r="K50" t="inlineStr"/>
      <c r="L50" t="inlineStr"/>
      <c r="M50" t="inlineStr"/>
      <c r="N50" t="inlineStr">
        <is>
          <t>75</t>
        </is>
      </c>
      <c r="O50" t="inlineStr"/>
      <c r="P50" t="inlineStr">
        <is>
          <t>Ile-de-France</t>
        </is>
      </c>
      <c r="Q50" s="15" t="n">
        <v>46192</v>
      </c>
      <c r="R50" s="15" t="n">
        <v>46223</v>
      </c>
      <c r="S50" s="14" t="n">
        <v>600000</v>
      </c>
      <c r="T50" t="inlineStr">
        <is>
          <t>BUDGET_EXPLICITE_OK</t>
        </is>
      </c>
      <c r="U50" t="inlineStr">
        <is>
          <t>600000.0</t>
        </is>
      </c>
      <c r="V50" t="inlineStr">
        <is>
          <t>non</t>
        </is>
      </c>
      <c r="W50" t="inlineStr">
        <is>
          <t>Batiments</t>
        </is>
      </c>
      <c r="X50" t="inlineStr">
        <is>
          <t>Autre</t>
        </is>
      </c>
      <c r="Y50" t="inlineStr">
        <is>
          <t>SERVICES</t>
        </is>
      </c>
      <c r="Z50" t="inlineStr">
        <is>
          <t>Procédure Ouverte</t>
        </is>
      </c>
      <c r="AA50" t="inlineStr">
        <is>
          <t>Avis de marché</t>
        </is>
      </c>
      <c r="AB50" t="inlineStr">
        <is>
          <t>Nettoyage de locaux</t>
        </is>
      </c>
      <c r="AC50" t="inlineStr">
        <is>
          <t>['sociaux', 'environnementaux']</t>
        </is>
      </c>
      <c r="AD50" s="11" t="inlineStr">
        <is>
          <t>https://www.boamp.fr/pages/avis/?q=idweb:26-60093</t>
        </is>
      </c>
      <c r="AE50" t="inlineStr">
        <is>
          <t>https://www.marches-publics.gouv.fr/</t>
        </is>
      </c>
      <c r="AF50" t="inlineStr">
        <is>
          <t>https://www.marches-publics.gouv.fr/</t>
        </is>
      </c>
      <c r="AG50" t="inlineStr">
        <is>
          <t>nettoyage, proprete</t>
        </is>
      </c>
      <c r="AH50" t="inlineStr">
        <is>
          <t>3</t>
        </is>
      </c>
      <c r="AI50" t="inlineStr">
        <is>
          <t>76</t>
        </is>
      </c>
      <c r="AJ50" t="inlineStr">
        <is>
          <t>INFO_PARTIELLE</t>
        </is>
      </c>
      <c r="AK50" t="inlineStr">
        <is>
          <t>40</t>
        </is>
      </c>
      <c r="AL50" t="inlineStr">
        <is>
          <t>TIEDE</t>
        </is>
      </c>
      <c r="AM50" t="inlineStr"/>
      <c r="AN50" t="inlineStr"/>
      <c r="AO50" t="inlineStr"/>
      <c r="AP50" t="inlineStr"/>
      <c r="AQ50" t="inlineStr">
        <is>
          <t>IA_CONTACT_A_COMPLETER</t>
        </is>
      </c>
      <c r="AR50" t="inlineStr">
        <is>
          <t>Completer les champs manquants depuis l'avis source, le site acheteur ou le DCE.</t>
        </is>
      </c>
      <c r="AS50" t="inlineStr">
        <is>
          <t>adresse, ville</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26-60093. Objet: Mise en propreté des abords du site principal du Centre National d’Art et de Culture Georges Pompidou et des bâtiments annexes (CNAC-GP) (2 lots) - Vague 2 : lot 2 (26-CP04-044-AC). Acheteur: CENTRE POMPIDOU. Lien: https://www.boamp.fr/pages/avis/?q=idweb:26-60093.</t>
        </is>
      </c>
      <c r="AU50" t="inlineStr">
        <is>
          <t>Verifier url_avis et DCE si disponible</t>
        </is>
      </c>
      <c r="AV50" t="inlineStr"/>
      <c r="AW50" t="inlineStr"/>
      <c r="AX50" t="inlineStr"/>
      <c r="AY50" t="inlineStr"/>
      <c r="AZ50" t="inlineStr"/>
      <c r="BA50" t="inlineStr"/>
      <c r="BB50" t="inlineStr">
        <is>
          <t>+35 nettoyage + categorie claire | -20 gros budget (&gt; 500 000 EUR) | +15 procedure adaptee / MAPA / allotissement | +10 delai confortable 17j</t>
        </is>
      </c>
      <c r="BC50"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50"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50"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50" t="inlineStr"/>
      <c r="BG50" t="inlineStr"/>
      <c r="BH50" t="inlineStr"/>
      <c r="BI50" t="inlineStr"/>
      <c r="BJ50" t="inlineStr"/>
      <c r="BK50" t="inlineStr"/>
      <c r="BL50" t="inlineStr"/>
      <c r="BM50" t="inlineStr">
        <is>
          <t>2026-W25</t>
        </is>
      </c>
    </row>
    <row r="51">
      <c r="A51" t="inlineStr">
        <is>
          <t>BOAMP</t>
        </is>
      </c>
      <c r="B51" t="inlineStr">
        <is>
          <t>26-61430</t>
        </is>
      </c>
      <c r="C51" t="inlineStr">
        <is>
          <t>Prestations de santé au travail et de médecine préventive pour les agents de la Mairie de Rueil-Malmaison</t>
        </is>
      </c>
      <c r="D51" t="inlineStr">
        <is>
          <t>Commune de Rueil-Malmaison</t>
        </is>
      </c>
      <c r="E51" t="inlineStr">
        <is>
          <t>21920063100014</t>
        </is>
      </c>
      <c r="F51" t="inlineStr">
        <is>
          <t>219200631</t>
        </is>
      </c>
      <c r="G51" t="inlineStr"/>
      <c r="H51" t="inlineStr"/>
      <c r="I51" t="inlineStr">
        <is>
          <t>marches.publics@mairie-rueilmalmaison.fr</t>
        </is>
      </c>
      <c r="J51" t="inlineStr">
        <is>
          <t>+33 147145409</t>
        </is>
      </c>
      <c r="K51" t="inlineStr"/>
      <c r="L51" t="inlineStr"/>
      <c r="M51" t="inlineStr"/>
      <c r="N51" t="inlineStr">
        <is>
          <t>92</t>
        </is>
      </c>
      <c r="O51" t="inlineStr"/>
      <c r="P51" t="inlineStr">
        <is>
          <t>Ile-de-France</t>
        </is>
      </c>
      <c r="Q51" s="15" t="n">
        <v>46197</v>
      </c>
      <c r="R51" s="15" t="n">
        <v>46230</v>
      </c>
      <c r="S51" s="14" t="n">
        <v>1200000</v>
      </c>
      <c r="T51" t="inlineStr">
        <is>
          <t>BUDGET_EXPLICITE_OK</t>
        </is>
      </c>
      <c r="U51" t="inlineStr">
        <is>
          <t>1200000.0</t>
        </is>
      </c>
      <c r="V51" t="inlineStr">
        <is>
          <t>non</t>
        </is>
      </c>
      <c r="W51" t="inlineStr">
        <is>
          <t>Batiments</t>
        </is>
      </c>
      <c r="X51" t="inlineStr">
        <is>
          <t>Mairie</t>
        </is>
      </c>
      <c r="Y51" t="inlineStr">
        <is>
          <t>SERVICES</t>
        </is>
      </c>
      <c r="Z51" t="inlineStr">
        <is>
          <t>Procédure Ouverte</t>
        </is>
      </c>
      <c r="AA51" t="inlineStr">
        <is>
          <t>Avis de marché</t>
        </is>
      </c>
      <c r="AB51" t="inlineStr">
        <is>
          <t>Nettoyage de locaux</t>
        </is>
      </c>
      <c r="AC51" t="inlineStr"/>
      <c r="AD51" s="11" t="inlineStr">
        <is>
          <t>https://www.boamp.fr/pages/avis/?q=idweb:26-61430</t>
        </is>
      </c>
      <c r="AE51" t="inlineStr">
        <is>
          <t>https://marches.maximilien.fr/entreprise/consultation/941155?orgAcronyme=d7h</t>
        </is>
      </c>
      <c r="AF51" t="inlineStr">
        <is>
          <t>https://marches.maximilien.fr/entreprise/consultation/941155?orgAcronyme=d7h</t>
        </is>
      </c>
      <c r="AG51" t="inlineStr">
        <is>
          <t>nettoyage</t>
        </is>
      </c>
      <c r="AH51" t="inlineStr">
        <is>
          <t>3</t>
        </is>
      </c>
      <c r="AI51" t="inlineStr">
        <is>
          <t>68</t>
        </is>
      </c>
      <c r="AJ51" t="inlineStr">
        <is>
          <t>INFO_PARTIELLE</t>
        </is>
      </c>
      <c r="AK51" t="inlineStr">
        <is>
          <t>35</t>
        </is>
      </c>
      <c r="AL51" s="17" t="inlineStr">
        <is>
          <t>FROID</t>
        </is>
      </c>
      <c r="AM51" t="inlineStr"/>
      <c r="AN51" t="inlineStr"/>
      <c r="AO51" t="inlineStr"/>
      <c r="AP51" t="inlineStr"/>
      <c r="AQ51" t="inlineStr">
        <is>
          <t>IA_CONTACT_A_COMPLETER</t>
        </is>
      </c>
      <c r="AR51" t="inlineStr">
        <is>
          <t>Completer les champs manquants depuis l'avis source, le site acheteur ou le DCE.</t>
        </is>
      </c>
      <c r="AS51" t="inlineStr">
        <is>
          <t>adresse, ville</t>
        </is>
      </c>
      <c r="AT5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26-61430. Objet: Prestations de santé au travail et de médecine préventive pour les agents de la Mairie de Rueil-Malmaison. Acheteur: Commune de Rueil-Malmaison. Lien: https://www.boamp.fr/pages/avis/?q=idweb:26-61430.</t>
        </is>
      </c>
      <c r="AU51" t="inlineStr">
        <is>
          <t>Verifier url_avis et DCE si disponible</t>
        </is>
      </c>
      <c r="AV51" t="inlineStr"/>
      <c r="AW51" t="inlineStr"/>
      <c r="AX51" t="inlineStr"/>
      <c r="AY51" t="inlineStr"/>
      <c r="AZ51" t="inlineStr"/>
      <c r="BA51" t="inlineStr"/>
      <c r="BB51" t="inlineStr">
        <is>
          <t>+35 nettoyage + categorie claire | -20 gros budget (&gt; 500 000 EUR) | +10 secteur cible Mairie | +10 delai confortable 21j</t>
        </is>
      </c>
      <c r="BC51" t="inlineStr">
        <is>
          <t>Commune de Rueil-Malmaison publie un AO potentiellement pertinent pour CHRUTH : Prestations de santé au travail et de médecine préventive pour les agents de la Mairie de Rueil-Malmaison. Zone : 92. Budget detecte environ 1 200 000 EUR. Verifier le lien source avant contact.</t>
        </is>
      </c>
      <c r="BD51" t="inlineStr">
        <is>
          <t>Bonjour,
Je me permets de vous contacter au sujet de votre appel d'offres : Prestations de santé au travail et de médecine préventive pour les agents de la Mairie de Rueil-Malmaison.
CHRUTH accompagne les structures publiques et privées sur les besoins de nettoyage, d'entretien des locaux et d'organisation de prestations de service.
Serait-il possible d'échanger rapidement afin de vérifier les modalités de réponse et les attentes de Commune de Rueil-Malmaison ?
Cordialement,</t>
        </is>
      </c>
      <c r="BE51" t="inlineStr">
        <is>
          <t>Bonjour, je vous appelle concernant un appel d'offres publié par Commune de Rueil-Malmaison. Je souhaite vérifier les informations pratiques : périmètre des prestations, date limite, modalités de visite, contact technique et pièces attendues. Pouvez-vous m'indiquer la bonne personne à contacter ?</t>
        </is>
      </c>
      <c r="BF51" t="inlineStr"/>
      <c r="BG51" t="inlineStr"/>
      <c r="BH51" t="inlineStr"/>
      <c r="BI51" t="inlineStr"/>
      <c r="BJ51" t="inlineStr"/>
      <c r="BK51" t="inlineStr"/>
      <c r="BL51" t="inlineStr"/>
      <c r="BM51" t="inlineStr">
        <is>
          <t>2026-W26</t>
        </is>
      </c>
    </row>
    <row r="52">
      <c r="A52" t="inlineStr">
        <is>
          <t>BOAMP</t>
        </is>
      </c>
      <c r="B52" t="inlineStr">
        <is>
          <t>26-60020</t>
        </is>
      </c>
      <c r="C52" t="inlineStr">
        <is>
          <t>Entretien et nettoyage de l’ensemble des locaux du SIGIDURS</t>
        </is>
      </c>
      <c r="D52" t="inlineStr">
        <is>
          <t>SIGIDURS</t>
        </is>
      </c>
      <c r="E52" t="inlineStr">
        <is>
          <t>25950208600012</t>
        </is>
      </c>
      <c r="F52" t="inlineStr">
        <is>
          <t>259502086</t>
        </is>
      </c>
      <c r="G52" t="inlineStr">
        <is>
          <t>Jean-Claude GENIES</t>
        </is>
      </c>
      <c r="H52" t="inlineStr"/>
      <c r="I52" t="inlineStr">
        <is>
          <t>marchespublics@sigidurs.fr</t>
        </is>
      </c>
      <c r="J52" t="inlineStr">
        <is>
          <t>0208600012</t>
        </is>
      </c>
      <c r="K52" t="inlineStr">
        <is>
          <t>Plusieurs lieux</t>
        </is>
      </c>
      <c r="L52" t="inlineStr">
        <is>
          <t>95200</t>
        </is>
      </c>
      <c r="M52" t="inlineStr">
        <is>
          <t>Sarcelles</t>
        </is>
      </c>
      <c r="N52" t="inlineStr">
        <is>
          <t>95</t>
        </is>
      </c>
      <c r="O52" t="inlineStr"/>
      <c r="P52" t="inlineStr">
        <is>
          <t>Ile-de-France</t>
        </is>
      </c>
      <c r="Q52" s="15" t="n">
        <v>46190</v>
      </c>
      <c r="R52" s="15" t="n">
        <v>46280</v>
      </c>
      <c r="S52" s="14" t="n">
        <v>95200</v>
      </c>
      <c r="T52" t="inlineStr">
        <is>
          <t>BUDGET_SOUS_SEUIL</t>
        </is>
      </c>
      <c r="U52" t="inlineStr">
        <is>
          <t>380800</t>
        </is>
      </c>
      <c r="V52" t="inlineStr">
        <is>
          <t>oui</t>
        </is>
      </c>
      <c r="W52" t="inlineStr">
        <is>
          <t>Batiments</t>
        </is>
      </c>
      <c r="X52" t="inlineStr">
        <is>
          <t>Autre</t>
        </is>
      </c>
      <c r="Y52" t="inlineStr">
        <is>
          <t>SERVICES</t>
        </is>
      </c>
      <c r="Z52" t="inlineStr">
        <is>
          <t>Procédure Ouverte</t>
        </is>
      </c>
      <c r="AA52" t="inlineStr">
        <is>
          <t>Avis de marché</t>
        </is>
      </c>
      <c r="AB52" t="inlineStr">
        <is>
          <t>Nettoyage de locaux</t>
        </is>
      </c>
      <c r="AC52" t="inlineStr"/>
      <c r="AD52" s="11" t="inlineStr">
        <is>
          <t>https://www.boamp.fr/pages/avis/?q=idweb:26-60020</t>
        </is>
      </c>
      <c r="AE52" t="inlineStr">
        <is>
          <t>https://www.achatpublic.com/</t>
        </is>
      </c>
      <c r="AF52" t="inlineStr">
        <is>
          <t>https://www.achatpublic.com/</t>
        </is>
      </c>
      <c r="AG52" t="inlineStr">
        <is>
          <t>nettoyage</t>
        </is>
      </c>
      <c r="AH52" t="inlineStr">
        <is>
          <t>6</t>
        </is>
      </c>
      <c r="AI52" t="inlineStr">
        <is>
          <t>98</t>
        </is>
      </c>
      <c r="AJ52" t="inlineStr">
        <is>
          <t>INFO_PARTIELLE</t>
        </is>
      </c>
      <c r="AK52" t="inlineStr">
        <is>
          <t>35</t>
        </is>
      </c>
      <c r="AL52" s="17" t="inlineStr">
        <is>
          <t>FROID</t>
        </is>
      </c>
      <c r="AM52" t="inlineStr"/>
      <c r="AN52" t="inlineStr"/>
      <c r="AO52" t="inlineStr"/>
      <c r="AP52" t="inlineStr"/>
      <c r="AQ52" t="inlineStr">
        <is>
          <t>IA_CONTROLE_SOURCE</t>
        </is>
      </c>
      <c r="AR52" t="inlineStr">
        <is>
          <t>Verifier rapidement la source avant contact.</t>
        </is>
      </c>
      <c r="AS52" t="inlineStr">
        <is>
          <t>Aucun champ critique manquant</t>
        </is>
      </c>
      <c r="AT5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26-60020. Objet: Entretien et nettoyage de l’ensemble des locaux du SIGIDURS. Acheteur: SIGIDURS. Lien: https://www.boamp.fr/pages/avis/?q=idweb:26-60020.</t>
        </is>
      </c>
      <c r="AU52" t="inlineStr">
        <is>
          <t>Verifier url_avis et DCE si disponible</t>
        </is>
      </c>
      <c r="AV52" t="inlineStr"/>
      <c r="AW52" t="inlineStr"/>
      <c r="AX52" t="inlineStr"/>
      <c r="AY52" t="inlineStr"/>
      <c r="AZ52" t="inlineStr"/>
      <c r="BA52" t="inlineStr"/>
      <c r="BB52" t="inlineStr">
        <is>
          <t>+35 nettoyage + categorie claire | -10 budget annualise &lt;= 500 000 EUR | +10 delai confortable 85j</t>
        </is>
      </c>
      <c r="BC52" t="inlineStr">
        <is>
          <t>SIGIDURS publie un AO potentiellement pertinent pour CHRUTH : Entretien et nettoyage de l’ensemble des locaux du SIGIDURS. Zone : Sarcelles. Budget detecte environ 95 200 EUR. Verifier le lien source avant contact.</t>
        </is>
      </c>
      <c r="BD52" t="inlineStr">
        <is>
          <t>Bonjour,
Je me permets de vous contacter au sujet de votre appel d'offres : Entretien et nettoyage de l’ensemble des locaux du SIGIDURS.
CHRUTH accompagne les structures publiques et privees sur les besoins de nettoyage, d'entretien des locaux et d'organisation de prestations de service.
Serait-il possible d'echanger rapidement afin de verifier les modalites de reponse et les attentes de SIGIDURS ?
Cordialement,</t>
        </is>
      </c>
      <c r="BE52" t="inlineStr">
        <is>
          <t>Bonjour, je vous appelle concernant un appel d'offres publie par SIGIDURS. Je souhaite verifier les informations pratiques : perimetre des prestations, date limite, modalites de visite, contact technique et pieces attendues. Pouvez-vous m'indiquer la bonne personne a contacter ?</t>
        </is>
      </c>
      <c r="BF52" t="inlineStr"/>
      <c r="BG52" t="inlineStr"/>
      <c r="BH52" t="inlineStr"/>
      <c r="BI52" t="inlineStr"/>
      <c r="BJ52" t="inlineStr"/>
      <c r="BK52" t="inlineStr"/>
      <c r="BL52" t="inlineStr"/>
      <c r="BM52" t="inlineStr">
        <is>
          <t>2026-W25</t>
        </is>
      </c>
    </row>
    <row r="53">
      <c r="A53" t="inlineStr">
        <is>
          <t>BOAMP</t>
        </is>
      </c>
      <c r="B53" t="inlineStr">
        <is>
          <t>26-53642</t>
        </is>
      </c>
      <c r="C53" t="inlineStr">
        <is>
          <t>Prestations de nettoyage et de ménage dans les bâtiments communaux de Maisons-Laffitte</t>
        </is>
      </c>
      <c r="D53" t="inlineStr">
        <is>
          <t>Mairie de Maisons-Laffitte</t>
        </is>
      </c>
      <c r="E53" t="inlineStr">
        <is>
          <t>21780358400010</t>
        </is>
      </c>
      <c r="F53" t="inlineStr">
        <is>
          <t>217803584</t>
        </is>
      </c>
      <c r="G53" t="inlineStr"/>
      <c r="H53" t="inlineStr"/>
      <c r="I53" t="inlineStr">
        <is>
          <t>achats@maisonslaffitte.fr</t>
        </is>
      </c>
      <c r="J53" t="inlineStr">
        <is>
          <t>0358400010</t>
        </is>
      </c>
      <c r="K53" t="inlineStr"/>
      <c r="L53" t="inlineStr"/>
      <c r="M53" t="inlineStr"/>
      <c r="N53" t="inlineStr">
        <is>
          <t>78</t>
        </is>
      </c>
      <c r="O53" t="inlineStr"/>
      <c r="P53" t="inlineStr">
        <is>
          <t>Ile-de-France</t>
        </is>
      </c>
      <c r="Q53" s="15" t="n">
        <v>46176</v>
      </c>
      <c r="R53" s="15" t="n">
        <v>46205</v>
      </c>
      <c r="S53" s="14" t="n">
        <v>515000</v>
      </c>
      <c r="T53" t="inlineStr">
        <is>
          <t>BUDGET_EXPLICITE_OK</t>
        </is>
      </c>
      <c r="U53" t="inlineStr">
        <is>
          <t>515000.0</t>
        </is>
      </c>
      <c r="V53" t="inlineStr">
        <is>
          <t>non</t>
        </is>
      </c>
      <c r="W53" t="inlineStr">
        <is>
          <t>Batiments</t>
        </is>
      </c>
      <c r="X53" t="inlineStr">
        <is>
          <t>Mairie</t>
        </is>
      </c>
      <c r="Y53" t="inlineStr">
        <is>
          <t>SERVICES</t>
        </is>
      </c>
      <c r="Z53" t="inlineStr">
        <is>
          <t>Procédure Ouverte</t>
        </is>
      </c>
      <c r="AA53" t="inlineStr">
        <is>
          <t>Avis de marché</t>
        </is>
      </c>
      <c r="AB53" t="inlineStr">
        <is>
          <t>Nettoyage de locaux, Bâtiment</t>
        </is>
      </c>
      <c r="AC53" t="inlineStr"/>
      <c r="AD53" s="11" t="inlineStr">
        <is>
          <t>https://www.boamp.fr/pages/avis/?q=idweb:26-53642</t>
        </is>
      </c>
      <c r="AE53" t="inlineStr">
        <is>
          <t>https://www.maximilien.fr/</t>
        </is>
      </c>
      <c r="AF53" t="inlineStr">
        <is>
          <t>https://www.maximilien.fr/</t>
        </is>
      </c>
      <c r="AG53" t="inlineStr">
        <is>
          <t>nettoyage, menage</t>
        </is>
      </c>
      <c r="AH53" t="inlineStr">
        <is>
          <t>3</t>
        </is>
      </c>
      <c r="AI53" t="inlineStr">
        <is>
          <t>76</t>
        </is>
      </c>
      <c r="AJ53" t="inlineStr">
        <is>
          <t>INFO_PARTIELLE</t>
        </is>
      </c>
      <c r="AK53" t="inlineStr">
        <is>
          <t>30</t>
        </is>
      </c>
      <c r="AL53" s="17" t="inlineStr">
        <is>
          <t>FROID</t>
        </is>
      </c>
      <c r="AM53" t="inlineStr"/>
      <c r="AN53" t="inlineStr"/>
      <c r="AO53" t="inlineStr"/>
      <c r="AP53" t="inlineStr"/>
      <c r="AQ53" t="inlineStr">
        <is>
          <t>IA_CONTACT_A_COMPLETER</t>
        </is>
      </c>
      <c r="AR53" t="inlineStr">
        <is>
          <t>Completer les champs manquants depuis l'avis source, le site acheteur ou le DCE.</t>
        </is>
      </c>
      <c r="AS53" t="inlineStr">
        <is>
          <t>adresse, ville</t>
        </is>
      </c>
      <c r="AT5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26-53642. Objet: Prestations de nettoyage et de ménage dans les bâtiments communaux de Maisons-Laffitte. Acheteur: Mairie de Maisons-Laffitte. Lien: https://www.boamp.fr/pages/avis/?q=idweb:26-53642.</t>
        </is>
      </c>
      <c r="AU53" t="inlineStr">
        <is>
          <t>Verifier url_avis et DCE si disponible</t>
        </is>
      </c>
      <c r="AV53" t="inlineStr"/>
      <c r="AW53" t="inlineStr"/>
      <c r="AX53" t="inlineStr"/>
      <c r="AY53" t="inlineStr"/>
      <c r="AZ53" t="inlineStr"/>
      <c r="BA53" t="inlineStr"/>
      <c r="BB53" t="inlineStr">
        <is>
          <t>+35 nettoyage + categorie claire | -20 gros budget (&gt; 500 000 EUR) | +10 secteur cible Mairie | +5 delai court 15j</t>
        </is>
      </c>
      <c r="BC53" t="inlineStr">
        <is>
          <t>Mairie de Maisons-Laffitte publie un AO potentiellement pertinent pour CHRUTH : Prestations de nettoyage et de ménage dans les bâtiments communaux de Maisons-Laffitte. Zone : 78. Budget detecte environ 515 000 EUR. Verifier le lien source avant contact.</t>
        </is>
      </c>
      <c r="BD53" t="inlineStr">
        <is>
          <t>Bonjour,
Je me permets de vous contacter au sujet de votre appel d'offres : Prestations de nettoyage et de ménage dans les bâtiments communaux de Maisons-Laffitte.
CHRUTH accompagne les structures publiques et privees sur les besoins de nettoyage, d'entretien des locaux et d'organisation de prestations de service.
Serait-il possible d'echanger rapidement afin de verifier les modalites de reponse et les attentes de Mairie de Maisons-Laffitte ?
Cordialement,</t>
        </is>
      </c>
      <c r="BE53" t="inlineStr">
        <is>
          <t>Bonjour, je vous appelle concernant un appel d'offres publie par Mairie de Maisons-Laffitte. Je souhaite verifier les informations pratiques : perimetre des prestations, date limite, modalites de visite, contact technique et pieces attendues. Pouvez-vous m'indiquer la bonne personne a contacter ?</t>
        </is>
      </c>
      <c r="BF53" t="inlineStr"/>
      <c r="BG53" t="inlineStr"/>
      <c r="BH53" t="inlineStr"/>
      <c r="BI53" t="inlineStr"/>
      <c r="BJ53" t="inlineStr"/>
      <c r="BK53" t="inlineStr"/>
      <c r="BL53" t="inlineStr"/>
      <c r="BM53" t="inlineStr">
        <is>
          <t>2026-W23</t>
        </is>
      </c>
    </row>
    <row r="54">
      <c r="A54" t="inlineStr">
        <is>
          <t>BOAMP</t>
        </is>
      </c>
      <c r="B54" t="inlineStr">
        <is>
          <t>26-64579</t>
        </is>
      </c>
      <c r="C54" t="inlineStr">
        <is>
          <t>Prestations de contrôle et de maintenance des jeux, des agrès fitness et des équipements sportifs de la ville de Houilles</t>
        </is>
      </c>
      <c r="D54" t="inlineStr">
        <is>
          <t>ville de Houilles</t>
        </is>
      </c>
      <c r="E54" t="inlineStr">
        <is>
          <t>21780311300018</t>
        </is>
      </c>
      <c r="F54" t="inlineStr">
        <is>
          <t>217803113</t>
        </is>
      </c>
      <c r="G54" t="inlineStr"/>
      <c r="H54" t="inlineStr"/>
      <c r="I54" t="inlineStr">
        <is>
          <t>marche-public@ville-houilles.fr</t>
        </is>
      </c>
      <c r="J54" t="inlineStr">
        <is>
          <t>0311300018</t>
        </is>
      </c>
      <c r="K54" t="inlineStr"/>
      <c r="L54" t="inlineStr"/>
      <c r="M54" t="inlineStr"/>
      <c r="N54" t="inlineStr">
        <is>
          <t>78</t>
        </is>
      </c>
      <c r="O54" t="inlineStr"/>
      <c r="P54" t="inlineStr">
        <is>
          <t>Ile-de-France</t>
        </is>
      </c>
      <c r="Q54" s="15" t="n">
        <v>46204</v>
      </c>
      <c r="R54" s="15" t="n">
        <v>46216</v>
      </c>
      <c r="S54" s="14" t="n">
        <v>504000</v>
      </c>
      <c r="T54" t="inlineStr">
        <is>
          <t>BUDGET_EXPLICITE_OK</t>
        </is>
      </c>
      <c r="U54" t="inlineStr">
        <is>
          <t>3024000</t>
        </is>
      </c>
      <c r="V54" t="inlineStr">
        <is>
          <t>oui</t>
        </is>
      </c>
      <c r="W54" t="inlineStr">
        <is>
          <t>Mixte/Autre</t>
        </is>
      </c>
      <c r="X54" t="inlineStr">
        <is>
          <t>Mairie</t>
        </is>
      </c>
      <c r="Y54" t="inlineStr">
        <is>
          <t>SERVICES</t>
        </is>
      </c>
      <c r="Z54" t="inlineStr">
        <is>
          <t>Procédure Ouverte</t>
        </is>
      </c>
      <c r="AA54" t="inlineStr">
        <is>
          <t>Avis de marché</t>
        </is>
      </c>
      <c r="AB54" t="inlineStr">
        <is>
          <t>Maintenance</t>
        </is>
      </c>
      <c r="AC54" t="inlineStr"/>
      <c r="AD54" s="11" t="inlineStr">
        <is>
          <t>https://www.boamp.fr/pages/avis/?q=idweb:26-64579</t>
        </is>
      </c>
      <c r="AE54" t="inlineStr">
        <is>
          <t>https://www.achatpublic.com/sdm/ent2/gen/ficheCsl.action?PCSLID=CSL_2026_fZ5m08HVWI</t>
        </is>
      </c>
      <c r="AF54" t="inlineStr">
        <is>
          <t>https://www.achatpublic.com/sdm/ent2/gen/ficheCsl.action?PCSLID=CSL_2026_fZ5m08HVWI</t>
        </is>
      </c>
      <c r="AG54" t="inlineStr">
        <is>
          <t>proprete</t>
        </is>
      </c>
      <c r="AH54" t="inlineStr">
        <is>
          <t>3</t>
        </is>
      </c>
      <c r="AI54" t="inlineStr">
        <is>
          <t>68</t>
        </is>
      </c>
      <c r="AJ54" t="inlineStr">
        <is>
          <t>INFO_PARTIELLE</t>
        </is>
      </c>
      <c r="AK54" t="inlineStr">
        <is>
          <t>25</t>
        </is>
      </c>
      <c r="AL54" s="17" t="inlineStr">
        <is>
          <t>FROID</t>
        </is>
      </c>
      <c r="AM54" t="inlineStr"/>
      <c r="AN54" t="inlineStr"/>
      <c r="AO54" t="inlineStr"/>
      <c r="AP54" t="inlineStr"/>
      <c r="AQ54" t="inlineStr">
        <is>
          <t>IA_CONTACT_A_COMPLETER</t>
        </is>
      </c>
      <c r="AR54" t="inlineStr">
        <is>
          <t>Completer les champs manquants depuis l'avis source, le site acheteur ou le DCE.</t>
        </is>
      </c>
      <c r="AS54" t="inlineStr">
        <is>
          <t>adresse, ville</t>
        </is>
      </c>
      <c r="AT5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26-64579. Objet: Prestations de contrôle et de maintenance des jeux, des agrès fitness et des équipements sportifs de la ville de Houilles. Acheteur: ville de Houilles. Lien: https://www.boamp.fr/pages/avis/?q=idweb:26-64579.</t>
        </is>
      </c>
      <c r="AU54" t="inlineStr">
        <is>
          <t>Verifier url_avis et DCE si disponible</t>
        </is>
      </c>
      <c r="AV54" t="inlineStr"/>
      <c r="AW54" t="inlineStr"/>
      <c r="AX54" t="inlineStr"/>
      <c r="AY54" t="inlineStr"/>
      <c r="AZ54" t="inlineStr"/>
      <c r="BA54" t="inlineStr"/>
      <c r="BB54" t="inlineStr">
        <is>
          <t>+30 mots-cles nettoyage forts | -20 gros budget (&gt; 500 000 EUR) | +10 secteur cible Mairie | +5 delai court 7j</t>
        </is>
      </c>
      <c r="BC54" t="inlineStr">
        <is>
          <t>ville de Houilles publie un AO potentiellement pertinent pour CHRUTH : Prestations de contrôle et de maintenance des jeux, des agrès fitness et des équipements sportifs de la ville de Houilles. Zone : 78. Budget detecte environ 504 000 EUR. Verifier le lien source avant contact.</t>
        </is>
      </c>
      <c r="BD54" t="inlineStr">
        <is>
          <t>Bonjour,
Je me permets de vous contacter au sujet de votre appel d'offres : Prestations de contrôle et de maintenance des jeux, des agrès fitness et des équipements sportifs de la ville de Houilles.
CHRUTH accompagne les structures publiques et privées sur les besoins de nettoyage, d'entretien des locaux et d'organisation de prestations de service.
Serait-il possible d'échanger rapidement afin de vérifier les modalités de réponse et les attentes de ville de Houilles ?
Cordialement,</t>
        </is>
      </c>
      <c r="BE54" t="inlineStr">
        <is>
          <t>Bonjour, je vous appelle concernant un appel d'offres publié par ville de Houilles. Je souhaite vérifier les informations pratiques : périmètre des prestations, date limite, modalités de visite, contact technique et pièces attendues. Pouvez-vous m'indiquer la bonne personne à contacter ?</t>
        </is>
      </c>
      <c r="BF54" t="inlineStr"/>
      <c r="BG54" t="inlineStr"/>
      <c r="BH54" t="inlineStr"/>
      <c r="BI54" t="inlineStr"/>
      <c r="BJ54" t="inlineStr"/>
      <c r="BK54" t="inlineStr"/>
      <c r="BL54" t="inlineStr"/>
      <c r="BM54" t="inlineStr">
        <is>
          <t>2026-W27</t>
        </is>
      </c>
    </row>
    <row r="55">
      <c r="A55" t="inlineStr">
        <is>
          <t>BOAMP</t>
        </is>
      </c>
      <c r="B55" t="inlineStr">
        <is>
          <t>26-63641</t>
        </is>
      </c>
      <c r="C55" t="inlineStr">
        <is>
          <t>Prestations de service de médecine professionnelle et préventive au bénéfice des agents de Plaine Commune</t>
        </is>
      </c>
      <c r="D55" t="inlineStr">
        <is>
          <t>Etablissement Public Territorial Plaine Commune</t>
        </is>
      </c>
      <c r="E55" t="inlineStr">
        <is>
          <t>20005786700018</t>
        </is>
      </c>
      <c r="F55" t="inlineStr">
        <is>
          <t>200057867</t>
        </is>
      </c>
      <c r="G55" t="inlineStr"/>
      <c r="H55" t="inlineStr"/>
      <c r="I55" t="inlineStr">
        <is>
          <t>mayooragi.manoharan@plainecommune.fr</t>
        </is>
      </c>
      <c r="J55" t="inlineStr">
        <is>
          <t>0578670001</t>
        </is>
      </c>
      <c r="K55" t="inlineStr"/>
      <c r="L55" t="inlineStr"/>
      <c r="M55" t="inlineStr"/>
      <c r="N55" t="inlineStr">
        <is>
          <t>93</t>
        </is>
      </c>
      <c r="O55" t="inlineStr"/>
      <c r="P55" t="inlineStr">
        <is>
          <t>Ile-de-France</t>
        </is>
      </c>
      <c r="Q55" s="15" t="n">
        <v>46201</v>
      </c>
      <c r="R55" s="15" t="n">
        <v>46232</v>
      </c>
      <c r="S55" s="14" t="n">
        <v>749999</v>
      </c>
      <c r="T55" t="inlineStr">
        <is>
          <t>BUDGET_EXPLICITE_OK</t>
        </is>
      </c>
      <c r="U55" t="inlineStr">
        <is>
          <t>4499994</t>
        </is>
      </c>
      <c r="V55" t="inlineStr">
        <is>
          <t>oui</t>
        </is>
      </c>
      <c r="W55" t="inlineStr">
        <is>
          <t>Batiments</t>
        </is>
      </c>
      <c r="X55" t="inlineStr">
        <is>
          <t>Autre</t>
        </is>
      </c>
      <c r="Y55" t="inlineStr">
        <is>
          <t>SERVICES</t>
        </is>
      </c>
      <c r="Z55" t="inlineStr">
        <is>
          <t>Procédure Ouverte</t>
        </is>
      </c>
      <c r="AA55" t="inlineStr">
        <is>
          <t>Avis de marché</t>
        </is>
      </c>
      <c r="AB55" t="inlineStr">
        <is>
          <t>Nettoyage de locaux</t>
        </is>
      </c>
      <c r="AC55" t="inlineStr"/>
      <c r="AD55" s="11" t="inlineStr">
        <is>
          <t>https://www.boamp.fr/pages/avis/?q=idweb:26-63641</t>
        </is>
      </c>
      <c r="AE55" t="inlineStr">
        <is>
          <t>https://marches.maximilien.fr/?page=Entreprise.EntrepriseAdvancedSearch&amp;AllCons&amp;id=942040&amp;orgAcronyme=p2q</t>
        </is>
      </c>
      <c r="AF55" t="inlineStr">
        <is>
          <t>https://marches.maximilien.fr/?page=Entreprise.EntrepriseAdvancedSearch&amp;AllCons&amp;id=942040&amp;orgAcronyme=p2q</t>
        </is>
      </c>
      <c r="AG55" t="inlineStr">
        <is>
          <t>nettoyage</t>
        </is>
      </c>
      <c r="AH55" t="inlineStr">
        <is>
          <t>3</t>
        </is>
      </c>
      <c r="AI55" t="inlineStr">
        <is>
          <t>68</t>
        </is>
      </c>
      <c r="AJ55" t="inlineStr">
        <is>
          <t>INFO_PARTIELLE</t>
        </is>
      </c>
      <c r="AK55" t="inlineStr">
        <is>
          <t>25</t>
        </is>
      </c>
      <c r="AL55" s="17" t="inlineStr">
        <is>
          <t>FROID</t>
        </is>
      </c>
      <c r="AM55" t="inlineStr"/>
      <c r="AN55" t="inlineStr"/>
      <c r="AO55" t="inlineStr"/>
      <c r="AP55" t="inlineStr"/>
      <c r="AQ55" t="inlineStr">
        <is>
          <t>IA_CONTACT_A_COMPLETER</t>
        </is>
      </c>
      <c r="AR55" t="inlineStr">
        <is>
          <t>Completer les champs manquants depuis l'avis source, le site acheteur ou le DCE.</t>
        </is>
      </c>
      <c r="AS55" t="inlineStr">
        <is>
          <t>adresse, ville</t>
        </is>
      </c>
      <c r="AT5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26-63641. Objet: Prestations de service de médecine professionnelle et préventive au bénéfice des agents de Plaine Commune. Acheteur: Etablissement Public Territorial Plaine Commune. Lien: https://www.boamp.fr/pages/avis/?q=idweb:26-63641.</t>
        </is>
      </c>
      <c r="AU55" t="inlineStr">
        <is>
          <t>Verifier url_avis et DCE si disponible</t>
        </is>
      </c>
      <c r="AV55" t="inlineStr"/>
      <c r="AW55" t="inlineStr"/>
      <c r="AX55" t="inlineStr"/>
      <c r="AY55" t="inlineStr"/>
      <c r="AZ55" t="inlineStr"/>
      <c r="BA55" t="inlineStr"/>
      <c r="BB55" t="inlineStr">
        <is>
          <t>+35 nettoyage + categorie claire | -20 gros budget (&gt; 500 000 EUR) | +10 delai confortable 23j</t>
        </is>
      </c>
      <c r="BC55" t="inlineStr">
        <is>
          <t>Etablissement Public Territorial Plaine Commune publie un AO potentiellement pertinent pour CHRUTH : Prestations de service de médecine professionnelle et préventive au bénéfice des agents de Plaine Commune. Zone : 93. Budget detecte environ 749 999 EUR. Verifier le lien source avant contact.</t>
        </is>
      </c>
      <c r="BD55" t="inlineStr">
        <is>
          <t>Bonjour,
Je me permets de vous contacter au sujet de votre appel d'offres : Prestations de service de médecine professionnelle et préventive au bénéfice des agents de Plaine Commune.
CHRUTH accompagne les structures publiques et privées sur les besoins de nettoyage, d'entretien des locaux et d'organisation de prestations de service.
Serait-il possible d'échanger rapidement afin de vérifier les modalités de réponse et les attentes de Etablissement Public Territorial Plaine Commune ?
Cordialement,</t>
        </is>
      </c>
      <c r="BE55" t="inlineStr">
        <is>
          <t>Bonjour, je vous appelle concernant un appel d'offres publié par Etablissement Public Territorial Plaine Commune. Je souhaite vérifier les informations pratiques : périmètre des prestations, date limite, modalités de visite, contact technique et pièces attendues. Pouvez-vous m'indiquer la bonne personne à contacter ?</t>
        </is>
      </c>
      <c r="BF55" t="inlineStr"/>
      <c r="BG55" t="inlineStr"/>
      <c r="BH55" t="inlineStr"/>
      <c r="BI55" t="inlineStr"/>
      <c r="BJ55" t="inlineStr"/>
      <c r="BK55" t="inlineStr"/>
      <c r="BL55" t="inlineStr"/>
      <c r="BM55" t="inlineStr">
        <is>
          <t>2026-W26</t>
        </is>
      </c>
    </row>
    <row r="56">
      <c r="A56" t="inlineStr">
        <is>
          <t>BOAMP</t>
        </is>
      </c>
      <c r="B56" t="inlineStr">
        <is>
          <t>26-61794</t>
        </is>
      </c>
      <c r="C56" t="inlineStr">
        <is>
          <t>Nettoyage écoresponsable des locaux du CNC à Paris et prestations associées</t>
        </is>
      </c>
      <c r="D56" t="inlineStr">
        <is>
          <t>Centre nationale du cinéma</t>
        </is>
      </c>
      <c r="E56" t="inlineStr">
        <is>
          <t>18004603900186</t>
        </is>
      </c>
      <c r="F56" t="inlineStr">
        <is>
          <t>180046039</t>
        </is>
      </c>
      <c r="G56" t="inlineStr"/>
      <c r="H56" t="inlineStr"/>
      <c r="I56" t="inlineStr">
        <is>
          <t>marchespublics@cnc.fr</t>
        </is>
      </c>
      <c r="J56" t="inlineStr">
        <is>
          <t>0460390018</t>
        </is>
      </c>
      <c r="K56" t="inlineStr"/>
      <c r="L56" t="inlineStr"/>
      <c r="M56" t="inlineStr"/>
      <c r="N56" t="inlineStr">
        <is>
          <t>75</t>
        </is>
      </c>
      <c r="O56" t="inlineStr"/>
      <c r="P56" t="inlineStr">
        <is>
          <t>Ile-de-France</t>
        </is>
      </c>
      <c r="Q56" s="15" t="n">
        <v>46197</v>
      </c>
      <c r="R56" s="15" t="n">
        <v>46230</v>
      </c>
      <c r="S56" s="14" t="n">
        <v>900000</v>
      </c>
      <c r="T56" t="inlineStr">
        <is>
          <t>BUDGET_EXPLICITE_OK</t>
        </is>
      </c>
      <c r="U56" t="inlineStr">
        <is>
          <t>1800000</t>
        </is>
      </c>
      <c r="V56" t="inlineStr">
        <is>
          <t>oui</t>
        </is>
      </c>
      <c r="W56" t="inlineStr">
        <is>
          <t>Vitres</t>
        </is>
      </c>
      <c r="X56" t="inlineStr">
        <is>
          <t>Autre</t>
        </is>
      </c>
      <c r="Y56" t="inlineStr">
        <is>
          <t>SERVICES</t>
        </is>
      </c>
      <c r="Z56" t="inlineStr">
        <is>
          <t>Procédure Ouverte</t>
        </is>
      </c>
      <c r="AA56" t="inlineStr">
        <is>
          <t>Avis de marché</t>
        </is>
      </c>
      <c r="AB56" t="inlineStr">
        <is>
          <t>Nettoyage de locaux</t>
        </is>
      </c>
      <c r="AC56" t="inlineStr">
        <is>
          <t>['sociaux', 'environnementaux']</t>
        </is>
      </c>
      <c r="AD56" s="11" t="inlineStr">
        <is>
          <t>https://www.boamp.fr/pages/avis/?q=idweb:26-61794</t>
        </is>
      </c>
      <c r="AE56" t="inlineStr">
        <is>
          <t>https://www.marches-publics.gouv.fr/entreprise</t>
        </is>
      </c>
      <c r="AF56" t="inlineStr">
        <is>
          <t>https://www.marches-publics.gouv.fr/entreprise</t>
        </is>
      </c>
      <c r="AG56" t="inlineStr">
        <is>
          <t>nettoyage</t>
        </is>
      </c>
      <c r="AH56" t="inlineStr">
        <is>
          <t>3</t>
        </is>
      </c>
      <c r="AI56" t="inlineStr">
        <is>
          <t>68</t>
        </is>
      </c>
      <c r="AJ56" t="inlineStr">
        <is>
          <t>INFO_PARTIELLE</t>
        </is>
      </c>
      <c r="AK56" t="inlineStr">
        <is>
          <t>25</t>
        </is>
      </c>
      <c r="AL56" s="17" t="inlineStr">
        <is>
          <t>FROID</t>
        </is>
      </c>
      <c r="AM56" t="inlineStr"/>
      <c r="AN56" t="inlineStr"/>
      <c r="AO56" t="inlineStr"/>
      <c r="AP56" t="inlineStr"/>
      <c r="AQ56" t="inlineStr">
        <is>
          <t>IA_CONTACT_A_COMPLETER</t>
        </is>
      </c>
      <c r="AR56" t="inlineStr">
        <is>
          <t>Completer les champs manquants depuis l'avis source, le site acheteur ou le DCE.</t>
        </is>
      </c>
      <c r="AS56" t="inlineStr">
        <is>
          <t>adresse, ville</t>
        </is>
      </c>
      <c r="AT5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26-61794. Objet: Nettoyage écoresponsable des locaux du CNC à Paris et prestations associées. Acheteur: Centre nationale du cinéma. Lien: https://www.boamp.fr/pages/avis/?q=idweb:26-61794.</t>
        </is>
      </c>
      <c r="AU56" t="inlineStr">
        <is>
          <t>Verifier url_avis et DCE si disponible</t>
        </is>
      </c>
      <c r="AV56" t="inlineStr"/>
      <c r="AW56" t="inlineStr"/>
      <c r="AX56" t="inlineStr"/>
      <c r="AY56" t="inlineStr"/>
      <c r="AZ56" t="inlineStr"/>
      <c r="BA56" t="inlineStr"/>
      <c r="BB56" t="inlineStr">
        <is>
          <t>+35 nettoyage + categorie claire | -20 gros budget (&gt; 500 000 EUR) | +10 delai confortable 21j</t>
        </is>
      </c>
      <c r="BC56" t="inlineStr">
        <is>
          <t>Centre nationale du cinéma publie un AO potentiellement pertinent pour CHRUTH : Nettoyage écoresponsable des locaux du CNC à Paris et prestations associées. Zone : 75. Budget detecte environ 900 000 EUR. Verifier le lien source avant contact.</t>
        </is>
      </c>
      <c r="BD56" t="inlineStr">
        <is>
          <t>Bonjour,
Je me permets de vous contacter au sujet de votre appel d'offres : Nettoyage écoresponsable des locaux du CNC à Paris et prestations associées.
CHRUTH accompagne les structures publiques et privées sur les besoins de nettoyage, d'entretien des locaux et d'organisation de prestations de service.
Serait-il possible d'échanger rapidement afin de vérifier les modalités de réponse et les attentes de Centre nationale du cinéma ?
Cordialement,</t>
        </is>
      </c>
      <c r="BE56" t="inlineStr">
        <is>
          <t>Bonjour, je vous appelle concernant un appel d'offres publié par Centre nationale du cinéma. Je souhaite vérifier les informations pratiques : périmètre des prestations, date limite, modalités de visite, contact technique et pièces attendues. Pouvez-vous m'indiquer la bonne personne à contacter ?</t>
        </is>
      </c>
      <c r="BF56" t="inlineStr"/>
      <c r="BG56" t="inlineStr"/>
      <c r="BH56" t="inlineStr"/>
      <c r="BI56" t="inlineStr"/>
      <c r="BJ56" t="inlineStr"/>
      <c r="BK56" t="inlineStr"/>
      <c r="BL56" t="inlineStr"/>
      <c r="BM56" t="inlineStr">
        <is>
          <t>2026-W26</t>
        </is>
      </c>
    </row>
    <row r="57">
      <c r="A57" t="inlineStr">
        <is>
          <t>BOAMP</t>
        </is>
      </c>
      <c r="B57" t="inlineStr">
        <is>
          <t>26-55925</t>
        </is>
      </c>
      <c r="C57" t="inlineStr">
        <is>
          <t>Nettoyage des locaux du MAC VAL - Musée d'art contemporain du Val-de-Marne</t>
        </is>
      </c>
      <c r="D57" t="inlineStr">
        <is>
          <t>Département du Val-de-Marne</t>
        </is>
      </c>
      <c r="E57" t="inlineStr">
        <is>
          <t>22940028800010</t>
        </is>
      </c>
      <c r="F57" t="inlineStr">
        <is>
          <t>229400288</t>
        </is>
      </c>
      <c r="G57" t="inlineStr"/>
      <c r="H57" t="inlineStr"/>
      <c r="I57" t="inlineStr">
        <is>
          <t>ddc-macval-marches@valdemarne.fr</t>
        </is>
      </c>
      <c r="J57" t="inlineStr">
        <is>
          <t>0704900017</t>
        </is>
      </c>
      <c r="K57" t="inlineStr"/>
      <c r="L57" t="inlineStr"/>
      <c r="M57" t="inlineStr"/>
      <c r="N57" t="inlineStr">
        <is>
          <t>94</t>
        </is>
      </c>
      <c r="O57" t="inlineStr"/>
      <c r="P57" t="inlineStr">
        <is>
          <t>Ile-de-France</t>
        </is>
      </c>
      <c r="Q57" s="15" t="n">
        <v>46180</v>
      </c>
      <c r="R57" s="15" t="n">
        <v>46227</v>
      </c>
      <c r="S57" s="14" t="n">
        <v>1400000</v>
      </c>
      <c r="T57" t="inlineStr">
        <is>
          <t>BUDGET_EXPLICITE_OK</t>
        </is>
      </c>
      <c r="U57" t="inlineStr">
        <is>
          <t>8400000</t>
        </is>
      </c>
      <c r="V57" t="inlineStr">
        <is>
          <t>oui</t>
        </is>
      </c>
      <c r="W57" t="inlineStr">
        <is>
          <t>Batiments</t>
        </is>
      </c>
      <c r="X57" t="inlineStr">
        <is>
          <t>Autre</t>
        </is>
      </c>
      <c r="Y57" t="inlineStr">
        <is>
          <t>SERVICES</t>
        </is>
      </c>
      <c r="Z57" t="inlineStr">
        <is>
          <t>Procédure Ouverte</t>
        </is>
      </c>
      <c r="AA57" t="inlineStr">
        <is>
          <t>Avis de marché</t>
        </is>
      </c>
      <c r="AB57" t="inlineStr">
        <is>
          <t>Nettoyage de locaux</t>
        </is>
      </c>
      <c r="AC57" t="inlineStr">
        <is>
          <t>['sociaux', 'environnementaux']</t>
        </is>
      </c>
      <c r="AD57" s="11" t="inlineStr">
        <is>
          <t>https://www.boamp.fr/pages/avis/?q=idweb:26-55925</t>
        </is>
      </c>
      <c r="AE57" t="inlineStr">
        <is>
          <t>https://maximilien.fr</t>
        </is>
      </c>
      <c r="AF57" t="inlineStr">
        <is>
          <t>https://maximilien.fr</t>
        </is>
      </c>
      <c r="AG57" t="inlineStr">
        <is>
          <t>nettoyage</t>
        </is>
      </c>
      <c r="AH57" t="inlineStr">
        <is>
          <t>3</t>
        </is>
      </c>
      <c r="AI57" t="inlineStr">
        <is>
          <t>68</t>
        </is>
      </c>
      <c r="AJ57" t="inlineStr">
        <is>
          <t>INFO_PARTIELLE</t>
        </is>
      </c>
      <c r="AK57" t="inlineStr">
        <is>
          <t>25</t>
        </is>
      </c>
      <c r="AL57" s="17" t="inlineStr">
        <is>
          <t>FROID</t>
        </is>
      </c>
      <c r="AM57" t="inlineStr"/>
      <c r="AN57" t="inlineStr"/>
      <c r="AO57" t="inlineStr"/>
      <c r="AP57" t="inlineStr"/>
      <c r="AQ57" t="inlineStr">
        <is>
          <t>IA_CONTACT_A_COMPLETER</t>
        </is>
      </c>
      <c r="AR57" t="inlineStr">
        <is>
          <t>Completer les champs manquants depuis l'avis source, le site acheteur ou le DCE.</t>
        </is>
      </c>
      <c r="AS57" t="inlineStr">
        <is>
          <t>adresse, ville</t>
        </is>
      </c>
      <c r="AT5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26-55925. Objet: Nettoyage des locaux du MAC VAL - Musée d'art contemporain du Val-de-Marne. Acheteur: Département du Val-de-Marne. Lien: https://www.boamp.fr/pages/avis/?q=idweb:26-55925.</t>
        </is>
      </c>
      <c r="AU57" t="inlineStr">
        <is>
          <t>Verifier url_avis et DCE si disponible</t>
        </is>
      </c>
      <c r="AV57" t="inlineStr"/>
      <c r="AW57" t="inlineStr"/>
      <c r="AX57" t="inlineStr"/>
      <c r="AY57" t="inlineStr"/>
      <c r="AZ57" t="inlineStr"/>
      <c r="BA57" t="inlineStr"/>
      <c r="BB57" t="inlineStr">
        <is>
          <t>+35 nettoyage + categorie claire | -20 gros budget (&gt; 500 000 EUR) | +10 delai confortable 33j</t>
        </is>
      </c>
      <c r="BC57" t="inlineStr">
        <is>
          <t>Département du Val-de-Marne publie un AO potentiellement pertinent pour CHRUTH : Nettoyage des locaux du MAC VAL - Musée d'art contemporain du Val-de-Marne. Zone : 94. Budget detecte environ 1 400 000 EUR. Verifier le lien source avant contact.</t>
        </is>
      </c>
      <c r="BD57" t="inlineStr">
        <is>
          <t>Bonjour,
Je me permets de vous contacter au sujet de votre appel d'offres : Nettoyage des locaux du MAC VAL - Musée d'art contemporain du Val-de-Marne.
CHRUTH accompagne les structures publiques et privees sur les besoins de nettoyage, d'entretien des locaux et d'organisation de prestations de service.
Serait-il possible d'echanger rapidement afin de verifier les modalites de reponse et les attentes de Département du Val-de-Marne ?
Cordialement,</t>
        </is>
      </c>
      <c r="BE57" t="inlineStr">
        <is>
          <t>Bonjour, je vous appelle concernant un appel d'offres publie par Département du Val-de-Marne. Je souhaite verifier les informations pratiques : perimetre des prestations, date limite, modalites de visite, contact technique et pieces attendues. Pouvez-vous m'indiquer la bonne personne a contacter ?</t>
        </is>
      </c>
      <c r="BF57" t="inlineStr"/>
      <c r="BG57" t="inlineStr"/>
      <c r="BH57" t="inlineStr"/>
      <c r="BI57" t="inlineStr"/>
      <c r="BJ57" t="inlineStr"/>
      <c r="BK57" t="inlineStr"/>
      <c r="BL57" t="inlineStr"/>
      <c r="BM57" t="inlineStr">
        <is>
          <t>2026-W23</t>
        </is>
      </c>
    </row>
    <row r="58">
      <c r="A58" t="inlineStr">
        <is>
          <t>BOAMP</t>
        </is>
      </c>
      <c r="B58" t="inlineStr">
        <is>
          <t>26-61210</t>
        </is>
      </c>
      <c r="C58" t="inlineStr">
        <is>
          <t>Gestion, entretien et maintenance des parcs de stationnement en structure de la Communauté d'agglomération Grand Paris Sud Seine Essonne Sénart</t>
        </is>
      </c>
      <c r="D58" t="inlineStr">
        <is>
          <t>CA GRAND PARIS SUD SEINE ESSONNE SENART</t>
        </is>
      </c>
      <c r="E58" t="inlineStr">
        <is>
          <t>20005922800011</t>
        </is>
      </c>
      <c r="F58" t="inlineStr">
        <is>
          <t>200059228</t>
        </is>
      </c>
      <c r="G58" t="inlineStr"/>
      <c r="H58" t="inlineStr"/>
      <c r="I58" t="inlineStr">
        <is>
          <t>commande.publique@grandparissud.fr</t>
        </is>
      </c>
      <c r="J58" t="inlineStr">
        <is>
          <t>0592280001</t>
        </is>
      </c>
      <c r="K58" t="inlineStr"/>
      <c r="L58" t="inlineStr"/>
      <c r="M58" t="inlineStr"/>
      <c r="N58" t="inlineStr">
        <is>
          <t>91,77</t>
        </is>
      </c>
      <c r="O58" t="inlineStr"/>
      <c r="P58" t="inlineStr">
        <is>
          <t>Ile-de-France</t>
        </is>
      </c>
      <c r="Q58" s="15" t="n">
        <v>46194</v>
      </c>
      <c r="R58" s="15" t="n">
        <v>46223</v>
      </c>
      <c r="S58" s="14" t="n">
        <v>600000</v>
      </c>
      <c r="T58" t="inlineStr">
        <is>
          <t>BUDGET_EXPLICITE_OK</t>
        </is>
      </c>
      <c r="U58" t="inlineStr">
        <is>
          <t>1200000</t>
        </is>
      </c>
      <c r="V58" t="inlineStr">
        <is>
          <t>oui</t>
        </is>
      </c>
      <c r="W58" t="inlineStr">
        <is>
          <t>Batiments</t>
        </is>
      </c>
      <c r="X58" t="inlineStr">
        <is>
          <t>Autre</t>
        </is>
      </c>
      <c r="Y58" t="inlineStr">
        <is>
          <t>SERVICES</t>
        </is>
      </c>
      <c r="Z58" t="inlineStr">
        <is>
          <t>Procédure Ouverte</t>
        </is>
      </c>
      <c r="AA58" t="inlineStr">
        <is>
          <t>Avis de marché</t>
        </is>
      </c>
      <c r="AB58" t="inlineStr">
        <is>
          <t>Maintenance</t>
        </is>
      </c>
      <c r="AC58" t="inlineStr">
        <is>
          <t>['sociaux', 'environnementaux']</t>
        </is>
      </c>
      <c r="AD58" s="11" t="inlineStr">
        <is>
          <t>https://www.boamp.fr/pages/avis/?q=idweb:26-61210</t>
        </is>
      </c>
      <c r="AE58" t="inlineStr">
        <is>
          <t>https://www.achatpublic.com/sdm/ent/gen/ent_detail.do?PCSLID=CSL_2026_LcQAKFuczu</t>
        </is>
      </c>
      <c r="AF58" t="inlineStr">
        <is>
          <t>https://www.achatpublic.com/sdm/ent/gen/ent_detail.do?PCSLID=CSL_2026_LcQAKFuczu</t>
        </is>
      </c>
      <c r="AG58" t="inlineStr">
        <is>
          <t>proprete</t>
        </is>
      </c>
      <c r="AH58" t="inlineStr">
        <is>
          <t>3</t>
        </is>
      </c>
      <c r="AI58" t="inlineStr">
        <is>
          <t>68</t>
        </is>
      </c>
      <c r="AJ58" t="inlineStr">
        <is>
          <t>INFO_PARTIELLE</t>
        </is>
      </c>
      <c r="AK58" t="inlineStr">
        <is>
          <t>20</t>
        </is>
      </c>
      <c r="AL58" s="17" t="inlineStr">
        <is>
          <t>FROID</t>
        </is>
      </c>
      <c r="AM58" t="inlineStr"/>
      <c r="AN58" t="inlineStr"/>
      <c r="AO58" t="inlineStr"/>
      <c r="AP58" t="inlineStr"/>
      <c r="AQ58" t="inlineStr">
        <is>
          <t>IA_CONTACT_A_COMPLETER</t>
        </is>
      </c>
      <c r="AR58" t="inlineStr">
        <is>
          <t>Completer les champs manquants depuis l'avis source, le site acheteur ou le DCE.</t>
        </is>
      </c>
      <c r="AS58" t="inlineStr">
        <is>
          <t>adresse, ville</t>
        </is>
      </c>
      <c r="AT5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26-61210. Objet: Gestion, entretien et maintenance des parcs de stationnement en structure de la Communauté d'agglomération Grand Paris Sud Seine Essonne Sénart. Acheteur: CA GRAND PARIS SUD SEINE ESSONNE SENART. Lien: https://www.boamp.fr/pages/avis/?q=idweb:26-61210.</t>
        </is>
      </c>
      <c r="AU58" t="inlineStr">
        <is>
          <t>Verifier url_avis et DCE si disponible</t>
        </is>
      </c>
      <c r="AV58" t="inlineStr"/>
      <c r="AW58" t="inlineStr"/>
      <c r="AX58" t="inlineStr"/>
      <c r="AY58" t="inlineStr"/>
      <c r="AZ58" t="inlineStr"/>
      <c r="BA58" t="inlineStr"/>
      <c r="BB58" t="inlineStr">
        <is>
          <t>+35 nettoyage + categorie claire | -20 gros budget (&gt; 500 000 EUR) | +5 delai court 15j</t>
        </is>
      </c>
      <c r="BC58" t="inlineStr">
        <is>
          <t>CA GRAND PARIS SUD SEINE ESSONNE SENART publie un AO potentiellement pertinent pour CHRUTH : Gestion, entretien et maintenance des parcs de stationnement en structure de la Communauté d'agglomération Grand Paris Sud Seine Essonne Sénart. Zone : 91,77. Budget detecte environ 600 000 EUR. Verifier le lien source avant contact.</t>
        </is>
      </c>
      <c r="BD58" t="inlineStr">
        <is>
          <t>Bonjour,
Je me permets de vous contacter au sujet de votre appel d'offres : Gestion, entretien et maintenance des parcs de stationnement en structure de la Communauté d'agglomération Grand Paris Sud Seine Essonne Sénart.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58"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58" t="inlineStr"/>
      <c r="BG58" t="inlineStr"/>
      <c r="BH58" t="inlineStr"/>
      <c r="BI58" t="inlineStr"/>
      <c r="BJ58" t="inlineStr"/>
      <c r="BK58" t="inlineStr"/>
      <c r="BL58" t="inlineStr"/>
      <c r="BM58" t="inlineStr">
        <is>
          <t>2026-W25</t>
        </is>
      </c>
    </row>
    <row r="59">
      <c r="A59" t="inlineStr">
        <is>
          <t>BOAMP</t>
        </is>
      </c>
      <c r="B59" t="inlineStr">
        <is>
          <t>26-53755</t>
        </is>
      </c>
      <c r="C59" t="inlineStr">
        <is>
          <t>Dépose, nettoyage et pose de stickers sur autobus</t>
        </is>
      </c>
      <c r="D59" t="inlineStr">
        <is>
          <t>Ratp Cap Ateliers Championnet</t>
        </is>
      </c>
      <c r="E59" t="inlineStr">
        <is>
          <t>17750111101763</t>
        </is>
      </c>
      <c r="F59" t="inlineStr">
        <is>
          <t>177501111</t>
        </is>
      </c>
      <c r="G59" t="inlineStr"/>
      <c r="H59" t="inlineStr"/>
      <c r="I59" t="inlineStr">
        <is>
          <t>frederic.zuber@ratpcap.com</t>
        </is>
      </c>
      <c r="J59" t="inlineStr">
        <is>
          <t>+33 698668868</t>
        </is>
      </c>
      <c r="K59" t="inlineStr"/>
      <c r="L59" t="inlineStr"/>
      <c r="M59" t="inlineStr"/>
      <c r="N59" t="inlineStr">
        <is>
          <t>75</t>
        </is>
      </c>
      <c r="O59" t="inlineStr"/>
      <c r="P59" t="inlineStr">
        <is>
          <t>Ile-de-France</t>
        </is>
      </c>
      <c r="Q59" s="15" t="n">
        <v>46176</v>
      </c>
      <c r="R59" t="inlineStr"/>
      <c r="S59" s="14" t="n">
        <v>700000</v>
      </c>
      <c r="T59" t="inlineStr">
        <is>
          <t>BUDGET_EXPLICITE_OK</t>
        </is>
      </c>
      <c r="U59" t="inlineStr">
        <is>
          <t>700000.0</t>
        </is>
      </c>
      <c r="V59" t="inlineStr">
        <is>
          <t>non</t>
        </is>
      </c>
      <c r="W59" t="inlineStr">
        <is>
          <t>Batiments</t>
        </is>
      </c>
      <c r="X59" t="inlineStr">
        <is>
          <t>Autre</t>
        </is>
      </c>
      <c r="Y59" t="inlineStr">
        <is>
          <t>SERVICES</t>
        </is>
      </c>
      <c r="Z59" t="inlineStr">
        <is>
          <t>Procédure Négociée</t>
        </is>
      </c>
      <c r="AA59" t="inlineStr">
        <is>
          <t>Avis de marché</t>
        </is>
      </c>
      <c r="AB59" t="inlineStr">
        <is>
          <t>Prestations de services, Nettoyage de locaux, Nettoyage urbain</t>
        </is>
      </c>
      <c r="AC59" t="inlineStr"/>
      <c r="AD59" s="11" t="inlineStr">
        <is>
          <t>https://www.boamp.fr/pages/avis/?q=idweb:26-53755</t>
        </is>
      </c>
      <c r="AE59" t="inlineStr">
        <is>
          <t>https://www.e-marchespublics.com/appel-offre/1163733</t>
        </is>
      </c>
      <c r="AF59" t="inlineStr">
        <is>
          <t>https://www.e-marchespublics.com/appel-offre/1163733</t>
        </is>
      </c>
      <c r="AG59" t="inlineStr">
        <is>
          <t>nettoyage</t>
        </is>
      </c>
      <c r="AH59" t="inlineStr">
        <is>
          <t>3</t>
        </is>
      </c>
      <c r="AI59" t="inlineStr">
        <is>
          <t>68</t>
        </is>
      </c>
      <c r="AJ59" t="inlineStr">
        <is>
          <t>INFO_PARTIELLE</t>
        </is>
      </c>
      <c r="AK59" t="inlineStr">
        <is>
          <t>15</t>
        </is>
      </c>
      <c r="AL59" s="17" t="inlineStr">
        <is>
          <t>FROID</t>
        </is>
      </c>
      <c r="AM59" t="inlineStr"/>
      <c r="AN59" t="inlineStr"/>
      <c r="AO59" t="inlineStr"/>
      <c r="AP59" t="inlineStr"/>
      <c r="AQ59" t="inlineStr">
        <is>
          <t>IA_CONTACT_A_COMPLETER</t>
        </is>
      </c>
      <c r="AR59" t="inlineStr">
        <is>
          <t>Completer les champs manquants depuis l'avis source, le site acheteur ou le DCE.</t>
        </is>
      </c>
      <c r="AS59" t="inlineStr">
        <is>
          <t>adresse, ville</t>
        </is>
      </c>
      <c r="AT5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26-53755. Objet: Dépose, nettoyage et pose de stickers sur autobus. Acheteur: Ratp Cap Ateliers Championnet. Lien: https://www.boamp.fr/pages/avis/?q=idweb:26-53755.</t>
        </is>
      </c>
      <c r="AU59" t="inlineStr">
        <is>
          <t>Verifier url_avis et DCE si disponible</t>
        </is>
      </c>
      <c r="AV59" t="inlineStr"/>
      <c r="AW59" t="inlineStr"/>
      <c r="AX59" t="inlineStr"/>
      <c r="AY59" t="inlineStr"/>
      <c r="AZ59" t="inlineStr"/>
      <c r="BA59" t="inlineStr"/>
      <c r="BB59" t="inlineStr">
        <is>
          <t>+35 nettoyage + categorie claire | -20 gros budget (&gt; 500 000 EUR) | 0 date limite absente</t>
        </is>
      </c>
      <c r="BC59" t="inlineStr">
        <is>
          <t>Ratp Cap Ateliers Championnet publie un AO potentiellement pertinent pour CHRUTH : Dépose, nettoyage et pose de stickers sur autobus. Zone : 75. Budget detecte environ 700 000 EUR. Verifier le lien source avant contact.</t>
        </is>
      </c>
      <c r="BD59" t="inlineStr">
        <is>
          <t>Bonjour,
Je me permets de vous contacter au sujet de votre appel d'offres : Dépose, nettoyage et pose de stickers sur autobus.
CHRUTH accompagne les structures publiques et privees sur les besoins de nettoyage, d'entretien des locaux et d'organisation de prestations de service.
Serait-il possible d'echanger rapidement afin de verifier les modalites de reponse et les attentes de Ratp Cap Ateliers Championnet ?
Cordialement,</t>
        </is>
      </c>
      <c r="BE59" t="inlineStr">
        <is>
          <t>Bonjour, je vous appelle concernant un appel d'offres publie par Ratp Cap Ateliers Championnet. Je souhaite verifier les informations pratiques : perimetre des prestations, date limite, modalites de visite, contact technique et pieces attendues. Pouvez-vous m'indiquer la bonne personne a contacter ?</t>
        </is>
      </c>
      <c r="BF59" t="inlineStr"/>
      <c r="BG59" t="inlineStr"/>
      <c r="BH59" t="inlineStr"/>
      <c r="BI59" t="inlineStr"/>
      <c r="BJ59" t="inlineStr"/>
      <c r="BK59" t="inlineStr"/>
      <c r="BL59" t="inlineStr"/>
      <c r="BM59" t="inlineStr">
        <is>
          <t>2026-W23</t>
        </is>
      </c>
    </row>
    <row r="60">
      <c r="A60" t="inlineStr">
        <is>
          <t>BOAMP</t>
        </is>
      </c>
      <c r="B60" t="inlineStr">
        <is>
          <t>26-59853</t>
        </is>
      </c>
      <c r="C60" t="inlineStr">
        <is>
          <t>Blanchissage et nettoyage d'effets de travail et de couchage au profit des organismes soutenus par le GSC IdF</t>
        </is>
      </c>
      <c r="D60" t="inlineStr">
        <is>
          <t>Plate-forme commissariat Paris</t>
        </is>
      </c>
      <c r="E60" t="inlineStr">
        <is>
          <t>13001534000016</t>
        </is>
      </c>
      <c r="F60" t="inlineStr">
        <is>
          <t>130015340</t>
        </is>
      </c>
      <c r="G60" t="inlineStr"/>
      <c r="H60" t="inlineStr"/>
      <c r="I60" t="inlineStr">
        <is>
          <t>pfc-paris-bap.ach.fct@intradef.gouv.fr</t>
        </is>
      </c>
      <c r="J60" t="inlineStr">
        <is>
          <t>0153400001</t>
        </is>
      </c>
      <c r="K60" t="inlineStr"/>
      <c r="L60" t="inlineStr"/>
      <c r="M60" t="inlineStr"/>
      <c r="N60" t="inlineStr">
        <is>
          <t>78</t>
        </is>
      </c>
      <c r="O60" t="inlineStr"/>
      <c r="P60" t="inlineStr">
        <is>
          <t>Ile-de-France</t>
        </is>
      </c>
      <c r="Q60" s="15" t="n">
        <v>46191</v>
      </c>
      <c r="R60" s="15" t="n">
        <v>46203</v>
      </c>
      <c r="S60" s="14" t="n">
        <v>720000</v>
      </c>
      <c r="T60" t="inlineStr">
        <is>
          <t>BUDGET_EXPLICITE_OK</t>
        </is>
      </c>
      <c r="U60" t="inlineStr">
        <is>
          <t>720000</t>
        </is>
      </c>
      <c r="V60" t="inlineStr">
        <is>
          <t>oui</t>
        </is>
      </c>
      <c r="W60" t="inlineStr">
        <is>
          <t>Bureaux</t>
        </is>
      </c>
      <c r="X60" t="inlineStr">
        <is>
          <t>Autre</t>
        </is>
      </c>
      <c r="Y60" t="inlineStr">
        <is>
          <t>SERVICES</t>
        </is>
      </c>
      <c r="Z60" t="inlineStr">
        <is>
          <t>Procédure Ouverte</t>
        </is>
      </c>
      <c r="AA60" t="inlineStr">
        <is>
          <t>Avis de marché</t>
        </is>
      </c>
      <c r="AB60" t="inlineStr">
        <is>
          <t>Blanchissage</t>
        </is>
      </c>
      <c r="AC60" t="inlineStr">
        <is>
          <t>['sociaux', 'environnementaux']</t>
        </is>
      </c>
      <c r="AD60" s="11" t="inlineStr">
        <is>
          <t>https://www.boamp.fr/pages/avis/?q=idweb:26-59853</t>
        </is>
      </c>
      <c r="AE60" t="inlineStr">
        <is>
          <t>https://marches-publics.gouv.fr</t>
        </is>
      </c>
      <c r="AF60" t="inlineStr">
        <is>
          <t>https://marches-publics.gouv.fr</t>
        </is>
      </c>
      <c r="AG60" t="inlineStr">
        <is>
          <t>nettoyage</t>
        </is>
      </c>
      <c r="AH60" t="inlineStr">
        <is>
          <t>3</t>
        </is>
      </c>
      <c r="AI60" t="inlineStr">
        <is>
          <t>68</t>
        </is>
      </c>
      <c r="AJ60" t="inlineStr">
        <is>
          <t>INFO_PARTIELLE</t>
        </is>
      </c>
      <c r="AK60" t="inlineStr">
        <is>
          <t>0</t>
        </is>
      </c>
      <c r="AL60" s="17" t="inlineStr">
        <is>
          <t>FROID</t>
        </is>
      </c>
      <c r="AM60" t="inlineStr"/>
      <c r="AN60" t="inlineStr"/>
      <c r="AO60" t="inlineStr"/>
      <c r="AP60" t="inlineStr"/>
      <c r="AQ60" t="inlineStr">
        <is>
          <t>IA_CONTACT_A_COMPLETER</t>
        </is>
      </c>
      <c r="AR60" t="inlineStr">
        <is>
          <t>Completer les champs manquants depuis l'avis source, le site acheteur ou le DCE.</t>
        </is>
      </c>
      <c r="AS60" t="inlineStr">
        <is>
          <t>adresse, ville</t>
        </is>
      </c>
      <c r="AT6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26-59853. Objet: Blanchissage et nettoyage d'effets de travail et de couchage au profit des organismes soutenus par le GSC IdF. Acheteur: Plate-forme commissariat Paris. Lien: https://www.boamp.fr/pages/avis/?q=idweb:26-59853.</t>
        </is>
      </c>
      <c r="AU60" t="inlineStr">
        <is>
          <t>Verifier url_avis et DCE si disponible</t>
        </is>
      </c>
      <c r="AV60" t="inlineStr"/>
      <c r="AW60" t="inlineStr"/>
      <c r="AX60" t="inlineStr"/>
      <c r="AY60" t="inlineStr"/>
      <c r="AZ60" t="inlineStr"/>
      <c r="BA60" t="inlineStr"/>
      <c r="BB60" t="inlineStr">
        <is>
          <t>+35 nettoyage + categorie claire | -20 gros budget (&gt; 500 000 EUR) | -30 AO expire</t>
        </is>
      </c>
      <c r="BC60" t="inlineStr">
        <is>
          <t>Plate-forme commissariat Paris publie un AO potentiellement pertinent pour CHRUTH : Blanchissage et nettoyage d'effets de travail et de couchage au profit des organismes soutenus par le GSC IdF. Zone : 78. Budget detecte environ 720 000 EUR. Verifier le lien source avant contact.</t>
        </is>
      </c>
      <c r="BD60" t="inlineStr">
        <is>
          <t>Bonjour,
Je me permets de vous contacter au sujet de votre appel d'offres : Blanchissage et nettoyage d'effets de travail et de couchage au profit des organismes soutenus par le GSC IdF.
CHRUTH accompagne les structures publiques et privées sur les besoins de nettoyage, d'entretien des locaux et d'organisation de prestations de service.
Serait-il possible d'échanger rapidement afin de vérifier les modalités de réponse et les attentes de Plate-forme commissariat Paris ?
Cordialement,</t>
        </is>
      </c>
      <c r="BE60" t="inlineStr">
        <is>
          <t>Bonjour, je vous appelle concernant un appel d'offres publié par Plate-forme commissariat Paris. Je souhaite vérifier les informations pratiques : périmètre des prestations, date limite, modalités de visite, contact technique et pièces attendues. Pouvez-vous m'indiquer la bonne personne à contacter ?</t>
        </is>
      </c>
      <c r="BF60" t="inlineStr"/>
      <c r="BG60" t="inlineStr"/>
      <c r="BH60" t="inlineStr"/>
      <c r="BI60" t="inlineStr"/>
      <c r="BJ60" t="inlineStr"/>
      <c r="BK60" t="inlineStr"/>
      <c r="BL60" t="inlineStr"/>
      <c r="BM60" t="inlineStr">
        <is>
          <t>2026-W25</t>
        </is>
      </c>
    </row>
    <row r="61">
      <c r="A61" t="inlineStr">
        <is>
          <t>BOAMP</t>
        </is>
      </c>
      <c r="B61" t="inlineStr">
        <is>
          <t>26-55506</t>
        </is>
      </c>
      <c r="C61" t="inlineStr">
        <is>
          <t>2026 M02 LRO - PRESTATIONS DE NETTOYAGE DES LOCAUX ET VITRES DES BATIMENTS COMMUNAUX DE LA VILLE DE LA ROCHETTE</t>
        </is>
      </c>
      <c r="D61" t="inlineStr">
        <is>
          <t>Mairie de La Rochette</t>
        </is>
      </c>
      <c r="E61" t="inlineStr">
        <is>
          <t>21040170900014</t>
        </is>
      </c>
      <c r="F61" t="inlineStr">
        <is>
          <t>210401709</t>
        </is>
      </c>
      <c r="G61" t="inlineStr"/>
      <c r="H61" t="inlineStr"/>
      <c r="I61" t="inlineStr">
        <is>
          <t>juridique@larochette77.fr</t>
        </is>
      </c>
      <c r="J61" t="inlineStr">
        <is>
          <t>0401709000</t>
        </is>
      </c>
      <c r="K61" t="inlineStr"/>
      <c r="L61" t="inlineStr"/>
      <c r="M61" t="inlineStr"/>
      <c r="N61" t="inlineStr">
        <is>
          <t>77,75,91</t>
        </is>
      </c>
      <c r="O61" t="inlineStr"/>
      <c r="P61" t="inlineStr">
        <is>
          <t>Ile-de-France</t>
        </is>
      </c>
      <c r="Q61" s="15" t="n">
        <v>46180</v>
      </c>
      <c r="R61" s="15" t="n">
        <v>46192</v>
      </c>
      <c r="S61" s="14" t="n">
        <v>1400000</v>
      </c>
      <c r="T61" t="inlineStr">
        <is>
          <t>BUDGET_EXPLICITE_OK</t>
        </is>
      </c>
      <c r="U61" t="inlineStr">
        <is>
          <t>1400000.0</t>
        </is>
      </c>
      <c r="V61" t="inlineStr">
        <is>
          <t>non</t>
        </is>
      </c>
      <c r="W61" t="inlineStr">
        <is>
          <t>Vitres</t>
        </is>
      </c>
      <c r="X61" t="inlineStr">
        <is>
          <t>Mairie</t>
        </is>
      </c>
      <c r="Y61" t="inlineStr">
        <is>
          <t>SERVICES</t>
        </is>
      </c>
      <c r="Z61" t="inlineStr">
        <is>
          <t>Procédure Ouverte</t>
        </is>
      </c>
      <c r="AA61" t="inlineStr">
        <is>
          <t>Avis de marché</t>
        </is>
      </c>
      <c r="AB61" t="inlineStr">
        <is>
          <t>Nettoyage de locaux</t>
        </is>
      </c>
      <c r="AC61" t="inlineStr"/>
      <c r="AD61" s="11" t="inlineStr">
        <is>
          <t>https://www.boamp.fr/pages/avis/?q=idweb:26-55506</t>
        </is>
      </c>
      <c r="AE61" t="inlineStr">
        <is>
          <t>https://marchesonline.achatpublic.com</t>
        </is>
      </c>
      <c r="AF61" t="inlineStr">
        <is>
          <t>https://marchesonline.achatpublic.com</t>
        </is>
      </c>
      <c r="AG61" t="inlineStr">
        <is>
          <t>nettoyage</t>
        </is>
      </c>
      <c r="AH61" t="inlineStr">
        <is>
          <t>3</t>
        </is>
      </c>
      <c r="AI61" t="inlineStr">
        <is>
          <t>68</t>
        </is>
      </c>
      <c r="AJ61" t="inlineStr">
        <is>
          <t>INFO_PARTIELLE</t>
        </is>
      </c>
      <c r="AK61" t="inlineStr">
        <is>
          <t>0</t>
        </is>
      </c>
      <c r="AL61" s="17" t="inlineStr">
        <is>
          <t>FROID</t>
        </is>
      </c>
      <c r="AM61" t="inlineStr"/>
      <c r="AN61" t="inlineStr"/>
      <c r="AO61" t="inlineStr"/>
      <c r="AP61" t="inlineStr"/>
      <c r="AQ61" t="inlineStr">
        <is>
          <t>IA_CONTACT_A_COMPLETER</t>
        </is>
      </c>
      <c r="AR61" t="inlineStr">
        <is>
          <t>Completer les champs manquants depuis l'avis source, le site acheteur ou le DCE.</t>
        </is>
      </c>
      <c r="AS61" t="inlineStr">
        <is>
          <t>adresse, ville</t>
        </is>
      </c>
      <c r="AT6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26-55506. Objet: 2026 M02 LRO - PRESTATIONS DE NETTOYAGE DES LOCAUX ET VITRES DES BATIMENTS COMMUNAUX DE LA VILLE DE LA ROCHETTE. Acheteur: Mairie de La Rochette. Lien: https://www.boamp.fr/pages/avis/?q=idweb:26-55506.</t>
        </is>
      </c>
      <c r="AU61" t="inlineStr">
        <is>
          <t>Verifier url_avis et DCE si disponible</t>
        </is>
      </c>
      <c r="AV61" t="inlineStr"/>
      <c r="AW61" t="inlineStr"/>
      <c r="AX61" t="inlineStr"/>
      <c r="AY61" t="inlineStr"/>
      <c r="AZ61" t="inlineStr"/>
      <c r="BA61" t="inlineStr"/>
      <c r="BB61" t="inlineStr">
        <is>
          <t>+35 nettoyage + categorie claire | -20 gros budget (&gt; 500 000 EUR) | +10 secteur cible Mairie | -30 AO expire</t>
        </is>
      </c>
      <c r="BC61" t="inlineStr">
        <is>
          <t>Mairie de La Rochette publie un AO potentiellement pertinent pour CHRUTH : 2026 M02 LRO - PRESTATIONS DE NETTOYAGE DES LOCAUX ET VITRES DES BATIMENTS COMMUNAUX DE LA VILLE DE LA ROCHETTE. Zone : 77,75,91. Budget detecte environ 1 400 000 EUR. Verifier le lien source avant contact.</t>
        </is>
      </c>
      <c r="BD61" t="inlineStr">
        <is>
          <t>Bonjour,
Je me permets de vous contacter au sujet de votre appel d'offres : 2026 M02 LRO - PRESTATIONS DE NETTOYAGE DES LOCAUX ET VITRES DES BATIMENTS COMMUNAUX DE LA VILLE DE LA ROCHETTE.
CHRUTH accompagne les structures publiques et privees sur les besoins de nettoyage, d'entretien des locaux et d'organisation de prestations de service.
Serait-il possible d'echanger rapidement afin de verifier les modalites de reponse et les attentes de Mairie de La Rochette ?
Cordialement,</t>
        </is>
      </c>
      <c r="BE61" t="inlineStr">
        <is>
          <t>Bonjour, je vous appelle concernant un appel d'offres publie par Mairie de La Rochette. Je souhaite verifier les informations pratiques : perimetre des prestations, date limite, modalites de visite, contact technique et pieces attendues. Pouvez-vous m'indiquer la bonne personne a contacter ?</t>
        </is>
      </c>
      <c r="BF61" t="inlineStr"/>
      <c r="BG61" t="inlineStr"/>
      <c r="BH61" t="inlineStr"/>
      <c r="BI61" t="inlineStr"/>
      <c r="BJ61" t="inlineStr"/>
      <c r="BK61" t="inlineStr"/>
      <c r="BL61" t="inlineStr"/>
      <c r="BM61" t="inlineStr">
        <is>
          <t>2026-W23</t>
        </is>
      </c>
    </row>
    <row r="62">
      <c r="A62" t="inlineStr">
        <is>
          <t>BOAMP</t>
        </is>
      </c>
      <c r="B62" t="inlineStr">
        <is>
          <t>26-55879</t>
        </is>
      </c>
      <c r="C62" t="inlineStr">
        <is>
          <t>AAPC-MS-Issy-les-Moulineaux</t>
        </is>
      </c>
      <c r="D62" t="inlineStr">
        <is>
          <t>Ministère de l'Intérieur</t>
        </is>
      </c>
      <c r="E62" t="inlineStr">
        <is>
          <t>12001404800074</t>
        </is>
      </c>
      <c r="F62" t="inlineStr">
        <is>
          <t>120014048</t>
        </is>
      </c>
      <c r="G62" t="inlineStr"/>
      <c r="H62" t="inlineStr"/>
      <c r="I62" t="inlineStr">
        <is>
          <t>othmane.dahmani@interieur.gouv.fr</t>
        </is>
      </c>
      <c r="J62" t="inlineStr">
        <is>
          <t>0140480007</t>
        </is>
      </c>
      <c r="K62" t="inlineStr"/>
      <c r="L62" t="inlineStr"/>
      <c r="M62" t="inlineStr"/>
      <c r="N62" t="inlineStr">
        <is>
          <t>75</t>
        </is>
      </c>
      <c r="O62" t="inlineStr"/>
      <c r="P62" t="inlineStr">
        <is>
          <t>Ile-de-France</t>
        </is>
      </c>
      <c r="Q62" s="15" t="n">
        <v>46180</v>
      </c>
      <c r="R62" s="15" t="n">
        <v>46164</v>
      </c>
      <c r="S62" s="14" t="n">
        <v>2240000</v>
      </c>
      <c r="T62" t="inlineStr">
        <is>
          <t>BUDGET_EXPLICITE_OK</t>
        </is>
      </c>
      <c r="U62" t="inlineStr">
        <is>
          <t>2240000.0</t>
        </is>
      </c>
      <c r="V62" t="inlineStr">
        <is>
          <t>non</t>
        </is>
      </c>
      <c r="W62" t="inlineStr">
        <is>
          <t>Batiments</t>
        </is>
      </c>
      <c r="X62" t="inlineStr">
        <is>
          <t>Batiment administratif</t>
        </is>
      </c>
      <c r="Y62" t="inlineStr">
        <is>
          <t>SERVICES</t>
        </is>
      </c>
      <c r="Z62" t="inlineStr">
        <is>
          <t>Procédure Ouverte</t>
        </is>
      </c>
      <c r="AA62" t="inlineStr">
        <is>
          <t>Avis de marché</t>
        </is>
      </c>
      <c r="AB62" t="inlineStr">
        <is>
          <t>Prestations de services, Nettoyage de locaux</t>
        </is>
      </c>
      <c r="AC62" t="inlineStr">
        <is>
          <t>['sociaux', 'environnementaux']</t>
        </is>
      </c>
      <c r="AD62" s="11" t="inlineStr">
        <is>
          <t>https://www.boamp.fr/pages/avis/?q=idweb:26-55879</t>
        </is>
      </c>
      <c r="AE62" t="inlineStr">
        <is>
          <t>https://www.marches-publics.gouv.fr/entreprise</t>
        </is>
      </c>
      <c r="AF62" t="inlineStr">
        <is>
          <t>https://www.marches-publics.gouv.fr/entreprise</t>
        </is>
      </c>
      <c r="AG62" t="inlineStr">
        <is>
          <t>nettoyage</t>
        </is>
      </c>
      <c r="AH62" t="inlineStr">
        <is>
          <t>3</t>
        </is>
      </c>
      <c r="AI62" t="inlineStr">
        <is>
          <t>68</t>
        </is>
      </c>
      <c r="AJ62" t="inlineStr">
        <is>
          <t>INFO_PARTIELLE</t>
        </is>
      </c>
      <c r="AK62" t="inlineStr">
        <is>
          <t>0</t>
        </is>
      </c>
      <c r="AL62" s="17" t="inlineStr">
        <is>
          <t>FROID</t>
        </is>
      </c>
      <c r="AM62" t="inlineStr"/>
      <c r="AN62" t="inlineStr"/>
      <c r="AO62" t="inlineStr"/>
      <c r="AP62" t="inlineStr"/>
      <c r="AQ62" t="inlineStr">
        <is>
          <t>IA_CONTACT_A_COMPLETER</t>
        </is>
      </c>
      <c r="AR62" t="inlineStr">
        <is>
          <t>Completer les champs manquants depuis l'avis source, le site acheteur ou le DCE.</t>
        </is>
      </c>
      <c r="AS62" t="inlineStr">
        <is>
          <t>adresse, ville</t>
        </is>
      </c>
      <c r="AT6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26-55879. Objet: AAPC-MS-Issy-les-Moulineaux. Acheteur: Ministère de l'Intérieur. Lien: https://www.boamp.fr/pages/avis/?q=idweb:26-55879.</t>
        </is>
      </c>
      <c r="AU62" t="inlineStr">
        <is>
          <t>Verifier url_avis et DCE si disponible</t>
        </is>
      </c>
      <c r="AV62" t="inlineStr"/>
      <c r="AW62" t="inlineStr"/>
      <c r="AX62" t="inlineStr"/>
      <c r="AY62" t="inlineStr"/>
      <c r="AZ62" t="inlineStr"/>
      <c r="BA62" t="inlineStr"/>
      <c r="BB62" t="inlineStr">
        <is>
          <t>+35 nettoyage + categorie claire | -20 gros budget (&gt; 500 000 EUR) | +10 secteur cible Batiment administratif | -30 AO expire</t>
        </is>
      </c>
      <c r="BC62" t="inlineStr">
        <is>
          <t>Ministère de l'Intérieur publie un AO potentiellement pertinent pour CHRUTH : AAPC-MS-Issy-les-Moulineaux. Zone : 75. Budget detecte environ 2 240 000 EUR. Verifier le lien source avant contact.</t>
        </is>
      </c>
      <c r="BD62" t="inlineStr">
        <is>
          <t>Bonjour,
Je me permets de vous contacter au sujet de votre appel d'offres : AAPC-MS-Issy-les-Moulineaux.
CHRUTH accompagne les structures publiques et privees sur les besoins de nettoyage, d'entretien des locaux et d'organisation de prestations de service.
Serait-il possible d'echanger rapidement afin de verifier les modalites de reponse et les attentes de Ministère de l'Intérieur ?
Cordialement,</t>
        </is>
      </c>
      <c r="BE62" t="inlineStr">
        <is>
          <t>Bonjour, je vous appelle concernant un appel d'offres publie par Ministère de l'Intérieur. Je souhaite verifier les informations pratiques : perimetre des prestations, date limite, modalites de visite, contact technique et pieces attendues. Pouvez-vous m'indiquer la bonne personne a contacter ?</t>
        </is>
      </c>
      <c r="BF62" t="inlineStr"/>
      <c r="BG62" t="inlineStr"/>
      <c r="BH62" t="inlineStr"/>
      <c r="BI62" t="inlineStr"/>
      <c r="BJ62" t="inlineStr"/>
      <c r="BK62" t="inlineStr"/>
      <c r="BL62" t="inlineStr"/>
      <c r="BM62" t="inlineStr">
        <is>
          <t>2026-W23</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 xmlns:r="http://schemas.openxmlformats.org/officeDocument/2006/relationships" ref="AD51" r:id="rId50"/>
    <hyperlink xmlns:r="http://schemas.openxmlformats.org/officeDocument/2006/relationships" ref="AD52" r:id="rId51"/>
    <hyperlink xmlns:r="http://schemas.openxmlformats.org/officeDocument/2006/relationships" ref="AD53" r:id="rId52"/>
    <hyperlink xmlns:r="http://schemas.openxmlformats.org/officeDocument/2006/relationships" ref="AD54" r:id="rId53"/>
    <hyperlink xmlns:r="http://schemas.openxmlformats.org/officeDocument/2006/relationships" ref="AD55" r:id="rId54"/>
    <hyperlink xmlns:r="http://schemas.openxmlformats.org/officeDocument/2006/relationships" ref="AD56" r:id="rId55"/>
    <hyperlink xmlns:r="http://schemas.openxmlformats.org/officeDocument/2006/relationships" ref="AD57" r:id="rId56"/>
    <hyperlink xmlns:r="http://schemas.openxmlformats.org/officeDocument/2006/relationships" ref="AD58" r:id="rId57"/>
    <hyperlink xmlns:r="http://schemas.openxmlformats.org/officeDocument/2006/relationships" ref="AD59" r:id="rId58"/>
    <hyperlink xmlns:r="http://schemas.openxmlformats.org/officeDocument/2006/relationships" ref="AD60" r:id="rId59"/>
    <hyperlink xmlns:r="http://schemas.openxmlformats.org/officeDocument/2006/relationships" ref="AD61" r:id="rId60"/>
    <hyperlink xmlns:r="http://schemas.openxmlformats.org/officeDocument/2006/relationships" ref="AD62" r:id="rId61"/>
  </hyperlinks>
  <pageMargins left="0.75" right="0.75" top="1" bottom="1" header="0.5" footer="0.5"/>
  <tableParts count="1">
    <tablePart xmlns:r="http://schemas.openxmlformats.org/officeDocument/2006/relationships" r:id="rId62"/>
  </tableParts>
</worksheet>
</file>

<file path=xl/worksheets/sheet7.xml><?xml version="1.0" encoding="utf-8"?>
<worksheet xmlns="http://schemas.openxmlformats.org/spreadsheetml/2006/main">
  <sheetPr>
    <outlinePr summaryBelow="1" summaryRight="1"/>
    <pageSetUpPr/>
  </sheetPr>
  <dimension ref="A1:BM20"/>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32" customWidth="1" min="4" max="4"/>
    <col width="16" customWidth="1" min="5" max="5"/>
    <col width="16" customWidth="1" min="6" max="6"/>
    <col width="27" customWidth="1" min="7" max="7"/>
    <col width="16" customWidth="1" min="8" max="8"/>
    <col width="40" customWidth="1" min="9" max="9"/>
    <col width="16" customWidth="1" min="10" max="10"/>
    <col width="19"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10" customWidth="1" min="24" max="24"/>
    <col width="13" customWidth="1" min="25" max="25"/>
    <col width="19" customWidth="1" min="26" max="26"/>
    <col width="16" customWidth="1" min="27" max="27"/>
    <col width="44" customWidth="1" min="28" max="28"/>
    <col width="33" customWidth="1" min="29" max="29"/>
    <col width="51" customWidth="1" min="30" max="30"/>
    <col width="55" customWidth="1" min="31" max="31"/>
    <col width="55" customWidth="1" min="32" max="32"/>
    <col width="33"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26-63741</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46201</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Ouverte</t>
        </is>
      </c>
      <c r="AA2" t="inlineStr">
        <is>
          <t>Avis de marché</t>
        </is>
      </c>
      <c r="AB2" t="inlineStr">
        <is>
          <t>Formation, Nettoyage de locaux</t>
        </is>
      </c>
      <c r="AC2" t="inlineStr"/>
      <c r="AD2" s="11" t="inlineStr">
        <is>
          <t>https://www.boamp.fr/pages/avis/?q=idweb:26-63741</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95</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26-63741. Objet: Accord cadre de missions de formation de lutte contre la discrimination et de lutte contre les violences sexistes et sexuelles à destination du tissu associatif en deux lots séparés.. Acheteur: VILLE de PARIS - DFA - SDA. Lien: https://www.boamp.fr/pages/avis/?q=idweb:26-63741.</t>
        </is>
      </c>
      <c r="AU2" t="inlineStr">
        <is>
          <t>Verifier url_avis et DCE si disponible</t>
        </is>
      </c>
      <c r="AV2" t="inlineStr"/>
      <c r="AW2" t="inlineStr"/>
      <c r="AX2" t="inlineStr"/>
      <c r="AY2" t="inlineStr"/>
      <c r="AZ2" t="inlineStr"/>
      <c r="BA2" t="inlineStr"/>
      <c r="BB2" t="inlineStr">
        <is>
          <t>+35 nettoyage + categorie claire | +25 budget annualise &lt;= 50 000 EUR | +15 procedure adaptee / MAPA / allotissement | +10 secteur cible Mairie | +10 delai confortable 71j</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2026-W26</t>
        </is>
      </c>
    </row>
    <row r="3">
      <c r="A3" t="inlineStr">
        <is>
          <t>BOAMP</t>
        </is>
      </c>
      <c r="B3" t="inlineStr">
        <is>
          <t>26-58680</t>
        </is>
      </c>
      <c r="C3" t="inlineStr">
        <is>
          <t>Nettoyage des vitres et entretien des bâtiments communaux (Administratifs, Culturels, Scolaires, Sportifs et Autres)</t>
        </is>
      </c>
      <c r="D3" t="inlineStr">
        <is>
          <t>MAIRIE DES LILAS</t>
        </is>
      </c>
      <c r="E3" t="inlineStr"/>
      <c r="F3" t="inlineStr"/>
      <c r="G3" t="inlineStr"/>
      <c r="H3" t="inlineStr"/>
      <c r="I3" t="inlineStr">
        <is>
          <t>publications-joue@aws-france.com</t>
        </is>
      </c>
      <c r="J3" t="inlineStr">
        <is>
          <t>+33480041260</t>
        </is>
      </c>
      <c r="K3" t="inlineStr"/>
      <c r="L3" t="inlineStr"/>
      <c r="M3" t="inlineStr"/>
      <c r="N3" t="inlineStr">
        <is>
          <t>93</t>
        </is>
      </c>
      <c r="O3" t="inlineStr"/>
      <c r="P3" t="inlineStr">
        <is>
          <t>Ile-de-France</t>
        </is>
      </c>
      <c r="Q3" s="15" t="n">
        <v>46187</v>
      </c>
      <c r="R3" s="15" t="n">
        <v>46216</v>
      </c>
      <c r="S3" s="14" t="n">
        <v>22000</v>
      </c>
      <c r="T3" t="inlineStr">
        <is>
          <t>BUDGET_SOUS_SEUIL</t>
        </is>
      </c>
      <c r="U3" t="inlineStr">
        <is>
          <t>5500</t>
        </is>
      </c>
      <c r="V3" t="inlineStr">
        <is>
          <t>oui</t>
        </is>
      </c>
      <c r="W3" t="inlineStr">
        <is>
          <t>Vitres</t>
        </is>
      </c>
      <c r="X3" t="inlineStr">
        <is>
          <t>Mairie</t>
        </is>
      </c>
      <c r="Y3" t="inlineStr">
        <is>
          <t>SERVICES</t>
        </is>
      </c>
      <c r="Z3" t="inlineStr">
        <is>
          <t>Procédure Ouverte</t>
        </is>
      </c>
      <c r="AA3" t="inlineStr">
        <is>
          <t>Avis de marché</t>
        </is>
      </c>
      <c r="AB3" t="inlineStr">
        <is>
          <t>Nettoyage de locaux, Vitrerie</t>
        </is>
      </c>
      <c r="AC3" t="inlineStr">
        <is>
          <t>['sociaux', 'environnementaux']</t>
        </is>
      </c>
      <c r="AD3" s="11" t="inlineStr">
        <is>
          <t>https://www.boamp.fr/pages/avis/?q=idweb:26-58680</t>
        </is>
      </c>
      <c r="AE3" t="inlineStr">
        <is>
          <t>http://agysoft.marches-publics.info/</t>
        </is>
      </c>
      <c r="AF3" t="inlineStr">
        <is>
          <t>http://agysoft.marches-publics.info/</t>
        </is>
      </c>
      <c r="AG3" t="inlineStr">
        <is>
          <t>nettoyage, nettoyage de vitres</t>
        </is>
      </c>
      <c r="AH3" t="inlineStr">
        <is>
          <t>2</t>
        </is>
      </c>
      <c r="AI3" t="inlineStr">
        <is>
          <t>66</t>
        </is>
      </c>
      <c r="AJ3" t="inlineStr">
        <is>
          <t>INFO_PARTIELLE</t>
        </is>
      </c>
      <c r="AK3" t="inlineStr">
        <is>
          <t>80</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SIRET, adresse, ville</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26-58680. Objet: Nettoyage des vitres et entretien des bâtiments communaux (Administratifs, Culturels, Scolaires, Sportifs et Autres). Acheteur: MAIRIE DES LILAS. Lien: https://www.boamp.fr/pages/avis/?q=idweb:26-58680.</t>
        </is>
      </c>
      <c r="AU3" t="inlineStr">
        <is>
          <t>Verifier url_avis et DCE si disponible</t>
        </is>
      </c>
      <c r="AV3" t="inlineStr"/>
      <c r="AW3" t="inlineStr"/>
      <c r="AX3" t="inlineStr"/>
      <c r="AY3" t="inlineStr"/>
      <c r="AZ3" t="inlineStr"/>
      <c r="BA3" t="inlineStr"/>
      <c r="BB3" t="inlineStr">
        <is>
          <t>+35 nettoyage + categorie claire | +25 budget annualise &lt;= 50 000 EUR | +10 secteur cible Mairie | +10 delai confortable 21j</t>
        </is>
      </c>
      <c r="BC3" t="inlineStr">
        <is>
          <t>MAIRIE DES LILAS publie un AO potentiellement pertinent pour CHRUTH : Nettoyage des vitres et entretien des bâtiments communaux (Administratifs, Culturels, Scolaires, Sportifs et Autres). Zone : 93. Budget detecte environ 22 000 EUR. Verifier le lien source avant contact.</t>
        </is>
      </c>
      <c r="BD3" t="inlineStr">
        <is>
          <t>Bonjour,
Je me permets de vous contacter au sujet de votre appel d'offres : Nettoyage des vitres et entretien des bâtiments communaux (Administratifs, Culturels, Scolaires, Sportifs et Autres).
CHRUTH accompagne les structures publiques et privees sur les besoins de nettoyage, d'entretien des locaux et d'organisation de prestations de service.
Serait-il possible d'echanger rapidement afin de verifier les modalites de reponse et les attentes de MAIRIE DES LILAS ?
Cordialement,</t>
        </is>
      </c>
      <c r="BE3" t="inlineStr">
        <is>
          <t>Bonjour, je vous appelle concernant un appel d'offres publie par MAIRIE DES LILAS. Je souhaite verifier les informations pratiques : perimetre des prestations, date limite, modalites de visite, contact technique et pieces attendues. Pouvez-vous m'indiquer la bonne personne a contacter ?</t>
        </is>
      </c>
      <c r="BF3" t="inlineStr"/>
      <c r="BG3" t="inlineStr"/>
      <c r="BH3" t="inlineStr"/>
      <c r="BI3" t="inlineStr"/>
      <c r="BJ3" t="inlineStr"/>
      <c r="BK3" t="inlineStr"/>
      <c r="BL3" t="inlineStr"/>
      <c r="BM3" t="inlineStr">
        <is>
          <t>2026-W24</t>
        </is>
      </c>
    </row>
    <row r="4">
      <c r="A4" t="inlineStr">
        <is>
          <t>BOAMP</t>
        </is>
      </c>
      <c r="B4" t="inlineStr">
        <is>
          <t>26-66091</t>
        </is>
      </c>
      <c r="C4" t="inlineStr">
        <is>
          <t>Restauration de monuments funéraires et de statues pour la ville d'Asnières-sur-Seine</t>
        </is>
      </c>
      <c r="D4" t="inlineStr">
        <is>
          <t>Mairie d'Asnières sur Seine</t>
        </is>
      </c>
      <c r="E4" t="inlineStr">
        <is>
          <t>21920004500017</t>
        </is>
      </c>
      <c r="F4" t="inlineStr">
        <is>
          <t>219200045</t>
        </is>
      </c>
      <c r="G4" t="inlineStr">
        <is>
          <t>marches@mairieasnieres.fr</t>
        </is>
      </c>
      <c r="H4" t="inlineStr"/>
      <c r="I4" t="inlineStr">
        <is>
          <t>marches@mairieasnieres.fr</t>
        </is>
      </c>
      <c r="J4" t="inlineStr">
        <is>
          <t>0141111494</t>
        </is>
      </c>
      <c r="K4" t="inlineStr">
        <is>
          <t>Hauts-de-Seine</t>
        </is>
      </c>
      <c r="L4" t="inlineStr">
        <is>
          <t>92600</t>
        </is>
      </c>
      <c r="M4" t="inlineStr">
        <is>
          <t>Asnières sur seine</t>
        </is>
      </c>
      <c r="N4" t="inlineStr">
        <is>
          <t>92</t>
        </is>
      </c>
      <c r="O4" t="inlineStr"/>
      <c r="P4" t="inlineStr">
        <is>
          <t>Ile-de-France</t>
        </is>
      </c>
      <c r="Q4" s="15" t="n">
        <v>46206</v>
      </c>
      <c r="R4" s="15" t="n">
        <v>46234</v>
      </c>
      <c r="S4" s="14" t="n">
        <v>92600</v>
      </c>
      <c r="T4" t="inlineStr">
        <is>
          <t>BUDGET_SOUS_SEUIL</t>
        </is>
      </c>
      <c r="U4" t="inlineStr">
        <is>
          <t>92600.0</t>
        </is>
      </c>
      <c r="V4" t="inlineStr">
        <is>
          <t>non</t>
        </is>
      </c>
      <c r="W4" t="inlineStr">
        <is>
          <t>Batiments</t>
        </is>
      </c>
      <c r="X4" t="inlineStr">
        <is>
          <t>Mairie</t>
        </is>
      </c>
      <c r="Y4" t="inlineStr">
        <is>
          <t>TRAVAUX</t>
        </is>
      </c>
      <c r="Z4" t="inlineStr">
        <is>
          <t>Procédure Ouverte</t>
        </is>
      </c>
      <c r="AA4" t="inlineStr">
        <is>
          <t>Avis de marché</t>
        </is>
      </c>
      <c r="AB4" t="inlineStr">
        <is>
          <t>Décoration (travaux)</t>
        </is>
      </c>
      <c r="AC4" t="inlineStr">
        <is>
          <t>['environnementaux']</t>
        </is>
      </c>
      <c r="AD4" s="11" t="inlineStr">
        <is>
          <t>https://www.boamp.fr/pages/avis/?q=idweb:26-66091</t>
        </is>
      </c>
      <c r="AE4" t="inlineStr">
        <is>
          <t>https://www.achatpublic.com/sdm/ent/gen/ent_detail.do?PCSLID=CSL_2026_a6SYMMMQ2m</t>
        </is>
      </c>
      <c r="AF4" t="inlineStr">
        <is>
          <t>https://www.achatpublic.com/sdm/ent/gen/ent_detail.do?PCSLID=CSL_2026_a6SYMMMQ2m</t>
        </is>
      </c>
      <c r="AG4" t="inlineStr">
        <is>
          <t>nettoyage</t>
        </is>
      </c>
      <c r="AH4" t="inlineStr">
        <is>
          <t>6</t>
        </is>
      </c>
      <c r="AI4" t="inlineStr">
        <is>
          <t>98</t>
        </is>
      </c>
      <c r="AJ4" t="inlineStr">
        <is>
          <t>INFO_PARTIELLE</t>
        </is>
      </c>
      <c r="AK4" t="inlineStr">
        <is>
          <t>75</t>
        </is>
      </c>
      <c r="AL4" s="13" t="inlineStr">
        <is>
          <t>CHAUD</t>
        </is>
      </c>
      <c r="AM4" t="inlineStr"/>
      <c r="AN4" t="inlineStr"/>
      <c r="AO4" t="inlineStr"/>
      <c r="AP4" t="inlineStr"/>
      <c r="AQ4" t="inlineStr">
        <is>
          <t>IA_CONTROLE_SOURCE</t>
        </is>
      </c>
      <c r="AR4" t="inlineStr">
        <is>
          <t>Verifier rapidement la source avant contact.</t>
        </is>
      </c>
      <c r="AS4" t="inlineStr">
        <is>
          <t>Aucun champ critique manquant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26-66091. Objet: Restauration de monuments funéraires et de statues pour la ville d'Asnières-sur-Seine. Acheteur: Mairie d'Asnières sur Seine. Lien: https://www.boamp.fr/pages/avis/?q=idweb:26-66091.</t>
        </is>
      </c>
      <c r="AU4" t="inlineStr">
        <is>
          <t>Verifier url_avis et DCE si disponible</t>
        </is>
      </c>
      <c r="AV4" t="inlineStr"/>
      <c r="AW4" t="inlineStr"/>
      <c r="AX4" t="inlineStr"/>
      <c r="AY4" t="inlineStr"/>
      <c r="AZ4" t="inlineStr"/>
      <c r="BA4" t="inlineStr"/>
      <c r="BB4" t="inlineStr">
        <is>
          <t>+35 nettoyage + categorie claire | +20 budget annualise &lt;= 100 000 EUR | +10 secteur cible Mairie | +10 delai confortable 25j</t>
        </is>
      </c>
      <c r="BC4" t="inlineStr">
        <is>
          <t>Mairie d'Asnières sur Seine publie un AO potentiellement pertinent pour CHRUTH : Restauration de monuments funéraires et de statues pour la ville d'Asnières-sur-Seine. Zone : Asnières sur seine. Budget detecte environ 92 600 EUR. Verifier le lien source avant contact.</t>
        </is>
      </c>
      <c r="BD4" t="inlineStr">
        <is>
          <t>Bonjour,
Je me permets de vous contacter au sujet de votre appel d'offres : Restauration de monuments funéraires et de statues pour la ville d'Asnières-sur-Seine.
CHRUTH accompagne les structures publiques et privées sur les besoins de nettoyage, d'entretien des locaux et d'organisation de prestations de service.
Serait-il possible d'échanger rapidement afin de vérifier les modalités de réponse et les attentes de Mairie d'Asnières sur Seine ?
Cordialement,</t>
        </is>
      </c>
      <c r="BE4" t="inlineStr">
        <is>
          <t>Bonjour, je vous appelle concernant un appel d'offres publié par Mairie d'Asnières sur Seine.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2026-W27</t>
        </is>
      </c>
    </row>
    <row r="5">
      <c r="A5" t="inlineStr">
        <is>
          <t>BOAMP</t>
        </is>
      </c>
      <c r="B5" t="inlineStr">
        <is>
          <t>26-60739</t>
        </is>
      </c>
      <c r="C5" t="inlineStr">
        <is>
          <t>FOURNITURE D'EQUIPEMENTS, PRODUITS D'ENTRETIEN ET HACCP AU PROFIT DE LA VILLE ET DU CCAS DE LONGJUMEAU (2ème procédure)</t>
        </is>
      </c>
      <c r="D5" t="inlineStr">
        <is>
          <t>Ville de Longjumeau</t>
        </is>
      </c>
      <c r="E5" t="inlineStr">
        <is>
          <t>21910345400225</t>
        </is>
      </c>
      <c r="F5" t="inlineStr">
        <is>
          <t>219103454</t>
        </is>
      </c>
      <c r="G5" t="inlineStr"/>
      <c r="H5" t="inlineStr"/>
      <c r="I5" t="inlineStr">
        <is>
          <t>achatpublic@longjumeau.fr</t>
        </is>
      </c>
      <c r="J5" t="inlineStr">
        <is>
          <t>0345400225</t>
        </is>
      </c>
      <c r="K5" t="inlineStr"/>
      <c r="L5" t="inlineStr"/>
      <c r="M5" t="inlineStr"/>
      <c r="N5" t="inlineStr">
        <is>
          <t>91</t>
        </is>
      </c>
      <c r="O5" t="inlineStr"/>
      <c r="P5" t="inlineStr">
        <is>
          <t>Ile-de-France</t>
        </is>
      </c>
      <c r="Q5" s="15" t="n">
        <v>46193</v>
      </c>
      <c r="R5" s="15" t="n">
        <v>46231</v>
      </c>
      <c r="S5" s="14" t="n">
        <v>280000</v>
      </c>
      <c r="T5" t="inlineStr">
        <is>
          <t>BUDGET_EXPLICITE_OK</t>
        </is>
      </c>
      <c r="U5" t="inlineStr">
        <is>
          <t>70000</t>
        </is>
      </c>
      <c r="V5" t="inlineStr">
        <is>
          <t>oui</t>
        </is>
      </c>
      <c r="W5" t="inlineStr">
        <is>
          <t>Batiments</t>
        </is>
      </c>
      <c r="X5" t="inlineStr">
        <is>
          <t>Mairie</t>
        </is>
      </c>
      <c r="Y5" t="inlineStr">
        <is>
          <t>FOURNITURES</t>
        </is>
      </c>
      <c r="Z5" t="inlineStr">
        <is>
          <t>Procédure Ouverte</t>
        </is>
      </c>
      <c r="AA5" t="inlineStr">
        <is>
          <t>Avis de marché</t>
        </is>
      </c>
      <c r="AB5" t="inlineStr">
        <is>
          <t>Hygiène (articles), Produits d'entretien</t>
        </is>
      </c>
      <c r="AC5" t="inlineStr"/>
      <c r="AD5" s="11" t="inlineStr">
        <is>
          <t>https://www.boamp.fr/pages/avis/?q=idweb:26-60739</t>
        </is>
      </c>
      <c r="AE5" t="inlineStr">
        <is>
          <t>http://longjumeau.e-marchespublics.com</t>
        </is>
      </c>
      <c r="AF5" t="inlineStr">
        <is>
          <t>http://longjumeau.e-marchespublics.com</t>
        </is>
      </c>
      <c r="AG5" t="inlineStr">
        <is>
          <t>entretien des locaux</t>
        </is>
      </c>
      <c r="AH5" t="inlineStr">
        <is>
          <t>3</t>
        </is>
      </c>
      <c r="AI5" t="inlineStr">
        <is>
          <t>68</t>
        </is>
      </c>
      <c r="AJ5" t="inlineStr">
        <is>
          <t>INFO_PARTIELLE</t>
        </is>
      </c>
      <c r="AK5" t="inlineStr">
        <is>
          <t>75</t>
        </is>
      </c>
      <c r="AL5" s="13" t="inlineStr">
        <is>
          <t>CHAUD</t>
        </is>
      </c>
      <c r="AM5" t="inlineStr"/>
      <c r="AN5" t="inlineStr"/>
      <c r="AO5" t="inlineStr"/>
      <c r="AP5" t="inlineStr"/>
      <c r="AQ5" t="inlineStr">
        <is>
          <t>IA_CONTACT_A_COMPLETER</t>
        </is>
      </c>
      <c r="AR5" t="inlineStr">
        <is>
          <t>Completer les champs manquants depuis l'avis source, le site acheteur ou le DCE.</t>
        </is>
      </c>
      <c r="AS5" t="inlineStr">
        <is>
          <t>adresse, ville</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26-60739. Objet: FOURNITURE D'EQUIPEMENTS, PRODUITS D'ENTRETIEN ET HACCP AU PROFIT DE LA VILLE ET DU CCAS DE LONGJUMEAU (2ème procédure). Acheteur: Ville de Longjumeau. Lien: https://www.boamp.fr/pages/avis/?q=idweb:26-60739.</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24j</t>
        </is>
      </c>
      <c r="BC5" t="inlineStr">
        <is>
          <t>Ville de Longjumeau publie un AO potentiellement pertinent pour CHRUTH : FOURNITURE D'EQUIPEMENTS, PRODUITS D'ENTRETIEN ET HACCP AU PROFIT DE LA VILLE ET DU CCAS DE LONGJUMEAU (2ème procédure). Zone : 91. Budget detecte environ 280 000 EUR. Verifier le lien source avant contact.</t>
        </is>
      </c>
      <c r="BD5" t="inlineStr">
        <is>
          <t>Bonjour,
Je me permets de vous contacter au sujet de votre appel d'offres : FOURNITURE D'EQUIPEMENTS, PRODUITS D'ENTRETIEN ET HACCP AU PROFIT DE LA VILLE ET DU CCAS DE LONGJUMEAU (2ème procédure).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5"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2026-W25</t>
        </is>
      </c>
    </row>
    <row r="6">
      <c r="A6" t="inlineStr">
        <is>
          <t>BOAMP</t>
        </is>
      </c>
      <c r="B6" t="inlineStr">
        <is>
          <t>26-57399</t>
        </is>
      </c>
      <c r="C6" t="inlineStr">
        <is>
          <t>Prestations de nettoyage de certains équipements de protection individuelle (EPI) et vêtements de travail professionnels</t>
        </is>
      </c>
      <c r="D6" t="inlineStr">
        <is>
          <t>MAIRIE DE ROMAINVILLE</t>
        </is>
      </c>
      <c r="E6" t="inlineStr">
        <is>
          <t>21930063900016</t>
        </is>
      </c>
      <c r="F6" t="inlineStr">
        <is>
          <t>219300639</t>
        </is>
      </c>
      <c r="G6" t="inlineStr">
        <is>
          <t>Adrien VELLA</t>
        </is>
      </c>
      <c r="H6" t="inlineStr"/>
      <c r="I6" t="inlineStr"/>
      <c r="J6" t="inlineStr">
        <is>
          <t>06-10 2026-07</t>
        </is>
      </c>
      <c r="K6" t="inlineStr">
        <is>
          <t>Seine-Saint-Denis</t>
        </is>
      </c>
      <c r="L6" t="inlineStr">
        <is>
          <t>93230</t>
        </is>
      </c>
      <c r="M6" t="inlineStr">
        <is>
          <t>Romainville</t>
        </is>
      </c>
      <c r="N6" t="inlineStr">
        <is>
          <t>93</t>
        </is>
      </c>
      <c r="O6" t="inlineStr"/>
      <c r="P6" t="inlineStr">
        <is>
          <t>Ile-de-France</t>
        </is>
      </c>
      <c r="Q6" s="15" t="n">
        <v>46183</v>
      </c>
      <c r="R6" s="15" t="n">
        <v>46213</v>
      </c>
      <c r="S6" s="14" t="n">
        <v>93230</v>
      </c>
      <c r="T6" t="inlineStr">
        <is>
          <t>BUDGET_SOUS_SEUIL</t>
        </is>
      </c>
      <c r="U6" t="inlineStr">
        <is>
          <t>93230.0</t>
        </is>
      </c>
      <c r="V6" t="inlineStr">
        <is>
          <t>non</t>
        </is>
      </c>
      <c r="W6" t="inlineStr">
        <is>
          <t>Mixte/Autre</t>
        </is>
      </c>
      <c r="X6" t="inlineStr">
        <is>
          <t>Mairie</t>
        </is>
      </c>
      <c r="Y6" t="inlineStr">
        <is>
          <t>SERVICES</t>
        </is>
      </c>
      <c r="Z6" t="inlineStr">
        <is>
          <t>Procédure Ouverte</t>
        </is>
      </c>
      <c r="AA6" t="inlineStr">
        <is>
          <t>Avis de marché</t>
        </is>
      </c>
      <c r="AB6" t="inlineStr">
        <is>
          <t>Blanchissage</t>
        </is>
      </c>
      <c r="AC6" t="inlineStr">
        <is>
          <t>['sociaux', 'environnementaux']</t>
        </is>
      </c>
      <c r="AD6" s="11" t="inlineStr">
        <is>
          <t>https://www.boamp.fr/pages/avis/?q=idweb:26-57399</t>
        </is>
      </c>
      <c r="AE6" t="inlineStr">
        <is>
          <t>https://www.achatpublic.com/sdm/ent/gen/ent_detail.do?PCSLID=CSL_2026_XmI0UKhCKV</t>
        </is>
      </c>
      <c r="AF6" t="inlineStr">
        <is>
          <t>https://www.achatpublic.com/sdm/ent/gen/ent_detail.do?PCSLID=CSL_2026_XmI0UKhCKV</t>
        </is>
      </c>
      <c r="AG6" t="inlineStr">
        <is>
          <t>nettoyage</t>
        </is>
      </c>
      <c r="AH6" t="inlineStr">
        <is>
          <t>5</t>
        </is>
      </c>
      <c r="AI6" t="inlineStr">
        <is>
          <t>88</t>
        </is>
      </c>
      <c r="AJ6" t="inlineStr">
        <is>
          <t>INFO_PARTIELLE</t>
        </is>
      </c>
      <c r="AK6" t="inlineStr">
        <is>
          <t>70</t>
        </is>
      </c>
      <c r="AL6" s="13" t="inlineStr">
        <is>
          <t>CHAUD</t>
        </is>
      </c>
      <c r="AM6" t="inlineStr"/>
      <c r="AN6" t="inlineStr"/>
      <c r="AO6" t="inlineStr"/>
      <c r="AP6" t="inlineStr"/>
      <c r="AQ6" t="inlineStr">
        <is>
          <t>IA_CONTACT_A_COMPLETER</t>
        </is>
      </c>
      <c r="AR6" t="inlineStr">
        <is>
          <t>Completer les champs manquants depuis l'avis source, le site acheteur ou le DCE.</t>
        </is>
      </c>
      <c r="AS6" t="inlineStr">
        <is>
          <t>email</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26-57399. Objet: Prestations de nettoyage de certains équipements de protection individuelle (EPI) et vêtements de travail professionnels. Acheteur: MAIRIE DE ROMAINVILLE. Lien: https://www.boamp.fr/pages/avis/?q=idweb:26-57399.</t>
        </is>
      </c>
      <c r="AU6" t="inlineStr">
        <is>
          <t>Verifier url_avis et DCE si disponible</t>
        </is>
      </c>
      <c r="AV6" t="inlineStr">
        <is>
          <t>LIEN_SEUL</t>
        </is>
      </c>
      <c r="AW6" t="inlineStr"/>
      <c r="AX6" t="inlineStr"/>
      <c r="AY6" t="inlineStr"/>
      <c r="AZ6" t="inlineStr"/>
      <c r="BA6" t="inlineStr"/>
      <c r="BB6" t="inlineStr">
        <is>
          <t>+30 mots-cles nettoyage forts | +20 budget annualise &lt;= 100 000 EUR | +10 secteur cible Mairie | +10 delai confortable 18j</t>
        </is>
      </c>
      <c r="BC6" t="inlineStr">
        <is>
          <t>MAIRIE DE ROMAINVILLE publie un AO potentiellement pertinent pour CHRUTH : Prestations de nettoyage de certains équipements de protection individuelle (EPI) et vêtements de travail professionnels. Zone : Romainville. Budget detecte environ 93 230 EUR. Verifier le lien source avant contact.</t>
        </is>
      </c>
      <c r="BD6" t="inlineStr">
        <is>
          <t>Bonjour,
Je me permets de vous contacter au sujet de votre appel d'offres : Prestations de nettoyage de certains équipements de protection individuelle (EPI) et vêtements de travail professionnels.
CHRUTH accompagne les structures publiques et privees sur les besoins de nettoyage, d'entretien des locaux et d'organisation de prestations de service.
Serait-il possible d'echanger rapidement afin de verifier les modalites de reponse et les attentes de MAIRIE DE ROMAINVILLE ?
Cordialement,</t>
        </is>
      </c>
      <c r="BE6" t="inlineStr">
        <is>
          <t>Bonjour, je vous appelle concernant un appel d'offres publie par MAIRIE DE ROMAINVILLE. Je souhaite verifier les informations pratiques : perimetre des prestations, date limite, modalites de visite, contact technique et pieces attendues. Pouvez-vous m'indiquer la bonne personne a contacter ?</t>
        </is>
      </c>
      <c r="BF6" t="inlineStr"/>
      <c r="BG6" t="inlineStr"/>
      <c r="BH6" t="inlineStr"/>
      <c r="BI6" t="inlineStr"/>
      <c r="BJ6" t="inlineStr"/>
      <c r="BK6" t="inlineStr"/>
      <c r="BL6" t="inlineStr"/>
      <c r="BM6" t="inlineStr">
        <is>
          <t>2026-W24</t>
        </is>
      </c>
    </row>
    <row r="7">
      <c r="A7" t="inlineStr">
        <is>
          <t>BOAMP</t>
        </is>
      </c>
      <c r="B7" t="inlineStr">
        <is>
          <t>26-56654</t>
        </is>
      </c>
      <c r="C7" t="inlineStr">
        <is>
          <t>Prestations de bio-nettoyage, mise à blanc et mise à gris des zones à atmosphère contrôlée au profit du CTSA et de l'UMTI</t>
        </is>
      </c>
      <c r="D7" t="inlineStr">
        <is>
          <t>DAPSA/PFAF-S</t>
        </is>
      </c>
      <c r="E7" t="inlineStr"/>
      <c r="F7" t="inlineStr"/>
      <c r="G7" t="inlineStr">
        <is>
          <t>BARDIEU</t>
        </is>
      </c>
      <c r="H7" t="inlineStr"/>
      <c r="I7" t="inlineStr">
        <is>
          <t>melisande.bardieu@intradef.gouv.fr</t>
        </is>
      </c>
      <c r="J7" t="inlineStr">
        <is>
          <t>0238607455</t>
        </is>
      </c>
      <c r="K7" t="inlineStr"/>
      <c r="L7" t="inlineStr">
        <is>
          <t>45404</t>
        </is>
      </c>
      <c r="M7" t="inlineStr">
        <is>
          <t>FLEURY-LES-AUBRAIS CEDEX</t>
        </is>
      </c>
      <c r="N7" t="inlineStr">
        <is>
          <t>92</t>
        </is>
      </c>
      <c r="O7" t="inlineStr"/>
      <c r="P7" t="inlineStr">
        <is>
          <t>Ile-de-France</t>
        </is>
      </c>
      <c r="Q7" s="15" t="n">
        <v>46182</v>
      </c>
      <c r="R7" s="15" t="n">
        <v>46231</v>
      </c>
      <c r="S7" t="inlineStr"/>
      <c r="T7" t="inlineStr">
        <is>
          <t>A_VERIFIER_BUDGET</t>
        </is>
      </c>
      <c r="U7" t="inlineStr"/>
      <c r="V7" t="inlineStr">
        <is>
          <t>non</t>
        </is>
      </c>
      <c r="W7" t="inlineStr">
        <is>
          <t>Batiments</t>
        </is>
      </c>
      <c r="X7" t="inlineStr">
        <is>
          <t>Autre</t>
        </is>
      </c>
      <c r="Y7" t="inlineStr">
        <is>
          <t>SERVICES</t>
        </is>
      </c>
      <c r="Z7" t="inlineStr">
        <is>
          <t>Procédure Adaptée</t>
        </is>
      </c>
      <c r="AA7" t="inlineStr">
        <is>
          <t>Avis de marché</t>
        </is>
      </c>
      <c r="AB7" t="inlineStr">
        <is>
          <t>Nettoyage de locaux</t>
        </is>
      </c>
      <c r="AC7" t="inlineStr">
        <is>
          <t>['sociaux', 'environnementaux']</t>
        </is>
      </c>
      <c r="AD7" s="11" t="inlineStr">
        <is>
          <t>https://www.boamp.fr/pages/avis/?q=idweb:26-56654</t>
        </is>
      </c>
      <c r="AE7" t="inlineStr">
        <is>
          <t>https://www.marches-publics.gouv.fr/entreprise</t>
        </is>
      </c>
      <c r="AF7" t="inlineStr">
        <is>
          <t>https://www.marches-publics.gouv.fr/entreprise</t>
        </is>
      </c>
      <c r="AG7" t="inlineStr">
        <is>
          <t>nettoyage</t>
        </is>
      </c>
      <c r="AH7" t="inlineStr">
        <is>
          <t>4</t>
        </is>
      </c>
      <c r="AI7" t="inlineStr">
        <is>
          <t>78</t>
        </is>
      </c>
      <c r="AJ7" t="inlineStr">
        <is>
          <t>INFO_PARTIELLE</t>
        </is>
      </c>
      <c r="AK7" t="inlineStr">
        <is>
          <t>70</t>
        </is>
      </c>
      <c r="AL7" s="13" t="inlineStr">
        <is>
          <t>CHAUD</t>
        </is>
      </c>
      <c r="AM7" t="inlineStr"/>
      <c r="AN7" t="inlineStr"/>
      <c r="AO7" t="inlineStr"/>
      <c r="AP7" t="inlineStr"/>
      <c r="AQ7" t="inlineStr">
        <is>
          <t>IA_BUDGET_A_VERIFIER</t>
        </is>
      </c>
      <c r="AR7" t="inlineStr">
        <is>
          <t>Verifier le budget dans l'avis source ou le DCE avant decision commerciale.</t>
        </is>
      </c>
      <c r="AS7" t="inlineStr">
        <is>
          <t>SIRET, adresse, budget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7" t="inlineStr">
        <is>
          <t>Verifier url_avis et DCE si disponible</t>
        </is>
      </c>
      <c r="AV7" t="inlineStr">
        <is>
          <t>LIEN_SEUL</t>
        </is>
      </c>
      <c r="AW7" t="inlineStr"/>
      <c r="AX7" t="inlineStr"/>
      <c r="AY7" t="inlineStr"/>
      <c r="AZ7" t="inlineStr"/>
      <c r="BA7" t="inlineStr"/>
      <c r="BB7" t="inlineStr">
        <is>
          <t>+35 nettoyage + categorie claire | +10 budget non affiche (a verifier) | +15 procedure adaptee / MAPA / allotissement | +10 delai confortable 36j</t>
        </is>
      </c>
      <c r="BC7"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7"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7"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7" t="inlineStr"/>
      <c r="BG7" t="inlineStr"/>
      <c r="BH7" t="inlineStr"/>
      <c r="BI7" t="inlineStr"/>
      <c r="BJ7" t="inlineStr"/>
      <c r="BK7" t="inlineStr"/>
      <c r="BL7" t="inlineStr"/>
      <c r="BM7" t="inlineStr">
        <is>
          <t>2026-W24</t>
        </is>
      </c>
    </row>
    <row r="8">
      <c r="A8" t="inlineStr">
        <is>
          <t>BOAMP</t>
        </is>
      </c>
      <c r="B8" t="inlineStr">
        <is>
          <t>26-54018</t>
        </is>
      </c>
      <c r="C8" t="inlineStr">
        <is>
          <t>Accord-cadre relatif à la maintenance préventive et corrective des aires de jeux de la Ville</t>
        </is>
      </c>
      <c r="D8" t="inlineStr">
        <is>
          <t>Mairie de Mantes La Jolie</t>
        </is>
      </c>
      <c r="E8" t="inlineStr">
        <is>
          <t>21780361800016</t>
        </is>
      </c>
      <c r="F8" t="inlineStr">
        <is>
          <t>217803618</t>
        </is>
      </c>
      <c r="G8" t="inlineStr"/>
      <c r="H8" t="inlineStr"/>
      <c r="I8" t="inlineStr">
        <is>
          <t>marchespublics@manteslajolie.fr</t>
        </is>
      </c>
      <c r="J8" t="inlineStr">
        <is>
          <t>0361800016</t>
        </is>
      </c>
      <c r="K8" t="inlineStr"/>
      <c r="L8" t="inlineStr"/>
      <c r="M8" t="inlineStr"/>
      <c r="N8" t="inlineStr">
        <is>
          <t>78,27</t>
        </is>
      </c>
      <c r="O8" t="inlineStr"/>
      <c r="P8" t="inlineStr">
        <is>
          <t>Ile-de-France</t>
        </is>
      </c>
      <c r="Q8" s="15" t="n">
        <v>46176</v>
      </c>
      <c r="R8" s="15" t="n">
        <v>46211</v>
      </c>
      <c r="S8" s="14" t="n">
        <v>100000</v>
      </c>
      <c r="T8" t="inlineStr">
        <is>
          <t>BUDGET_EXPLICITE_OK</t>
        </is>
      </c>
      <c r="U8" t="inlineStr">
        <is>
          <t>100000.0</t>
        </is>
      </c>
      <c r="V8" t="inlineStr">
        <is>
          <t>non</t>
        </is>
      </c>
      <c r="W8" t="inlineStr">
        <is>
          <t>Mixte/Autre</t>
        </is>
      </c>
      <c r="X8" t="inlineStr">
        <is>
          <t>Mairie</t>
        </is>
      </c>
      <c r="Y8" t="inlineStr">
        <is>
          <t>SERVICES</t>
        </is>
      </c>
      <c r="Z8" t="inlineStr">
        <is>
          <t>Procédure Ouverte</t>
        </is>
      </c>
      <c r="AA8" t="inlineStr">
        <is>
          <t>Avis de marché</t>
        </is>
      </c>
      <c r="AB8" t="inlineStr">
        <is>
          <t>Maintenance, Aire de jeux</t>
        </is>
      </c>
      <c r="AC8" t="inlineStr">
        <is>
          <t>['environnementaux']</t>
        </is>
      </c>
      <c r="AD8" s="11" t="inlineStr">
        <is>
          <t>https://www.boamp.fr/pages/avis/?q=idweb:26-54018</t>
        </is>
      </c>
      <c r="AE8" t="inlineStr">
        <is>
          <t>https://www.achatpublic.com/sdm/ent/gen/ent_detail.do?PCSLID=CSL_2026_yXczYwEh1y</t>
        </is>
      </c>
      <c r="AF8" t="inlineStr">
        <is>
          <t>https://www.achatpublic.com/sdm/ent/gen/ent_detail.do?PCSLID=CSL_2026_yXczYwEh1y</t>
        </is>
      </c>
      <c r="AG8" t="inlineStr">
        <is>
          <t>nettoyage</t>
        </is>
      </c>
      <c r="AH8" t="inlineStr">
        <is>
          <t>3</t>
        </is>
      </c>
      <c r="AI8" t="inlineStr">
        <is>
          <t>68</t>
        </is>
      </c>
      <c r="AJ8" t="inlineStr">
        <is>
          <t>INFO_PARTIELLE</t>
        </is>
      </c>
      <c r="AK8" t="inlineStr">
        <is>
          <t>70</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adresse, ville</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26-54018. Objet: Accord-cadre relatif à la maintenance préventive et corrective des aires de jeux de la Ville. Acheteur: Mairie de Mantes La Jolie. Lien: https://www.boamp.fr/pages/avis/?q=idweb:26-54018.</t>
        </is>
      </c>
      <c r="AU8" t="inlineStr">
        <is>
          <t>Verifier url_avis et DCE si disponible</t>
        </is>
      </c>
      <c r="AV8" t="inlineStr"/>
      <c r="AW8" t="inlineStr"/>
      <c r="AX8" t="inlineStr"/>
      <c r="AY8" t="inlineStr"/>
      <c r="AZ8" t="inlineStr"/>
      <c r="BA8" t="inlineStr"/>
      <c r="BB8" t="inlineStr">
        <is>
          <t>+30 mots-cles nettoyage forts | +20 budget annualise &lt;= 100 000 EUR | +10 secteur cible Mairie | +10 delai confortable 21j</t>
        </is>
      </c>
      <c r="BC8" t="inlineStr">
        <is>
          <t>Mairie de Mantes La Jolie publie un AO potentiellement pertinent pour CHRUTH : Accord-cadre relatif à la maintenance préventive et corrective des aires de jeux de la Ville. Zone : 78,27. Budget detecte environ 100 000 EUR. Verifier le lien source avant contact.</t>
        </is>
      </c>
      <c r="BD8" t="inlineStr">
        <is>
          <t>Bonjour,
Je me permets de vous contacter au sujet de votre appel d'offres : Accord-cadre relatif à la maintenance préventive et corrective des aires de jeux de la Ville.
CHRUTH accompagne les structures publiques et privees sur les besoins de nettoyage, d'entretien des locaux et d'organisation de prestations de service.
Serait-il possible d'echanger rapidement afin de verifier les modalites de reponse et les attentes de Mairie de Mantes La Jolie ?
Cordialement,</t>
        </is>
      </c>
      <c r="BE8" t="inlineStr">
        <is>
          <t>Bonjour, je vous appelle concernant un appel d'offres publie par Mairie de Mantes La Jolie. Je souhaite verifier les informations pratiques : perimetre des prestations, date limite, modalites de visite, contact technique et pieces attendues. Pouvez-vous m'indiquer la bonne personne a contacter ?</t>
        </is>
      </c>
      <c r="BF8" t="inlineStr"/>
      <c r="BG8" t="inlineStr"/>
      <c r="BH8" t="inlineStr"/>
      <c r="BI8" t="inlineStr"/>
      <c r="BJ8" t="inlineStr"/>
      <c r="BK8" t="inlineStr"/>
      <c r="BL8" t="inlineStr"/>
      <c r="BM8" t="inlineStr">
        <is>
          <t>2026-W23</t>
        </is>
      </c>
    </row>
    <row r="9">
      <c r="A9" t="inlineStr">
        <is>
          <t>BOAMP</t>
        </is>
      </c>
      <c r="B9" t="inlineStr">
        <is>
          <t>26-64286</t>
        </is>
      </c>
      <c r="C9" t="inlineStr">
        <is>
          <t>Prestations de nettoyage des locaux</t>
        </is>
      </c>
      <c r="D9" t="inlineStr">
        <is>
          <t>Commune de Montfermeil</t>
        </is>
      </c>
      <c r="E9" t="inlineStr">
        <is>
          <t>21930047200194</t>
        </is>
      </c>
      <c r="F9" t="inlineStr">
        <is>
          <t>219300472</t>
        </is>
      </c>
      <c r="G9" t="inlineStr"/>
      <c r="H9" t="inlineStr"/>
      <c r="I9" t="inlineStr">
        <is>
          <t>service.marches@ville-montfermeil.fr</t>
        </is>
      </c>
      <c r="J9" t="inlineStr">
        <is>
          <t>0194 014170</t>
        </is>
      </c>
      <c r="K9" t="inlineStr"/>
      <c r="L9" t="inlineStr"/>
      <c r="M9" t="inlineStr"/>
      <c r="N9" t="inlineStr">
        <is>
          <t>93</t>
        </is>
      </c>
      <c r="O9" t="inlineStr"/>
      <c r="P9" t="inlineStr">
        <is>
          <t>Ile-de-France</t>
        </is>
      </c>
      <c r="Q9" s="15" t="n">
        <v>46204</v>
      </c>
      <c r="R9" s="15" t="n">
        <v>46237</v>
      </c>
      <c r="S9" t="inlineStr"/>
      <c r="T9" t="inlineStr">
        <is>
          <t>A_VERIFIER_BUDGET</t>
        </is>
      </c>
      <c r="U9" t="inlineStr"/>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c r="AD9" s="11" t="inlineStr">
        <is>
          <t>https://www.boamp.fr/pages/avis/?q=idweb:26-64286</t>
        </is>
      </c>
      <c r="AE9" t="inlineStr">
        <is>
          <t>https://marches.maximilien.fr/?page=Entreprise.EntrepriseAdvancedSearch&amp;AllCons&amp;id=933515&amp;orgAcronyme=y0w</t>
        </is>
      </c>
      <c r="AF9" t="inlineStr">
        <is>
          <t>https://marches.maximilien.fr/?page=Entreprise.EntrepriseAdvancedSearch&amp;AllCons&amp;id=933515&amp;orgAcronyme=y0w</t>
        </is>
      </c>
      <c r="AG9" t="inlineStr">
        <is>
          <t>nettoyage</t>
        </is>
      </c>
      <c r="AH9" t="inlineStr">
        <is>
          <t>3</t>
        </is>
      </c>
      <c r="AI9" t="inlineStr">
        <is>
          <t>68</t>
        </is>
      </c>
      <c r="AJ9" t="inlineStr">
        <is>
          <t>INFO_PARTIELLE</t>
        </is>
      </c>
      <c r="AK9" t="inlineStr">
        <is>
          <t>65</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adresse, ville,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9" t="inlineStr">
        <is>
          <t>Verifier url_avis et DCE si disponible</t>
        </is>
      </c>
      <c r="AV9" t="inlineStr"/>
      <c r="AW9" t="inlineStr"/>
      <c r="AX9" t="inlineStr"/>
      <c r="AY9" t="inlineStr"/>
      <c r="AZ9" t="inlineStr"/>
      <c r="BA9" t="inlineStr"/>
      <c r="BB9" t="inlineStr">
        <is>
          <t>+35 nettoyage + categorie claire | +10 budget non affiche (a verifier) | +10 secteur cible Mairie | +10 delai confortable 28j</t>
        </is>
      </c>
      <c r="BC9" t="inlineStr">
        <is>
          <t>Commune de Montfermeil publie un AO potentiellement pertinent pour CHRUTH : Prestations de nettoyage des locaux. Zone : 93. Budget a verifier. Verifier le lien source avant contact.</t>
        </is>
      </c>
      <c r="BD9"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9"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2026-W27</t>
        </is>
      </c>
    </row>
    <row r="10">
      <c r="A10" t="inlineStr">
        <is>
          <t>BOAMP</t>
        </is>
      </c>
      <c r="B10" t="inlineStr">
        <is>
          <t>26-63518</t>
        </is>
      </c>
      <c r="C10" t="inlineStr">
        <is>
          <t>NETTOYAGE DES BÂTIMENTS COMMUNAUX</t>
        </is>
      </c>
      <c r="D10" t="inlineStr">
        <is>
          <t>MAIRIE DE SAINT-CLAIR-SUR6epte</t>
        </is>
      </c>
      <c r="E10" t="inlineStr">
        <is>
          <t>21950541900016</t>
        </is>
      </c>
      <c r="F10" t="inlineStr">
        <is>
          <t>219505419</t>
        </is>
      </c>
      <c r="G10" t="inlineStr"/>
      <c r="H10" t="inlineStr"/>
      <c r="I10" t="inlineStr">
        <is>
          <t>charlotte.stclair@outlook.fr</t>
        </is>
      </c>
      <c r="J10" t="inlineStr">
        <is>
          <t>0541900016</t>
        </is>
      </c>
      <c r="K10" t="inlineStr"/>
      <c r="L10" t="inlineStr"/>
      <c r="M10" t="inlineStr"/>
      <c r="N10" t="inlineStr">
        <is>
          <t>95</t>
        </is>
      </c>
      <c r="O10" t="inlineStr"/>
      <c r="P10" t="inlineStr">
        <is>
          <t>Ile-de-France</t>
        </is>
      </c>
      <c r="Q10" s="15" t="n">
        <v>46201</v>
      </c>
      <c r="R10" s="15" t="n">
        <v>46276</v>
      </c>
      <c r="S10" t="inlineStr"/>
      <c r="T10" t="inlineStr">
        <is>
          <t>A_VERIFIER_BUDGET</t>
        </is>
      </c>
      <c r="U10" t="inlineStr"/>
      <c r="V10" t="inlineStr">
        <is>
          <t>non</t>
        </is>
      </c>
      <c r="W10" t="inlineStr">
        <is>
          <t>Batiments</t>
        </is>
      </c>
      <c r="X10" t="inlineStr">
        <is>
          <t>Mairie</t>
        </is>
      </c>
      <c r="Y10" t="inlineStr">
        <is>
          <t>SERVICES</t>
        </is>
      </c>
      <c r="Z10" t="inlineStr">
        <is>
          <t>Procédure Ouverte</t>
        </is>
      </c>
      <c r="AA10" t="inlineStr">
        <is>
          <t>Avis de marché</t>
        </is>
      </c>
      <c r="AB10" t="inlineStr">
        <is>
          <t>Nettoyage de locaux, Bâtiment</t>
        </is>
      </c>
      <c r="AC10" t="inlineStr"/>
      <c r="AD10" s="11" t="inlineStr">
        <is>
          <t>https://www.boamp.fr/pages/avis/?q=idweb:26-63518</t>
        </is>
      </c>
      <c r="AE10" t="inlineStr">
        <is>
          <t>https://marches.maximilien.fr/entreprise/consultation/942071?orgAcronyme=d8o</t>
        </is>
      </c>
      <c r="AF10" t="inlineStr">
        <is>
          <t>https://marches.maximilien.fr/entreprise/consultation/942071?orgAcronyme=d8o</t>
        </is>
      </c>
      <c r="AG10" t="inlineStr">
        <is>
          <t>nettoyage, menage</t>
        </is>
      </c>
      <c r="AH10" t="inlineStr">
        <is>
          <t>3</t>
        </is>
      </c>
      <c r="AI10" t="inlineStr">
        <is>
          <t>76</t>
        </is>
      </c>
      <c r="AJ10" t="inlineStr">
        <is>
          <t>INFO_PARTIELLE</t>
        </is>
      </c>
      <c r="AK10" t="inlineStr">
        <is>
          <t>65</t>
        </is>
      </c>
      <c r="AL10" s="13" t="inlineStr">
        <is>
          <t>CHAUD</t>
        </is>
      </c>
      <c r="AM10" t="inlineStr"/>
      <c r="AN10" t="inlineStr"/>
      <c r="AO10" t="inlineStr"/>
      <c r="AP10" t="inlineStr"/>
      <c r="AQ10" t="inlineStr">
        <is>
          <t>IA_BUDGET_A_VERIFIER</t>
        </is>
      </c>
      <c r="AR10" t="inlineStr">
        <is>
          <t>Verifier le budget dans l'avis source ou le DCE avant decision commerciale.</t>
        </is>
      </c>
      <c r="AS10" t="inlineStr">
        <is>
          <t>adresse, ville,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10" t="inlineStr">
        <is>
          <t>Verifier url_avis et DCE si disponible</t>
        </is>
      </c>
      <c r="AV10" t="inlineStr"/>
      <c r="AW10" t="inlineStr"/>
      <c r="AX10" t="inlineStr"/>
      <c r="AY10" t="inlineStr"/>
      <c r="AZ10" t="inlineStr"/>
      <c r="BA10" t="inlineStr"/>
      <c r="BB10" t="inlineStr">
        <is>
          <t>+35 nettoyage + categorie claire | +10 budget non affiche (a verifier) | +10 secteur cible Mairie | +10 delai confortable 67j</t>
        </is>
      </c>
      <c r="BC10" t="inlineStr">
        <is>
          <t>MAIRIE DE SAINT-CLAIR-SUR6epte publie un AO potentiellement pertinent pour CHRUTH : NETTOYAGE DES BÂTIMENTS COMMUNAUX. Zone : 95. Budget a verifier. Verifier le lien source avant contact.</t>
        </is>
      </c>
      <c r="BD10"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10"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2026-W26</t>
        </is>
      </c>
    </row>
    <row r="11">
      <c r="A11" t="inlineStr">
        <is>
          <t>BOAMP</t>
        </is>
      </c>
      <c r="B11" t="inlineStr">
        <is>
          <t>26-63201</t>
        </is>
      </c>
      <c r="C11" t="inlineStr">
        <is>
          <t>PRESTATION DE NETTOYAGE ET D'ENTRETIEN DES LOCAUX COMMUNAUX</t>
        </is>
      </c>
      <c r="D11" t="inlineStr">
        <is>
          <t>Commune de Saulx Les Chartreux</t>
        </is>
      </c>
      <c r="E11" t="inlineStr">
        <is>
          <t>21910587100012</t>
        </is>
      </c>
      <c r="F11" t="inlineStr">
        <is>
          <t>219105871</t>
        </is>
      </c>
      <c r="G11" t="inlineStr"/>
      <c r="H11" t="inlineStr"/>
      <c r="I11" t="inlineStr">
        <is>
          <t>finances@saulx.org</t>
        </is>
      </c>
      <c r="J11" t="inlineStr">
        <is>
          <t>0587100012</t>
        </is>
      </c>
      <c r="K11" t="inlineStr"/>
      <c r="L11" t="inlineStr"/>
      <c r="M11" t="inlineStr"/>
      <c r="N11" t="inlineStr">
        <is>
          <t>91,92,93,94</t>
        </is>
      </c>
      <c r="O11" t="inlineStr"/>
      <c r="P11" t="inlineStr">
        <is>
          <t>Ile-de-France</t>
        </is>
      </c>
      <c r="Q11" s="15" t="n">
        <v>46200</v>
      </c>
      <c r="R11" s="15" t="n">
        <v>46234</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is>
          <t>['environnementaux']</t>
        </is>
      </c>
      <c r="AD11" s="11" t="inlineStr">
        <is>
          <t>https://www.boamp.fr/pages/avis/?q=idweb:26-63201</t>
        </is>
      </c>
      <c r="AE11" t="inlineStr">
        <is>
          <t>https://www.achatpublic.com/sdm/ent/gen/ent_detail.do?PCSLID=CSL_2026_-rboFCvnvk</t>
        </is>
      </c>
      <c r="AF11" t="inlineStr">
        <is>
          <t>https://www.achatpublic.com/sdm/ent/gen/ent_detail.do?PCSLID=CSL_2026_-rboFCvnvk</t>
        </is>
      </c>
      <c r="AG11" t="inlineStr">
        <is>
          <t>nettoyage, entretien des locaux</t>
        </is>
      </c>
      <c r="AH11" t="inlineStr">
        <is>
          <t>3</t>
        </is>
      </c>
      <c r="AI11" t="inlineStr">
        <is>
          <t>76</t>
        </is>
      </c>
      <c r="AJ11" t="inlineStr">
        <is>
          <t>INFO_PARTIELLE</t>
        </is>
      </c>
      <c r="AK11" t="inlineStr">
        <is>
          <t>65</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11" t="inlineStr">
        <is>
          <t>Verifier url_avis et DCE si disponible</t>
        </is>
      </c>
      <c r="AV11" t="inlineStr"/>
      <c r="AW11" t="inlineStr"/>
      <c r="AX11" t="inlineStr"/>
      <c r="AY11" t="inlineStr"/>
      <c r="AZ11" t="inlineStr"/>
      <c r="BA11" t="inlineStr"/>
      <c r="BB11" t="inlineStr">
        <is>
          <t>+35 nettoyage + categorie claire | +10 budget non affiche (a verifier) | +10 secteur cible Mairie | +10 delai confortable 25j</t>
        </is>
      </c>
      <c r="BC11" t="inlineStr">
        <is>
          <t>Commune de Saulx Les Chartreux publie un AO potentiellement pertinent pour CHRUTH : PRESTATION DE NETTOYAGE ET D'ENTRETIEN DES LOCAUX COMMUNAUX. Zone : 91,92,93,94. Budget a verifier. Verifier le lien source avant contact.</t>
        </is>
      </c>
      <c r="BD11"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11"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2026-W26</t>
        </is>
      </c>
    </row>
    <row r="12">
      <c r="A12" t="inlineStr">
        <is>
          <t>BOAMP</t>
        </is>
      </c>
      <c r="B12" t="inlineStr">
        <is>
          <t>26-62837</t>
        </is>
      </c>
      <c r="C12" t="inlineStr">
        <is>
          <t>PRESTATION DE NETTOYAGE DES LOCAUX ET DE LA VITRERIE</t>
        </is>
      </c>
      <c r="D12" t="inlineStr">
        <is>
          <t>ENC-PSL</t>
        </is>
      </c>
      <c r="E12" t="inlineStr">
        <is>
          <t>19753478700043</t>
        </is>
      </c>
      <c r="F12" t="inlineStr">
        <is>
          <t>197534787</t>
        </is>
      </c>
      <c r="G12" t="inlineStr">
        <is>
          <t>ZAKARIA</t>
        </is>
      </c>
      <c r="H12" t="inlineStr"/>
      <c r="I12" t="inlineStr">
        <is>
          <t>yvan.zakaria@chartes.psl.eu</t>
        </is>
      </c>
      <c r="J12" t="inlineStr">
        <is>
          <t>+33 155422161</t>
        </is>
      </c>
      <c r="K12" t="inlineStr">
        <is>
          <t>PARIS</t>
        </is>
      </c>
      <c r="L12" t="inlineStr">
        <is>
          <t>75002</t>
        </is>
      </c>
      <c r="M12" t="inlineStr">
        <is>
          <t>Paris</t>
        </is>
      </c>
      <c r="N12" t="inlineStr">
        <is>
          <t>75</t>
        </is>
      </c>
      <c r="O12" t="inlineStr"/>
      <c r="P12" t="inlineStr">
        <is>
          <t>Ile-de-France</t>
        </is>
      </c>
      <c r="Q12" s="15" t="n">
        <v>46198</v>
      </c>
      <c r="R12" s="15" t="n">
        <v>46227</v>
      </c>
      <c r="S12" s="14" t="n">
        <v>75002</v>
      </c>
      <c r="T12" t="inlineStr">
        <is>
          <t>BUDGET_SOUS_SEUIL</t>
        </is>
      </c>
      <c r="U12" t="inlineStr">
        <is>
          <t>75002.0</t>
        </is>
      </c>
      <c r="V12" t="inlineStr">
        <is>
          <t>non</t>
        </is>
      </c>
      <c r="W12" t="inlineStr">
        <is>
          <t>Vitres</t>
        </is>
      </c>
      <c r="X12" t="inlineStr">
        <is>
          <t>Autre</t>
        </is>
      </c>
      <c r="Y12" t="inlineStr">
        <is>
          <t>SERVICES</t>
        </is>
      </c>
      <c r="Z12" t="inlineStr">
        <is>
          <t>Procédure Ouverte</t>
        </is>
      </c>
      <c r="AA12" t="inlineStr">
        <is>
          <t>Avis de marché</t>
        </is>
      </c>
      <c r="AB12" t="inlineStr">
        <is>
          <t>Nettoyage de locaux</t>
        </is>
      </c>
      <c r="AC12" t="inlineStr">
        <is>
          <t>['environnementaux']</t>
        </is>
      </c>
      <c r="AD12" s="11" t="inlineStr">
        <is>
          <t>https://www.boamp.fr/pages/avis/?q=idweb:26-62837</t>
        </is>
      </c>
      <c r="AE12" t="inlineStr">
        <is>
          <t>https://www.marches-publics.gouv.fr/entreprise/consultation/3025739?orgAcronyme=f2h</t>
        </is>
      </c>
      <c r="AF12" t="inlineStr">
        <is>
          <t>https://www.marches-publics.gouv.fr/entreprise/consultation/3025739?orgAcronyme=f2h</t>
        </is>
      </c>
      <c r="AG12" t="inlineStr">
        <is>
          <t>nettoyage</t>
        </is>
      </c>
      <c r="AH12" t="inlineStr">
        <is>
          <t>6</t>
        </is>
      </c>
      <c r="AI12" t="inlineStr">
        <is>
          <t>98</t>
        </is>
      </c>
      <c r="AJ12" t="inlineStr">
        <is>
          <t>INFO_PARTIELLE</t>
        </is>
      </c>
      <c r="AK12" t="inlineStr">
        <is>
          <t>65</t>
        </is>
      </c>
      <c r="AL12" s="13" t="inlineStr">
        <is>
          <t>CHAUD</t>
        </is>
      </c>
      <c r="AM12" t="inlineStr"/>
      <c r="AN12" t="inlineStr"/>
      <c r="AO12" t="inlineStr"/>
      <c r="AP12" t="inlineStr"/>
      <c r="AQ12" t="inlineStr">
        <is>
          <t>IA_CONTROLE_SOURCE</t>
        </is>
      </c>
      <c r="AR12" t="inlineStr">
        <is>
          <t>Verifier rapidement la source avant contact.</t>
        </is>
      </c>
      <c r="AS12" t="inlineStr">
        <is>
          <t>Aucun champ critique manquant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26-62837. Objet: PRESTATION DE NETTOYAGE DES LOCAUX ET DE LA VITRERIE. Acheteur: ENC-PSL. Lien: https://www.boamp.fr/pages/avis/?q=idweb:26-62837.</t>
        </is>
      </c>
      <c r="AU12" t="inlineStr">
        <is>
          <t>Verifier url_avis et DCE si disponible</t>
        </is>
      </c>
      <c r="AV12" t="inlineStr"/>
      <c r="AW12" t="inlineStr"/>
      <c r="AX12" t="inlineStr"/>
      <c r="AY12" t="inlineStr"/>
      <c r="AZ12" t="inlineStr"/>
      <c r="BA12" t="inlineStr"/>
      <c r="BB12" t="inlineStr">
        <is>
          <t>+35 nettoyage + categorie claire | +20 budget annualise &lt;= 100 000 EUR | +10 delai confortable 18j</t>
        </is>
      </c>
      <c r="BC12" t="inlineStr">
        <is>
          <t>ENC-PSL publie un AO potentiellement pertinent pour CHRUTH : PRESTATION DE NETTOYAGE DES LOCAUX ET DE LA VITRERIE. Zone : Paris. Budget detecte environ 75 002 EUR. Verifier le lien source avant contact.</t>
        </is>
      </c>
      <c r="BD12"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ENC-PSL ?
Cordialement,</t>
        </is>
      </c>
      <c r="BE12" t="inlineStr">
        <is>
          <t>Bonjour, je vous appelle concernant un appel d'offres publié par ENC-PSL.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26-62488</t>
        </is>
      </c>
      <c r="C13" t="inlineStr">
        <is>
          <t>Prestation de nettoyage des locaux et de la vitrerie</t>
        </is>
      </c>
      <c r="D13" t="inlineStr">
        <is>
          <t>ECOLE NATIONALE DES CHARTES</t>
        </is>
      </c>
      <c r="E13" t="inlineStr">
        <is>
          <t>19753478700043</t>
        </is>
      </c>
      <c r="F13" t="inlineStr">
        <is>
          <t>197534787</t>
        </is>
      </c>
      <c r="G13" t="inlineStr">
        <is>
          <t>service logistique</t>
        </is>
      </c>
      <c r="H13" t="inlineStr"/>
      <c r="I13" t="inlineStr">
        <is>
          <t>daf@chartes.psl.eu</t>
        </is>
      </c>
      <c r="J13" t="inlineStr">
        <is>
          <t>06-24 2026-07</t>
        </is>
      </c>
      <c r="K13" t="inlineStr">
        <is>
          <t>Paris 75002</t>
        </is>
      </c>
      <c r="L13" t="inlineStr">
        <is>
          <t>75002</t>
        </is>
      </c>
      <c r="M13" t="inlineStr">
        <is>
          <t>Paris</t>
        </is>
      </c>
      <c r="N13" t="inlineStr">
        <is>
          <t>75,77,78,91,92,93,94,95</t>
        </is>
      </c>
      <c r="O13" t="inlineStr"/>
      <c r="P13" t="inlineStr">
        <is>
          <t>Ile-de-France</t>
        </is>
      </c>
      <c r="Q13" s="15" t="n">
        <v>46197</v>
      </c>
      <c r="R13" s="15" t="n">
        <v>46227</v>
      </c>
      <c r="S13" t="inlineStr"/>
      <c r="T13" t="inlineStr">
        <is>
          <t>A_VERIFIER_BUDGET</t>
        </is>
      </c>
      <c r="U13" t="inlineStr"/>
      <c r="V13" t="inlineStr">
        <is>
          <t>non</t>
        </is>
      </c>
      <c r="W13" t="inlineStr">
        <is>
          <t>Vitres</t>
        </is>
      </c>
      <c r="X13" t="inlineStr">
        <is>
          <t>Ecole</t>
        </is>
      </c>
      <c r="Y13" t="inlineStr">
        <is>
          <t>SERVICES</t>
        </is>
      </c>
      <c r="Z13" t="inlineStr">
        <is>
          <t>Procédure Ouverte</t>
        </is>
      </c>
      <c r="AA13" t="inlineStr">
        <is>
          <t>Avis de marché</t>
        </is>
      </c>
      <c r="AB13" t="inlineStr">
        <is>
          <t>Nettoyage de locaux</t>
        </is>
      </c>
      <c r="AC13" t="inlineStr">
        <is>
          <t>['environnementaux']</t>
        </is>
      </c>
      <c r="AD13" s="11" t="inlineStr">
        <is>
          <t>https://www.boamp.fr/pages/avis/?q=idweb:26-62488</t>
        </is>
      </c>
      <c r="AE13" t="inlineStr"/>
      <c r="AF13" t="inlineStr"/>
      <c r="AG13" t="inlineStr">
        <is>
          <t>nettoyage</t>
        </is>
      </c>
      <c r="AH13" t="inlineStr">
        <is>
          <t>6</t>
        </is>
      </c>
      <c r="AI13" t="inlineStr">
        <is>
          <t>98</t>
        </is>
      </c>
      <c r="AJ13" t="inlineStr">
        <is>
          <t>INFO_PARTIELLE</t>
        </is>
      </c>
      <c r="AK13" t="inlineStr">
        <is>
          <t>65</t>
        </is>
      </c>
      <c r="AL13" s="13" t="inlineStr">
        <is>
          <t>CHAUD</t>
        </is>
      </c>
      <c r="AM13" t="inlineStr"/>
      <c r="AN13" t="inlineStr"/>
      <c r="AO13" t="inlineStr"/>
      <c r="AP13" t="inlineStr"/>
      <c r="AQ13" t="inlineStr">
        <is>
          <t>IA_BUDGET_A_VERIFIER</t>
        </is>
      </c>
      <c r="AR13" t="inlineStr">
        <is>
          <t>Verifier le budget dans l'avis source ou le DCE avant decision commerciale.</t>
        </is>
      </c>
      <c r="AS13" t="inlineStr">
        <is>
          <t>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13" t="inlineStr">
        <is>
          <t>Verifier url_avis et DCE si disponible</t>
        </is>
      </c>
      <c r="AV13" t="inlineStr"/>
      <c r="AW13" t="inlineStr"/>
      <c r="AX13" t="inlineStr"/>
      <c r="AY13" t="inlineStr"/>
      <c r="AZ13" t="inlineStr"/>
      <c r="BA13" t="inlineStr"/>
      <c r="BB13" t="inlineStr">
        <is>
          <t>+35 nettoyage + categorie claire | +10 budget non affiche (a verifier) | +10 secteur cible Ecole | +10 delai confortable 18j</t>
        </is>
      </c>
      <c r="BC13" t="inlineStr">
        <is>
          <t>ECOLE NATIONALE DES CHARTES publie un AO potentiellement pertinent pour CHRUTH : Prestation de nettoyage des locaux et de la vitrerie. Zone : Paris. Budget a verifier. Verifier le lien source avant contact.</t>
        </is>
      </c>
      <c r="BD13"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13"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26-61263</t>
        </is>
      </c>
      <c r="C14" t="inlineStr">
        <is>
          <t>NETTOYAGE ET ENTRETIEN DES BATIMENTS COMMUNAUX</t>
        </is>
      </c>
      <c r="D14" t="inlineStr">
        <is>
          <t>MAIRIE DE MERIEL</t>
        </is>
      </c>
      <c r="E14" t="inlineStr">
        <is>
          <t>21950392700010</t>
        </is>
      </c>
      <c r="F14" t="inlineStr">
        <is>
          <t>219503927</t>
        </is>
      </c>
      <c r="G14" t="inlineStr"/>
      <c r="H14" t="inlineStr"/>
      <c r="I14" t="inlineStr">
        <is>
          <t>dgs@meriel.fr</t>
        </is>
      </c>
      <c r="J14" t="inlineStr">
        <is>
          <t>0392700010</t>
        </is>
      </c>
      <c r="K14" t="inlineStr"/>
      <c r="L14" t="inlineStr"/>
      <c r="M14" t="inlineStr"/>
      <c r="N14" t="inlineStr">
        <is>
          <t>95</t>
        </is>
      </c>
      <c r="O14" t="inlineStr"/>
      <c r="P14" t="inlineStr">
        <is>
          <t>Ile-de-France</t>
        </is>
      </c>
      <c r="Q14" s="15" t="n">
        <v>46194</v>
      </c>
      <c r="R14" s="15" t="n">
        <v>46227</v>
      </c>
      <c r="S14" t="inlineStr"/>
      <c r="T14" t="inlineStr">
        <is>
          <t>A_VERIFIER_BUDGET</t>
        </is>
      </c>
      <c r="U14" t="inlineStr"/>
      <c r="V14" t="inlineStr">
        <is>
          <t>non</t>
        </is>
      </c>
      <c r="W14" t="inlineStr">
        <is>
          <t>Vitres</t>
        </is>
      </c>
      <c r="X14" t="inlineStr">
        <is>
          <t>Mairie</t>
        </is>
      </c>
      <c r="Y14" t="inlineStr">
        <is>
          <t>SERVICES</t>
        </is>
      </c>
      <c r="Z14" t="inlineStr">
        <is>
          <t>Procédure Ouverte</t>
        </is>
      </c>
      <c r="AA14" t="inlineStr">
        <is>
          <t>Avis de marché</t>
        </is>
      </c>
      <c r="AB14" t="inlineStr">
        <is>
          <t>Nettoyage de locaux</t>
        </is>
      </c>
      <c r="AC14" t="inlineStr"/>
      <c r="AD14" s="11" t="inlineStr">
        <is>
          <t>https://www.boamp.fr/pages/avis/?q=idweb:26-61263</t>
        </is>
      </c>
      <c r="AE14" t="inlineStr">
        <is>
          <t>https://www.maximilien.fr</t>
        </is>
      </c>
      <c r="AF14" t="inlineStr">
        <is>
          <t>https://www.maximilien.fr</t>
        </is>
      </c>
      <c r="AG14" t="inlineStr">
        <is>
          <t>nettoyage</t>
        </is>
      </c>
      <c r="AH14" t="inlineStr">
        <is>
          <t>3</t>
        </is>
      </c>
      <c r="AI14" t="inlineStr">
        <is>
          <t>68</t>
        </is>
      </c>
      <c r="AJ14" t="inlineStr">
        <is>
          <t>INFO_PARTIELLE</t>
        </is>
      </c>
      <c r="AK14" t="inlineStr">
        <is>
          <t>65</t>
        </is>
      </c>
      <c r="AL14" s="13" t="inlineStr">
        <is>
          <t>CHAUD</t>
        </is>
      </c>
      <c r="AM14" t="inlineStr"/>
      <c r="AN14" t="inlineStr"/>
      <c r="AO14" t="inlineStr"/>
      <c r="AP14" t="inlineStr"/>
      <c r="AQ14" t="inlineStr">
        <is>
          <t>IA_BUDGET_A_VERIFIER</t>
        </is>
      </c>
      <c r="AR14" t="inlineStr">
        <is>
          <t>Verifier le budget dans l'avis source ou le DCE avant decision commerciale.</t>
        </is>
      </c>
      <c r="AS14" t="inlineStr">
        <is>
          <t>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14" t="inlineStr">
        <is>
          <t>Verifier url_avis et DCE si disponible</t>
        </is>
      </c>
      <c r="AV14" t="inlineStr">
        <is>
          <t>LIEN_SEUL</t>
        </is>
      </c>
      <c r="AW14" t="inlineStr"/>
      <c r="AX14" t="inlineStr"/>
      <c r="AY14" t="inlineStr"/>
      <c r="AZ14" t="inlineStr"/>
      <c r="BA14" t="inlineStr"/>
      <c r="BB14" t="inlineStr">
        <is>
          <t>+35 nettoyage + categorie claire | +10 budget non affiche (a verifier) | +10 secteur cible Mairie | +10 delai confortable 19j</t>
        </is>
      </c>
      <c r="BC14" t="inlineStr">
        <is>
          <t>MAIRIE DE MERIEL publie un AO potentiellement pertinent pour CHRUTH : NETTOYAGE ET ENTRETIEN DES BATIMENTS COMMUNAUX. Zone : 95. Budget a verifier. Verifier le lien source avant contact.</t>
        </is>
      </c>
      <c r="BD14"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14"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2026-W25</t>
        </is>
      </c>
    </row>
    <row r="15">
      <c r="A15" t="inlineStr">
        <is>
          <t>BOAMP</t>
        </is>
      </c>
      <c r="B15" t="inlineStr">
        <is>
          <t>26-60231</t>
        </is>
      </c>
      <c r="C15" t="inlineStr">
        <is>
          <t>Nettoyage des locaux communaux et des vitreries des bâtiments communaux</t>
        </is>
      </c>
      <c r="D15" t="inlineStr">
        <is>
          <t>Ville de Fontenay-aux-Roses</t>
        </is>
      </c>
      <c r="E15" t="inlineStr"/>
      <c r="F15" t="inlineStr"/>
      <c r="G15" t="inlineStr"/>
      <c r="H15" t="inlineStr"/>
      <c r="I15" t="inlineStr">
        <is>
          <t>publications-joue@aws-france.com</t>
        </is>
      </c>
      <c r="J15" t="inlineStr">
        <is>
          <t>+33480041260</t>
        </is>
      </c>
      <c r="K15" t="inlineStr"/>
      <c r="L15" t="inlineStr"/>
      <c r="M15" t="inlineStr"/>
      <c r="N15" t="inlineStr">
        <is>
          <t>92</t>
        </is>
      </c>
      <c r="O15" t="inlineStr"/>
      <c r="P15" t="inlineStr">
        <is>
          <t>Ile-de-France</t>
        </is>
      </c>
      <c r="Q15" s="15" t="n">
        <v>46192</v>
      </c>
      <c r="R15" s="15" t="n">
        <v>46232</v>
      </c>
      <c r="S15" t="inlineStr"/>
      <c r="T15" t="inlineStr">
        <is>
          <t>A_VERIFIER_BUDGET</t>
        </is>
      </c>
      <c r="U15" t="inlineStr"/>
      <c r="V15" t="inlineStr">
        <is>
          <t>non</t>
        </is>
      </c>
      <c r="W15" t="inlineStr">
        <is>
          <t>Vitres</t>
        </is>
      </c>
      <c r="X15" t="inlineStr">
        <is>
          <t>Mairie</t>
        </is>
      </c>
      <c r="Y15" t="inlineStr">
        <is>
          <t>SERVICES</t>
        </is>
      </c>
      <c r="Z15" t="inlineStr">
        <is>
          <t>Procédure Ouverte</t>
        </is>
      </c>
      <c r="AA15" t="inlineStr">
        <is>
          <t>Avis de marché</t>
        </is>
      </c>
      <c r="AB15" t="inlineStr">
        <is>
          <t>Nettoyage de locaux, Vitrerie</t>
        </is>
      </c>
      <c r="AC15" t="inlineStr">
        <is>
          <t>['environnementaux']</t>
        </is>
      </c>
      <c r="AD15" s="11" t="inlineStr">
        <is>
          <t>https://www.boamp.fr/pages/avis/?q=idweb:26-60231</t>
        </is>
      </c>
      <c r="AE15" t="inlineStr">
        <is>
          <t>https://www.marches-publics.info/accueil.htm</t>
        </is>
      </c>
      <c r="AF15" t="inlineStr">
        <is>
          <t>https://www.marches-publics.info/accueil.htm</t>
        </is>
      </c>
      <c r="AG15" t="inlineStr">
        <is>
          <t>nettoyage</t>
        </is>
      </c>
      <c r="AH15" t="inlineStr">
        <is>
          <t>2</t>
        </is>
      </c>
      <c r="AI15" t="inlineStr">
        <is>
          <t>58</t>
        </is>
      </c>
      <c r="AJ15" t="inlineStr">
        <is>
          <t>INFO_PARTIELLE</t>
        </is>
      </c>
      <c r="AK15" t="inlineStr">
        <is>
          <t>65</t>
        </is>
      </c>
      <c r="AL15" s="13" t="inlineStr">
        <is>
          <t>CHAUD</t>
        </is>
      </c>
      <c r="AM15" t="inlineStr"/>
      <c r="AN15" t="inlineStr"/>
      <c r="AO15" t="inlineStr"/>
      <c r="AP15" t="inlineStr"/>
      <c r="AQ15" t="inlineStr">
        <is>
          <t>IA_BUDGET_A_VERIFIER</t>
        </is>
      </c>
      <c r="AR15" t="inlineStr">
        <is>
          <t>Verifier le budget dans l'avis source ou le DCE avant decision commerciale.</t>
        </is>
      </c>
      <c r="AS15" t="inlineStr">
        <is>
          <t>SIRET, 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15" t="inlineStr">
        <is>
          <t>Verifier url_avis et DCE si disponible</t>
        </is>
      </c>
      <c r="AV15" t="inlineStr">
        <is>
          <t>LIEN_SEUL</t>
        </is>
      </c>
      <c r="AW15" t="inlineStr"/>
      <c r="AX15" t="inlineStr"/>
      <c r="AY15" t="inlineStr"/>
      <c r="AZ15" t="inlineStr"/>
      <c r="BA15" t="inlineStr"/>
      <c r="BB15" t="inlineStr">
        <is>
          <t>+35 nettoyage + categorie claire | +10 budget non affiche (a verifier) | +10 secteur cible Mairie | +10 delai confortable 26j</t>
        </is>
      </c>
      <c r="BC15" t="inlineStr">
        <is>
          <t>Ville de Fontenay-aux-Roses publie un AO potentiellement pertinent pour CHRUTH : Nettoyage des locaux communaux et des vitreries des bâtiments communaux. Zone : 92. Budget a verifier. Verifier le lien source avant contact.</t>
        </is>
      </c>
      <c r="BD15"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5"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2026-W25</t>
        </is>
      </c>
    </row>
    <row r="16">
      <c r="A16" t="inlineStr">
        <is>
          <t>BOAMP</t>
        </is>
      </c>
      <c r="B16" t="inlineStr">
        <is>
          <t>26-59493</t>
        </is>
      </c>
      <c r="C16" t="inlineStr">
        <is>
          <t>Prestations de nettoyage des locaux administratifs et des espaces ouverts au public des tours de la Cathédrale Notre-Dame de Paris</t>
        </is>
      </c>
      <c r="D16" t="inlineStr">
        <is>
          <t>Centre des Monuments Nationaux</t>
        </is>
      </c>
      <c r="E16" t="inlineStr">
        <is>
          <t>18004601300017</t>
        </is>
      </c>
      <c r="F16" t="inlineStr">
        <is>
          <t>180046013</t>
        </is>
      </c>
      <c r="G16" t="inlineStr"/>
      <c r="H16" t="inlineStr"/>
      <c r="I16" t="inlineStr">
        <is>
          <t>marches-publics@monuments-nationaux.fr</t>
        </is>
      </c>
      <c r="J16" t="inlineStr">
        <is>
          <t>0460130001</t>
        </is>
      </c>
      <c r="K16" t="inlineStr"/>
      <c r="L16" t="inlineStr"/>
      <c r="M16" t="inlineStr"/>
      <c r="N16" t="inlineStr">
        <is>
          <t>75</t>
        </is>
      </c>
      <c r="O16" t="inlineStr"/>
      <c r="P16" t="inlineStr">
        <is>
          <t>Ile-de-France</t>
        </is>
      </c>
      <c r="Q16" s="15" t="n">
        <v>46190</v>
      </c>
      <c r="R16" s="15" t="n">
        <v>46220</v>
      </c>
      <c r="S16" s="14" t="n">
        <v>85000</v>
      </c>
      <c r="T16" t="inlineStr">
        <is>
          <t>BUDGET_SOUS_SEUIL</t>
        </is>
      </c>
      <c r="U16" t="inlineStr">
        <is>
          <t>85000</t>
        </is>
      </c>
      <c r="V16" t="inlineStr">
        <is>
          <t>oui</t>
        </is>
      </c>
      <c r="W16" t="inlineStr">
        <is>
          <t>Batiments</t>
        </is>
      </c>
      <c r="X16" t="inlineStr">
        <is>
          <t>Autre</t>
        </is>
      </c>
      <c r="Y16" t="inlineStr">
        <is>
          <t>SERVICES</t>
        </is>
      </c>
      <c r="Z16" t="inlineStr">
        <is>
          <t>Procédure Ouverte</t>
        </is>
      </c>
      <c r="AA16" t="inlineStr">
        <is>
          <t>Avis de marché</t>
        </is>
      </c>
      <c r="AB16" t="inlineStr">
        <is>
          <t>Nettoyage de locaux, Monuments historiques</t>
        </is>
      </c>
      <c r="AC16" t="inlineStr"/>
      <c r="AD16" s="11" t="inlineStr">
        <is>
          <t>https://www.boamp.fr/pages/avis/?q=idweb:26-59493</t>
        </is>
      </c>
      <c r="AE16" t="inlineStr">
        <is>
          <t>https://www.marches-publics.gouv.fr/?page=Entreprise.EntrepriseAdvancedSearch&amp;AllCons&amp;id=2577066&amp;orgAcronyme=f5j</t>
        </is>
      </c>
      <c r="AF16" t="inlineStr">
        <is>
          <t>https://www.marches-publics.gouv.fr/?page=Entreprise.EntrepriseAdvancedSearch&amp;AllCons&amp;id=2577066&amp;orgAcronyme=f5j</t>
        </is>
      </c>
      <c r="AG16" t="inlineStr">
        <is>
          <t>nettoyage</t>
        </is>
      </c>
      <c r="AH16" t="inlineStr">
        <is>
          <t>3</t>
        </is>
      </c>
      <c r="AI16" t="inlineStr">
        <is>
          <t>68</t>
        </is>
      </c>
      <c r="AJ16" t="inlineStr">
        <is>
          <t>INFO_PARTIELLE</t>
        </is>
      </c>
      <c r="AK16" t="inlineStr">
        <is>
          <t>65</t>
        </is>
      </c>
      <c r="AL16" s="13" t="inlineStr">
        <is>
          <t>CHAUD</t>
        </is>
      </c>
      <c r="AM16" t="inlineStr"/>
      <c r="AN16" t="inlineStr"/>
      <c r="AO16" t="inlineStr"/>
      <c r="AP16" t="inlineStr"/>
      <c r="AQ16" t="inlineStr">
        <is>
          <t>IA_CONTACT_A_COMPLETER</t>
        </is>
      </c>
      <c r="AR16" t="inlineStr">
        <is>
          <t>Completer les champs manquants depuis l'avis source, le site acheteur ou le DCE.</t>
        </is>
      </c>
      <c r="AS16" t="inlineStr">
        <is>
          <t>adresse, ville</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26-59493. Objet: Prestations de nettoyage des locaux administratifs et des espaces ouverts au public des tours de la Cathédrale Notre-Dame de Paris. Acheteur: Centre des Monuments Nationaux. Lien: https://www.boamp.fr/pages/avis/?q=idweb:26-59493.</t>
        </is>
      </c>
      <c r="AU16" t="inlineStr">
        <is>
          <t>Verifier url_avis et DCE si disponible</t>
        </is>
      </c>
      <c r="AV16" t="inlineStr"/>
      <c r="AW16" t="inlineStr"/>
      <c r="AX16" t="inlineStr"/>
      <c r="AY16" t="inlineStr"/>
      <c r="AZ16" t="inlineStr"/>
      <c r="BA16" t="inlineStr"/>
      <c r="BB16" t="inlineStr">
        <is>
          <t>+35 nettoyage + categorie claire | +20 budget annualise &lt;= 100 000 EUR | +10 delai confortable 25j</t>
        </is>
      </c>
      <c r="BC16" t="inlineStr">
        <is>
          <t>Centre des Monuments Nationaux publie un AO potentiellement pertinent pour CHRUTH : Prestations de nettoyage des locaux administratifs et des espaces ouverts au public des tours de la Cathédrale Notre-Dame de Paris. Zone : 75. Budget detecte environ 85 000 EUR. Verifier le lien source avant contact.</t>
        </is>
      </c>
      <c r="BD16" t="inlineStr">
        <is>
          <t>Bonjour,
Je me permets de vous contacter au sujet de votre appel d'offres : Prestations de nettoyage des locaux administratifs et des espaces ouverts au public des tours de la Cathédrale Notre-Dame de Paris.
CHRUTH accompagne les structures publiques et privees sur les besoins de nettoyage, d'entretien des locaux et d'organisation de prestations de service.
Serait-il possible d'echanger rapidement afin de verifier les modalites de reponse et les attentes de Centre des Monuments Nationaux ?
Cordialement,</t>
        </is>
      </c>
      <c r="BE16" t="inlineStr">
        <is>
          <t>Bonjour, je vous appelle concernant un appel d'offres publie par Centre des Monuments Nationaux. Je souhaite verifier les informations pratiques : perimetre des prestations, date limite, modalites de visite, contact technique et pieces attendues. Pouvez-vous m'indiquer la bonne personne a contacter ?</t>
        </is>
      </c>
      <c r="BF16" t="inlineStr"/>
      <c r="BG16" t="inlineStr"/>
      <c r="BH16" t="inlineStr"/>
      <c r="BI16" t="inlineStr"/>
      <c r="BJ16" t="inlineStr"/>
      <c r="BK16" t="inlineStr"/>
      <c r="BL16" t="inlineStr"/>
      <c r="BM16" t="inlineStr">
        <is>
          <t>2026-W25</t>
        </is>
      </c>
    </row>
    <row r="17">
      <c r="A17" t="inlineStr">
        <is>
          <t>BOAMP</t>
        </is>
      </c>
      <c r="B17" t="inlineStr">
        <is>
          <t>26-56367</t>
        </is>
      </c>
      <c r="C17" t="inlineStr">
        <is>
          <t>Prestations de nettoyage courant des locaux administratifs de Pantin Habitat</t>
        </is>
      </c>
      <c r="D17" t="inlineStr">
        <is>
          <t>Pantin Habitat</t>
        </is>
      </c>
      <c r="E17" t="inlineStr">
        <is>
          <t>31162223700049</t>
        </is>
      </c>
      <c r="F17" t="inlineStr">
        <is>
          <t>311622237</t>
        </is>
      </c>
      <c r="G17" t="inlineStr">
        <is>
          <t>PANTIN HABITAT</t>
        </is>
      </c>
      <c r="H17" t="inlineStr"/>
      <c r="I17" t="inlineStr">
        <is>
          <t>servicedesmarches@pantinhabitat.fr</t>
        </is>
      </c>
      <c r="J17" t="inlineStr">
        <is>
          <t>01 48 44 73 03</t>
        </is>
      </c>
      <c r="K17" t="inlineStr">
        <is>
          <t>Seine-Saint-Denis</t>
        </is>
      </c>
      <c r="L17" t="inlineStr">
        <is>
          <t>93697</t>
        </is>
      </c>
      <c r="M17" t="inlineStr">
        <is>
          <t>Pantin cedex</t>
        </is>
      </c>
      <c r="N17" t="inlineStr">
        <is>
          <t>93,75,92,94</t>
        </is>
      </c>
      <c r="O17" t="inlineStr"/>
      <c r="P17" t="inlineStr">
        <is>
          <t>Ile-de-France</t>
        </is>
      </c>
      <c r="Q17" s="15" t="n">
        <v>46181</v>
      </c>
      <c r="R17" s="15" t="n">
        <v>46211</v>
      </c>
      <c r="S17" s="14" t="n">
        <v>93697</v>
      </c>
      <c r="T17" t="inlineStr">
        <is>
          <t>BUDGET_SOUS_SEUIL</t>
        </is>
      </c>
      <c r="U17" t="inlineStr">
        <is>
          <t>93697.0</t>
        </is>
      </c>
      <c r="V17" t="inlineStr">
        <is>
          <t>non</t>
        </is>
      </c>
      <c r="W17" t="inlineStr">
        <is>
          <t>Vitres</t>
        </is>
      </c>
      <c r="X17" t="inlineStr">
        <is>
          <t>Autre</t>
        </is>
      </c>
      <c r="Y17" t="inlineStr">
        <is>
          <t>SERVICES</t>
        </is>
      </c>
      <c r="Z17" t="inlineStr">
        <is>
          <t>Procédure Ouverte</t>
        </is>
      </c>
      <c r="AA17" t="inlineStr">
        <is>
          <t>Avis de marché</t>
        </is>
      </c>
      <c r="AB17" t="inlineStr">
        <is>
          <t>Nettoyage de locaux</t>
        </is>
      </c>
      <c r="AC17" t="inlineStr">
        <is>
          <t>['sociaux', 'environnementaux']</t>
        </is>
      </c>
      <c r="AD17" s="11" t="inlineStr">
        <is>
          <t>https://www.boamp.fr/pages/avis/?q=idweb:26-56367</t>
        </is>
      </c>
      <c r="AE17" t="inlineStr">
        <is>
          <t>https://www.achatpublic.com/sdm/ent/gen/ent_detail.do?PCSLID=CSL_2026_KUKPQ4kzgA</t>
        </is>
      </c>
      <c r="AF17" t="inlineStr">
        <is>
          <t>https://www.achatpublic.com/sdm/ent/gen/ent_detail.do?PCSLID=CSL_2026_KUKPQ4kzgA</t>
        </is>
      </c>
      <c r="AG17" t="inlineStr">
        <is>
          <t>nettoyage</t>
        </is>
      </c>
      <c r="AH17" t="inlineStr">
        <is>
          <t>6</t>
        </is>
      </c>
      <c r="AI17" t="inlineStr">
        <is>
          <t>98</t>
        </is>
      </c>
      <c r="AJ17" t="inlineStr">
        <is>
          <t>INFO_PARTIELLE</t>
        </is>
      </c>
      <c r="AK17" t="inlineStr">
        <is>
          <t>65</t>
        </is>
      </c>
      <c r="AL17" s="13" t="inlineStr">
        <is>
          <t>CHAUD</t>
        </is>
      </c>
      <c r="AM17" t="inlineStr"/>
      <c r="AN17" t="inlineStr"/>
      <c r="AO17" t="inlineStr"/>
      <c r="AP17" t="inlineStr"/>
      <c r="AQ17" t="inlineStr">
        <is>
          <t>IA_CONTROLE_SOURCE</t>
        </is>
      </c>
      <c r="AR17" t="inlineStr">
        <is>
          <t>Verifier rapidement la source avant contact.</t>
        </is>
      </c>
      <c r="AS17" t="inlineStr">
        <is>
          <t>Aucun champ critique manquant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26-56367. Objet: Prestations de nettoyage courant des locaux administratifs de Pantin Habitat. Acheteur: Pantin Habitat. Lien: https://www.boamp.fr/pages/avis/?q=idweb:26-56367.</t>
        </is>
      </c>
      <c r="AU17" t="inlineStr">
        <is>
          <t>Verifier url_avis et DCE si disponible</t>
        </is>
      </c>
      <c r="AV17" t="inlineStr"/>
      <c r="AW17" t="inlineStr"/>
      <c r="AX17" t="inlineStr"/>
      <c r="AY17" t="inlineStr"/>
      <c r="AZ17" t="inlineStr"/>
      <c r="BA17" t="inlineStr"/>
      <c r="BB17" t="inlineStr">
        <is>
          <t>+35 nettoyage + categorie claire | +20 budget annualise &lt;= 100 000 EUR | +10 delai confortable 16j</t>
        </is>
      </c>
      <c r="BC17" t="inlineStr">
        <is>
          <t>Pantin Habitat publie un AO potentiellement pertinent pour CHRUTH : Prestations de nettoyage courant des locaux administratifs de Pantin Habitat. Zone : Pantin cedex. Budget detecte environ 93 697 EUR. Verifier le lien source avant contact.</t>
        </is>
      </c>
      <c r="BD17" t="inlineStr">
        <is>
          <t>Bonjour,
Je me permets de vous contacter au sujet de votre appel d'offres : Prestations de nettoyage courant des locaux administratifs de Pantin Habitat.
CHRUTH accompagne les structures publiques et privees sur les besoins de nettoyage, d'entretien des locaux et d'organisation de prestations de service.
Serait-il possible d'echanger rapidement afin de verifier les modalites de reponse et les attentes de Pantin Habitat ?
Cordialement,</t>
        </is>
      </c>
      <c r="BE17" t="inlineStr">
        <is>
          <t>Bonjour, je vous appelle concernant un appel d'offres publie par Pantin Habitat. Je souhaite verifier les informations pratiques : perimetre des prestations, date limite, modalites de visite, contact technique et pieces attendues. Pouvez-vous m'indiquer la bonne personne a contacter ?</t>
        </is>
      </c>
      <c r="BF17" t="inlineStr"/>
      <c r="BG17" t="inlineStr"/>
      <c r="BH17" t="inlineStr"/>
      <c r="BI17" t="inlineStr"/>
      <c r="BJ17" t="inlineStr"/>
      <c r="BK17" t="inlineStr"/>
      <c r="BL17" t="inlineStr"/>
      <c r="BM17" t="inlineStr">
        <is>
          <t>2026-W24</t>
        </is>
      </c>
    </row>
    <row r="18">
      <c r="A18" t="inlineStr">
        <is>
          <t>BOAMP</t>
        </is>
      </c>
      <c r="B18" t="inlineStr">
        <is>
          <t>26-55118</t>
        </is>
      </c>
      <c r="C18" t="inlineStr">
        <is>
          <t>Nettoyage des locaux des bâtiments de la commune de Châtillon (92320)</t>
        </is>
      </c>
      <c r="D18" t="inlineStr">
        <is>
          <t>Commune de CHATILLON</t>
        </is>
      </c>
      <c r="E18" t="inlineStr"/>
      <c r="F18" t="inlineStr"/>
      <c r="G18" t="inlineStr"/>
      <c r="H18" t="inlineStr"/>
      <c r="I18" t="inlineStr">
        <is>
          <t>publications-joue@aws-france.com</t>
        </is>
      </c>
      <c r="J18" t="inlineStr">
        <is>
          <t>+33480041260</t>
        </is>
      </c>
      <c r="K18" t="inlineStr"/>
      <c r="L18" t="inlineStr"/>
      <c r="M18" t="inlineStr"/>
      <c r="N18" t="inlineStr">
        <is>
          <t>92</t>
        </is>
      </c>
      <c r="O18" t="inlineStr"/>
      <c r="P18" t="inlineStr">
        <is>
          <t>Ile-de-France</t>
        </is>
      </c>
      <c r="Q18" s="15" t="n">
        <v>46179</v>
      </c>
      <c r="R18" s="15" t="n">
        <v>46213</v>
      </c>
      <c r="S18" t="inlineStr"/>
      <c r="T18" t="inlineStr">
        <is>
          <t>A_VERIFIER_BUDGET</t>
        </is>
      </c>
      <c r="U18" t="inlineStr"/>
      <c r="V18" t="inlineStr">
        <is>
          <t>non</t>
        </is>
      </c>
      <c r="W18" t="inlineStr">
        <is>
          <t>Batiments</t>
        </is>
      </c>
      <c r="X18" t="inlineStr">
        <is>
          <t>Mairie</t>
        </is>
      </c>
      <c r="Y18" t="inlineStr">
        <is>
          <t>SERVICES</t>
        </is>
      </c>
      <c r="Z18" t="inlineStr">
        <is>
          <t>Procédure Ouverte</t>
        </is>
      </c>
      <c r="AA18" t="inlineStr">
        <is>
          <t>Avis de marché</t>
        </is>
      </c>
      <c r="AB18" t="inlineStr">
        <is>
          <t>Nettoyage de locaux</t>
        </is>
      </c>
      <c r="AC18" t="inlineStr">
        <is>
          <t>['environnementaux']</t>
        </is>
      </c>
      <c r="AD18" s="11" t="inlineStr">
        <is>
          <t>https://www.boamp.fr/pages/avis/?q=idweb:26-55118</t>
        </is>
      </c>
      <c r="AE18" t="inlineStr">
        <is>
          <t>https://www.marches-publics.info</t>
        </is>
      </c>
      <c r="AF18" t="inlineStr">
        <is>
          <t>https://www.marches-publics.info</t>
        </is>
      </c>
      <c r="AG18" t="inlineStr">
        <is>
          <t>nettoyage</t>
        </is>
      </c>
      <c r="AH18" t="inlineStr">
        <is>
          <t>2</t>
        </is>
      </c>
      <c r="AI18" t="inlineStr">
        <is>
          <t>58</t>
        </is>
      </c>
      <c r="AJ18" t="inlineStr">
        <is>
          <t>INFO_PARTIELLE</t>
        </is>
      </c>
      <c r="AK18" t="inlineStr">
        <is>
          <t>65</t>
        </is>
      </c>
      <c r="AL18" s="13" t="inlineStr">
        <is>
          <t>CHAUD</t>
        </is>
      </c>
      <c r="AM18" t="inlineStr"/>
      <c r="AN18" t="inlineStr"/>
      <c r="AO18" t="inlineStr"/>
      <c r="AP18" t="inlineStr"/>
      <c r="AQ18" t="inlineStr">
        <is>
          <t>IA_BUDGET_A_VERIFIER</t>
        </is>
      </c>
      <c r="AR18" t="inlineStr">
        <is>
          <t>Verifier le budget dans l'avis source ou le DCE avant decision commerciale.</t>
        </is>
      </c>
      <c r="AS18" t="inlineStr">
        <is>
          <t>SIRET, 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18" t="inlineStr">
        <is>
          <t>Verifier url_avis et DCE si disponible</t>
        </is>
      </c>
      <c r="AV18" t="inlineStr">
        <is>
          <t>LIEN_SEUL</t>
        </is>
      </c>
      <c r="AW18" t="inlineStr"/>
      <c r="AX18" t="inlineStr"/>
      <c r="AY18" t="inlineStr"/>
      <c r="AZ18" t="inlineStr"/>
      <c r="BA18" t="inlineStr"/>
      <c r="BB18" t="inlineStr">
        <is>
          <t>+35 nettoyage + categorie claire | +10 budget non affiche (a verifier) | +10 secteur cible Mairie | +10 delai confortable 20j</t>
        </is>
      </c>
      <c r="BC18" t="inlineStr">
        <is>
          <t>Commune de CHATILLON publie un AO potentiellement pertinent pour CHRUTH : Nettoyage des locaux des bâtiments de la commune de Châtillon (92320). Zone : 92. Budget a verifier. Verifier le lien source avant contact.</t>
        </is>
      </c>
      <c r="BD18"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18"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18" t="inlineStr"/>
      <c r="BG18" t="inlineStr"/>
      <c r="BH18" t="inlineStr"/>
      <c r="BI18" t="inlineStr"/>
      <c r="BJ18" t="inlineStr"/>
      <c r="BK18" t="inlineStr"/>
      <c r="BL18" t="inlineStr"/>
      <c r="BM18" t="inlineStr">
        <is>
          <t>2026-W23</t>
        </is>
      </c>
    </row>
    <row r="19">
      <c r="A19" t="inlineStr">
        <is>
          <t>BOAMP</t>
        </is>
      </c>
      <c r="B19" t="inlineStr">
        <is>
          <t>26-54753</t>
        </is>
      </c>
      <c r="C19" t="inlineStr">
        <is>
          <t>PRESTATIONS DE NETTOYAGE DE LA MAISON DES JEUNES ET DE LA MAISON DE L'ENFANCE ET DE LA FAMILLE DE LA COMMUNE BOISSY-SAINT-LEGER</t>
        </is>
      </c>
      <c r="D19" t="inlineStr">
        <is>
          <t>Mairie Boissy Saint Léger</t>
        </is>
      </c>
      <c r="E19" t="inlineStr">
        <is>
          <t>21940004100014</t>
        </is>
      </c>
      <c r="F19" t="inlineStr">
        <is>
          <t>219400041</t>
        </is>
      </c>
      <c r="G19" t="inlineStr"/>
      <c r="H19" t="inlineStr"/>
      <c r="I19" t="inlineStr">
        <is>
          <t>marches.publics@ville-boissy.fr</t>
        </is>
      </c>
      <c r="J19" t="inlineStr">
        <is>
          <t>04100014 01</t>
        </is>
      </c>
      <c r="K19" t="inlineStr"/>
      <c r="L19" t="inlineStr"/>
      <c r="M19" t="inlineStr"/>
      <c r="N19" t="inlineStr">
        <is>
          <t>94,95</t>
        </is>
      </c>
      <c r="O19" t="inlineStr"/>
      <c r="P19" t="inlineStr">
        <is>
          <t>Ile-de-France</t>
        </is>
      </c>
      <c r="Q19" s="15" t="n">
        <v>46178</v>
      </c>
      <c r="R19" s="15" t="n">
        <v>46213</v>
      </c>
      <c r="S19" t="inlineStr"/>
      <c r="T19" t="inlineStr">
        <is>
          <t>A_VERIFIER_BUDGET</t>
        </is>
      </c>
      <c r="U19" t="inlineStr"/>
      <c r="V19" t="inlineStr">
        <is>
          <t>non</t>
        </is>
      </c>
      <c r="W19" t="inlineStr">
        <is>
          <t>Batiments</t>
        </is>
      </c>
      <c r="X19" t="inlineStr">
        <is>
          <t>Mairie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https://www.boamp.fr/pages/avis/?q=idweb:26-54753</t>
        </is>
      </c>
      <c r="AE19" t="inlineStr">
        <is>
          <t>https://www.achatpublic.com/sdm/ent/gen/ent_detail.do?PCSLID=CSL_2026_Q0MbHTHdpI</t>
        </is>
      </c>
      <c r="AF19" t="inlineStr">
        <is>
          <t>https://www.achatpublic.com/sdm/ent/gen/ent_detail.do?PCSLID=CSL_2026_Q0MbHTHdpI</t>
        </is>
      </c>
      <c r="AG19" t="inlineStr">
        <is>
          <t>nettoyage</t>
        </is>
      </c>
      <c r="AH19" t="inlineStr">
        <is>
          <t>3</t>
        </is>
      </c>
      <c r="AI19" t="inlineStr">
        <is>
          <t>68</t>
        </is>
      </c>
      <c r="AJ19" t="inlineStr">
        <is>
          <t>INFO_PARTIELLE</t>
        </is>
      </c>
      <c r="AK19" t="inlineStr">
        <is>
          <t>65</t>
        </is>
      </c>
      <c r="AL19" s="13" t="inlineStr">
        <is>
          <t>CHAUD</t>
        </is>
      </c>
      <c r="AM19" t="inlineStr"/>
      <c r="AN19" t="inlineStr"/>
      <c r="AO19" t="inlineStr"/>
      <c r="AP19" t="inlineStr"/>
      <c r="AQ19" t="inlineStr">
        <is>
          <t>IA_BUDGET_A_VERIFIER</t>
        </is>
      </c>
      <c r="AR19" t="inlineStr">
        <is>
          <t>Verifier le budget dans l'avis source ou le DCE avant decision commerciale.</t>
        </is>
      </c>
      <c r="AS19" t="inlineStr">
        <is>
          <t>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19" t="inlineStr">
        <is>
          <t>Verifier url_avis et DCE si disponible</t>
        </is>
      </c>
      <c r="AV19" t="inlineStr">
        <is>
          <t>LIEN_SEUL</t>
        </is>
      </c>
      <c r="AW19" t="inlineStr"/>
      <c r="AX19" t="inlineStr"/>
      <c r="AY19" t="inlineStr"/>
      <c r="AZ19" t="inlineStr"/>
      <c r="BA19" t="inlineStr"/>
      <c r="BB19" t="inlineStr">
        <is>
          <t>+35 nettoyage + categorie claire | +10 budget non affiche (a verifier) | +10 secteur cible Mairie | +10 delai confortable 21j</t>
        </is>
      </c>
      <c r="BC19"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19"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19"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19" t="inlineStr"/>
      <c r="BG19" t="inlineStr"/>
      <c r="BH19" t="inlineStr"/>
      <c r="BI19" t="inlineStr"/>
      <c r="BJ19" t="inlineStr"/>
      <c r="BK19" t="inlineStr"/>
      <c r="BL19" t="inlineStr"/>
      <c r="BM19" t="inlineStr">
        <is>
          <t>2026-W23</t>
        </is>
      </c>
    </row>
    <row r="20">
      <c r="A20" t="inlineStr">
        <is>
          <t>BOAMP</t>
        </is>
      </c>
      <c r="B20" t="inlineStr">
        <is>
          <t>26-53819</t>
        </is>
      </c>
      <c r="C20" t="inlineStr">
        <is>
          <t>ACCORD-CADRE DE PRESTATIONS D'ENTRETIEN DES INSTALLATIONS D'ASSAINISSSMENT DES PARCS DE STATIONNEMENT DE LA SPL LEVAPARC A LEVALLOIS-PERRET</t>
        </is>
      </c>
      <c r="D20" t="inlineStr">
        <is>
          <t>SPL LEVAPARC</t>
        </is>
      </c>
      <c r="E20" t="inlineStr"/>
      <c r="F20" t="inlineStr"/>
      <c r="G20" t="inlineStr"/>
      <c r="H20" t="inlineStr"/>
      <c r="I20" t="inlineStr">
        <is>
          <t>publications-joue@aws-france.com</t>
        </is>
      </c>
      <c r="J20" t="inlineStr">
        <is>
          <t>+33480041260</t>
        </is>
      </c>
      <c r="K20" t="inlineStr"/>
      <c r="L20" t="inlineStr"/>
      <c r="M20" t="inlineStr"/>
      <c r="N20" t="inlineStr">
        <is>
          <t>92</t>
        </is>
      </c>
      <c r="O20" t="inlineStr"/>
      <c r="P20" t="inlineStr">
        <is>
          <t>Ile-de-France</t>
        </is>
      </c>
      <c r="Q20" s="15" t="n">
        <v>46176</v>
      </c>
      <c r="R20" s="15" t="n">
        <v>46206</v>
      </c>
      <c r="S20" s="14" t="n">
        <v>100000</v>
      </c>
      <c r="T20" t="inlineStr">
        <is>
          <t>BUDGET_EXPLICITE_OK</t>
        </is>
      </c>
      <c r="U20" t="inlineStr">
        <is>
          <t>100000.0</t>
        </is>
      </c>
      <c r="V20" t="inlineStr">
        <is>
          <t>non</t>
        </is>
      </c>
      <c r="W20" t="inlineStr">
        <is>
          <t>Batiments</t>
        </is>
      </c>
      <c r="X20" t="inlineStr">
        <is>
          <t>Autre</t>
        </is>
      </c>
      <c r="Y20" t="inlineStr">
        <is>
          <t>SERVICES</t>
        </is>
      </c>
      <c r="Z20" t="inlineStr">
        <is>
          <t>Procédure Ouverte</t>
        </is>
      </c>
      <c r="AA20" t="inlineStr">
        <is>
          <t>Avis de marché</t>
        </is>
      </c>
      <c r="AB20" t="inlineStr">
        <is>
          <t>Assainissement</t>
        </is>
      </c>
      <c r="AC20" t="inlineStr">
        <is>
          <t>['environnementaux']</t>
        </is>
      </c>
      <c r="AD20" s="11" t="inlineStr">
        <is>
          <t>https://www.boamp.fr/pages/avis/?q=idweb:26-53819</t>
        </is>
      </c>
      <c r="AE20" t="inlineStr">
        <is>
          <t>https://www.marches-publics.info</t>
        </is>
      </c>
      <c r="AF20" t="inlineStr">
        <is>
          <t>https://www.marches-publics.info</t>
        </is>
      </c>
      <c r="AG20" t="inlineStr">
        <is>
          <t>nettoyage</t>
        </is>
      </c>
      <c r="AH20" t="inlineStr">
        <is>
          <t>2</t>
        </is>
      </c>
      <c r="AI20" t="inlineStr">
        <is>
          <t>58</t>
        </is>
      </c>
      <c r="AJ20" t="inlineStr">
        <is>
          <t>INFO_PARTIELLE</t>
        </is>
      </c>
      <c r="AK20" t="inlineStr">
        <is>
          <t>65</t>
        </is>
      </c>
      <c r="AL20" s="13" t="inlineStr">
        <is>
          <t>CHAUD</t>
        </is>
      </c>
      <c r="AM20" t="inlineStr"/>
      <c r="AN20" t="inlineStr"/>
      <c r="AO20" t="inlineStr"/>
      <c r="AP20" t="inlineStr"/>
      <c r="AQ20" t="inlineStr">
        <is>
          <t>IA_CONTACT_A_COMPLETER</t>
        </is>
      </c>
      <c r="AR20" t="inlineStr">
        <is>
          <t>Completer les champs manquants depuis l'avis source, le site acheteur ou le DCE.</t>
        </is>
      </c>
      <c r="AS20" t="inlineStr">
        <is>
          <t>SIRET, adresse, ville</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26-53819. Objet: ACCORD-CADRE DE PRESTATIONS D'ENTRETIEN DES INSTALLATIONS D'ASSAINISSSMENT DES PARCS DE STATIONNEMENT DE LA SPL LEVAPARC A LEVALLOIS-PERRET. Acheteur: SPL LEVAPARC. Lien: https://www.boamp.fr/pages/avis/?q=idweb:26-53819.</t>
        </is>
      </c>
      <c r="AU20" t="inlineStr">
        <is>
          <t>Verifier url_avis et DCE si disponible</t>
        </is>
      </c>
      <c r="AV20" t="inlineStr"/>
      <c r="AW20" t="inlineStr"/>
      <c r="AX20" t="inlineStr"/>
      <c r="AY20" t="inlineStr"/>
      <c r="AZ20" t="inlineStr"/>
      <c r="BA20" t="inlineStr"/>
      <c r="BB20" t="inlineStr">
        <is>
          <t>+35 nettoyage + categorie claire | +20 budget annualise &lt;= 100 000 EUR | +10 delai confortable 16j</t>
        </is>
      </c>
      <c r="BC20" t="inlineStr">
        <is>
          <t>SPL LEVAPARC publie un AO potentiellement pertinent pour CHRUTH : ACCORD-CADRE DE PRESTATIONS D'ENTRETIEN DES INSTALLATIONS D'ASSAINISSSMENT DES PARCS DE STATIONNEMENT DE LA SPL LEVAPARC A LEVALLOIS-PERRET. Zone : 92. Budget detecte environ 100 000 EUR. Verifier le lien source avant contact.</t>
        </is>
      </c>
      <c r="BD20" t="inlineStr">
        <is>
          <t>Bonjour,
Je me permets de vous contacter au sujet de votre appel d'offres : ACCORD-CADRE DE PRESTATIONS D'ENTRETIEN DES INSTALLATIONS D'ASSAINISSSMENT DES PARCS DE STATIONNEMENT DE LA SPL LEVAPARC A LEVALLOIS-PERRET.
CHRUTH accompagne les structures publiques et privees sur les besoins de nettoyage, d'entretien des locaux et d'organisation de prestations de service.
Serait-il possible d'echanger rapidement afin de verifier les modalites de reponse et les attentes de SPL LEVAPARC ?
Cordialement,</t>
        </is>
      </c>
      <c r="BE20" t="inlineStr">
        <is>
          <t>Bonjour, je vous appelle concernant un appel d'offres publie par SPL LEVAPARC.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2026-W23</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s>
  <pageMargins left="0.75" right="0.75" top="1" bottom="1" header="0.5" footer="0.5"/>
  <tableParts count="1">
    <tablePart xmlns:r="http://schemas.openxmlformats.org/officeDocument/2006/relationships" r:id="rId20"/>
  </tableParts>
</worksheet>
</file>

<file path=xl/worksheets/sheet8.xml><?xml version="1.0" encoding="utf-8"?>
<worksheet xmlns="http://schemas.openxmlformats.org/spreadsheetml/2006/main">
  <sheetPr>
    <outlinePr summaryBelow="1" summaryRight="1"/>
    <pageSetUpPr/>
  </sheetPr>
  <dimension ref="A1:BM3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2" customWidth="1" min="1" max="1"/>
    <col width="17" customWidth="1" min="2" max="2"/>
    <col width="55" customWidth="1" min="3" max="3"/>
    <col width="55" customWidth="1" min="4" max="4"/>
    <col width="16" customWidth="1" min="5" max="5"/>
    <col width="16" customWidth="1" min="6" max="6"/>
    <col width="20" customWidth="1" min="7" max="7"/>
    <col width="16" customWidth="1" min="8" max="8"/>
    <col width="50" customWidth="1" min="9" max="9"/>
    <col width="15" customWidth="1" min="10" max="10"/>
    <col width="13"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19" customWidth="1" min="20" max="20"/>
    <col width="19" customWidth="1" min="21" max="21"/>
    <col width="18" customWidth="1" min="22" max="22"/>
    <col width="18" customWidth="1" min="23" max="23"/>
    <col width="10" customWidth="1" min="24" max="24"/>
    <col width="13" customWidth="1" min="25" max="25"/>
    <col width="19" customWidth="1" min="26" max="26"/>
    <col width="16" customWidth="1" min="27" max="27"/>
    <col width="55" customWidth="1" min="28" max="28"/>
    <col width="33" customWidth="1" min="29" max="29"/>
    <col width="55"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2" customWidth="1" min="38" max="38"/>
    <col width="21" customWidth="1" min="39" max="39"/>
    <col width="24" customWidth="1" min="40" max="40"/>
    <col width="23" customWidth="1" min="41" max="41"/>
    <col width="22" customWidth="1" min="42" max="42"/>
    <col width="22" customWidth="1" min="43" max="43"/>
    <col width="55" customWidth="1" min="44" max="44"/>
    <col width="49"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26-56654</t>
        </is>
      </c>
      <c r="C2" t="inlineStr">
        <is>
          <t>Prestations de bio-nettoyage, mise à blanc et mise à gris des zones à atmosphère contrôlée au profit du CTSA et de l'UMTI</t>
        </is>
      </c>
      <c r="D2" t="inlineStr">
        <is>
          <t>DAPSA/PFAF-S</t>
        </is>
      </c>
      <c r="E2" t="inlineStr"/>
      <c r="F2" t="inlineStr"/>
      <c r="G2" t="inlineStr">
        <is>
          <t>BARDIEU</t>
        </is>
      </c>
      <c r="H2" t="inlineStr"/>
      <c r="I2" t="inlineStr">
        <is>
          <t>melisande.bardieu@intradef.gouv.fr</t>
        </is>
      </c>
      <c r="J2" t="inlineStr">
        <is>
          <t>0238607455</t>
        </is>
      </c>
      <c r="K2" t="inlineStr"/>
      <c r="L2" t="inlineStr">
        <is>
          <t>45404</t>
        </is>
      </c>
      <c r="M2" t="inlineStr">
        <is>
          <t>FLEURY-LES-AUBRAIS CEDEX</t>
        </is>
      </c>
      <c r="N2" t="inlineStr">
        <is>
          <t>92</t>
        </is>
      </c>
      <c r="O2" t="inlineStr"/>
      <c r="P2" t="inlineStr">
        <is>
          <t>Ile-de-France</t>
        </is>
      </c>
      <c r="Q2" s="15" t="n">
        <v>46182</v>
      </c>
      <c r="R2" s="15" t="n">
        <v>46231</v>
      </c>
      <c r="S2" t="inlineStr"/>
      <c r="T2" t="inlineStr">
        <is>
          <t>A_VERIFIER_BUDGET</t>
        </is>
      </c>
      <c r="U2" t="inlineStr"/>
      <c r="V2" t="inlineStr">
        <is>
          <t>non</t>
        </is>
      </c>
      <c r="W2" t="inlineStr">
        <is>
          <t>Batiments</t>
        </is>
      </c>
      <c r="X2" t="inlineStr">
        <is>
          <t>Autre</t>
        </is>
      </c>
      <c r="Y2" t="inlineStr">
        <is>
          <t>SERVICES</t>
        </is>
      </c>
      <c r="Z2" t="inlineStr">
        <is>
          <t>Procédure Adaptée</t>
        </is>
      </c>
      <c r="AA2" t="inlineStr">
        <is>
          <t>Avis de marché</t>
        </is>
      </c>
      <c r="AB2" t="inlineStr">
        <is>
          <t>Nettoyage de locaux</t>
        </is>
      </c>
      <c r="AC2" t="inlineStr">
        <is>
          <t>['sociaux', 'environnementaux']</t>
        </is>
      </c>
      <c r="AD2" s="11" t="inlineStr">
        <is>
          <t>https://www.boamp.fr/pages/avis/?q=idweb:26-56654</t>
        </is>
      </c>
      <c r="AE2" t="inlineStr">
        <is>
          <t>https://www.marches-publics.gouv.fr/entreprise</t>
        </is>
      </c>
      <c r="AF2" t="inlineStr">
        <is>
          <t>https://www.marches-publics.gouv.fr/entreprise</t>
        </is>
      </c>
      <c r="AG2" t="inlineStr">
        <is>
          <t>nettoyage</t>
        </is>
      </c>
      <c r="AH2" t="inlineStr">
        <is>
          <t>4</t>
        </is>
      </c>
      <c r="AI2" t="inlineStr">
        <is>
          <t>78</t>
        </is>
      </c>
      <c r="AJ2" t="inlineStr">
        <is>
          <t>INFO_PARTIELLE</t>
        </is>
      </c>
      <c r="AK2" t="inlineStr">
        <is>
          <t>70</t>
        </is>
      </c>
      <c r="AL2" s="13" t="inlineStr">
        <is>
          <t>CHAUD</t>
        </is>
      </c>
      <c r="AM2" t="inlineStr"/>
      <c r="AN2" t="inlineStr"/>
      <c r="AO2" t="inlineStr"/>
      <c r="AP2" t="inlineStr"/>
      <c r="AQ2" t="inlineStr">
        <is>
          <t>IA_BUDGET_A_VERIFIER</t>
        </is>
      </c>
      <c r="AR2" t="inlineStr">
        <is>
          <t>Verifier le budget dans l'avis source ou le DCE avant decision commerciale.</t>
        </is>
      </c>
      <c r="AS2" t="inlineStr">
        <is>
          <t>SIRET, adresse, budget</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2" t="inlineStr">
        <is>
          <t>Verifier url_avis et DCE si disponible</t>
        </is>
      </c>
      <c r="AV2" t="inlineStr">
        <is>
          <t>LIEN_SEUL</t>
        </is>
      </c>
      <c r="AW2" t="inlineStr"/>
      <c r="AX2" t="inlineStr"/>
      <c r="AY2" t="inlineStr"/>
      <c r="AZ2" t="inlineStr"/>
      <c r="BA2" t="inlineStr"/>
      <c r="BB2" t="inlineStr">
        <is>
          <t>+35 nettoyage + categorie claire | +10 budget non affiche (a verifier) | +15 procedure adaptee / MAPA / allotissement | +10 delai confortable 36j</t>
        </is>
      </c>
      <c r="BC2"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2"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2"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2" t="inlineStr"/>
      <c r="BG2" t="inlineStr"/>
      <c r="BH2" t="inlineStr"/>
      <c r="BI2" t="inlineStr"/>
      <c r="BJ2" t="inlineStr"/>
      <c r="BK2" t="inlineStr"/>
      <c r="BL2" t="inlineStr"/>
      <c r="BM2" t="inlineStr">
        <is>
          <t>2026-W24</t>
        </is>
      </c>
    </row>
    <row r="3">
      <c r="A3" t="inlineStr">
        <is>
          <t>BOAMP</t>
        </is>
      </c>
      <c r="B3" t="inlineStr">
        <is>
          <t>26-64286</t>
        </is>
      </c>
      <c r="C3" t="inlineStr">
        <is>
          <t>Prestations de nettoyage des locaux</t>
        </is>
      </c>
      <c r="D3" t="inlineStr">
        <is>
          <t>Commune de Montfermeil</t>
        </is>
      </c>
      <c r="E3" t="inlineStr">
        <is>
          <t>21930047200194</t>
        </is>
      </c>
      <c r="F3" t="inlineStr">
        <is>
          <t>219300472</t>
        </is>
      </c>
      <c r="G3" t="inlineStr"/>
      <c r="H3" t="inlineStr"/>
      <c r="I3" t="inlineStr">
        <is>
          <t>service.marches@ville-montfermeil.fr</t>
        </is>
      </c>
      <c r="J3" t="inlineStr">
        <is>
          <t>0194 014170</t>
        </is>
      </c>
      <c r="K3" t="inlineStr"/>
      <c r="L3" t="inlineStr"/>
      <c r="M3" t="inlineStr"/>
      <c r="N3" t="inlineStr">
        <is>
          <t>93</t>
        </is>
      </c>
      <c r="O3" t="inlineStr"/>
      <c r="P3" t="inlineStr">
        <is>
          <t>Ile-de-France</t>
        </is>
      </c>
      <c r="Q3" s="15" t="n">
        <v>46204</v>
      </c>
      <c r="R3" s="15" t="n">
        <v>46237</v>
      </c>
      <c r="S3" t="inlineStr"/>
      <c r="T3" t="inlineStr">
        <is>
          <t>A_VERIFIER_BUDGET</t>
        </is>
      </c>
      <c r="U3" t="inlineStr"/>
      <c r="V3" t="inlineStr">
        <is>
          <t>non</t>
        </is>
      </c>
      <c r="W3" t="inlineStr">
        <is>
          <t>Batiments</t>
        </is>
      </c>
      <c r="X3" t="inlineStr">
        <is>
          <t>Mairie</t>
        </is>
      </c>
      <c r="Y3" t="inlineStr">
        <is>
          <t>SERVICES</t>
        </is>
      </c>
      <c r="Z3" t="inlineStr">
        <is>
          <t>Procédure Ouverte</t>
        </is>
      </c>
      <c r="AA3" t="inlineStr">
        <is>
          <t>Avis de marché</t>
        </is>
      </c>
      <c r="AB3" t="inlineStr">
        <is>
          <t>Nettoyage de locaux</t>
        </is>
      </c>
      <c r="AC3" t="inlineStr"/>
      <c r="AD3" s="11" t="inlineStr">
        <is>
          <t>https://www.boamp.fr/pages/avis/?q=idweb:26-64286</t>
        </is>
      </c>
      <c r="AE3" t="inlineStr">
        <is>
          <t>https://marches.maximilien.fr/?page=Entreprise.EntrepriseAdvancedSearch&amp;AllCons&amp;id=933515&amp;orgAcronyme=y0w</t>
        </is>
      </c>
      <c r="AF3" t="inlineStr">
        <is>
          <t>https://marches.maximilien.fr/?page=Entreprise.EntrepriseAdvancedSearch&amp;AllCons&amp;id=933515&amp;orgAcronyme=y0w</t>
        </is>
      </c>
      <c r="AG3" t="inlineStr">
        <is>
          <t>nettoyage</t>
        </is>
      </c>
      <c r="AH3" t="inlineStr">
        <is>
          <t>3</t>
        </is>
      </c>
      <c r="AI3" t="inlineStr">
        <is>
          <t>68</t>
        </is>
      </c>
      <c r="AJ3" t="inlineStr">
        <is>
          <t>INFO_PARTIELLE</t>
        </is>
      </c>
      <c r="AK3" t="inlineStr">
        <is>
          <t>65</t>
        </is>
      </c>
      <c r="AL3" s="13" t="inlineStr">
        <is>
          <t>CHAUD</t>
        </is>
      </c>
      <c r="AM3" t="inlineStr"/>
      <c r="AN3" t="inlineStr"/>
      <c r="AO3" t="inlineStr"/>
      <c r="AP3" t="inlineStr"/>
      <c r="AQ3" t="inlineStr">
        <is>
          <t>IA_BUDGET_A_VERIFIER</t>
        </is>
      </c>
      <c r="AR3" t="inlineStr">
        <is>
          <t>Verifier le budget dans l'avis source ou le DCE avant decision commerciale.</t>
        </is>
      </c>
      <c r="AS3" t="inlineStr">
        <is>
          <t>adresse, ville, budget</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3" t="inlineStr">
        <is>
          <t>Verifier url_avis et DCE si disponible</t>
        </is>
      </c>
      <c r="AV3" t="inlineStr"/>
      <c r="AW3" t="inlineStr"/>
      <c r="AX3" t="inlineStr"/>
      <c r="AY3" t="inlineStr"/>
      <c r="AZ3" t="inlineStr"/>
      <c r="BA3" t="inlineStr"/>
      <c r="BB3" t="inlineStr">
        <is>
          <t>+35 nettoyage + categorie claire | +10 budget non affiche (a verifier) | +10 secteur cible Mairie | +10 delai confortable 28j</t>
        </is>
      </c>
      <c r="BC3" t="inlineStr">
        <is>
          <t>Commune de Montfermeil publie un AO potentiellement pertinent pour CHRUTH : Prestations de nettoyage des locaux. Zone : 93. Budget a verifier. Verifier le lien source avant contact.</t>
        </is>
      </c>
      <c r="BD3"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3"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2026-W27</t>
        </is>
      </c>
    </row>
    <row r="4">
      <c r="A4" t="inlineStr">
        <is>
          <t>BOAMP</t>
        </is>
      </c>
      <c r="B4" t="inlineStr">
        <is>
          <t>26-63518</t>
        </is>
      </c>
      <c r="C4" t="inlineStr">
        <is>
          <t>NETTOYAGE DES BÂTIMENTS COMMUNAUX</t>
        </is>
      </c>
      <c r="D4" t="inlineStr">
        <is>
          <t>MAIRIE DE SAINT-CLAIR-SUR6epte</t>
        </is>
      </c>
      <c r="E4" t="inlineStr">
        <is>
          <t>21950541900016</t>
        </is>
      </c>
      <c r="F4" t="inlineStr">
        <is>
          <t>219505419</t>
        </is>
      </c>
      <c r="G4" t="inlineStr"/>
      <c r="H4" t="inlineStr"/>
      <c r="I4" t="inlineStr">
        <is>
          <t>charlotte.stclair@outlook.fr</t>
        </is>
      </c>
      <c r="J4" t="inlineStr">
        <is>
          <t>0541900016</t>
        </is>
      </c>
      <c r="K4" t="inlineStr"/>
      <c r="L4" t="inlineStr"/>
      <c r="M4" t="inlineStr"/>
      <c r="N4" t="inlineStr">
        <is>
          <t>95</t>
        </is>
      </c>
      <c r="O4" t="inlineStr"/>
      <c r="P4" t="inlineStr">
        <is>
          <t>Ile-de-France</t>
        </is>
      </c>
      <c r="Q4" s="15" t="n">
        <v>46201</v>
      </c>
      <c r="R4" s="15" t="n">
        <v>46276</v>
      </c>
      <c r="S4" t="inlineStr"/>
      <c r="T4" t="inlineStr">
        <is>
          <t>A_VERIFIER_BUDGET</t>
        </is>
      </c>
      <c r="U4" t="inlineStr"/>
      <c r="V4" t="inlineStr">
        <is>
          <t>non</t>
        </is>
      </c>
      <c r="W4" t="inlineStr">
        <is>
          <t>Batiments</t>
        </is>
      </c>
      <c r="X4" t="inlineStr">
        <is>
          <t>Mairie</t>
        </is>
      </c>
      <c r="Y4" t="inlineStr">
        <is>
          <t>SERVICES</t>
        </is>
      </c>
      <c r="Z4" t="inlineStr">
        <is>
          <t>Procédure Ouverte</t>
        </is>
      </c>
      <c r="AA4" t="inlineStr">
        <is>
          <t>Avis de marché</t>
        </is>
      </c>
      <c r="AB4" t="inlineStr">
        <is>
          <t>Nettoyage de locaux, Bâtiment</t>
        </is>
      </c>
      <c r="AC4" t="inlineStr"/>
      <c r="AD4" s="11" t="inlineStr">
        <is>
          <t>https://www.boamp.fr/pages/avis/?q=idweb:26-63518</t>
        </is>
      </c>
      <c r="AE4" t="inlineStr">
        <is>
          <t>https://marches.maximilien.fr/entreprise/consultation/942071?orgAcronyme=d8o</t>
        </is>
      </c>
      <c r="AF4" t="inlineStr">
        <is>
          <t>https://marches.maximilien.fr/entreprise/consultation/942071?orgAcronyme=d8o</t>
        </is>
      </c>
      <c r="AG4" t="inlineStr">
        <is>
          <t>nettoyage, menage</t>
        </is>
      </c>
      <c r="AH4" t="inlineStr">
        <is>
          <t>3</t>
        </is>
      </c>
      <c r="AI4" t="inlineStr">
        <is>
          <t>76</t>
        </is>
      </c>
      <c r="AJ4" t="inlineStr">
        <is>
          <t>INFO_PARTIELLE</t>
        </is>
      </c>
      <c r="AK4" t="inlineStr">
        <is>
          <t>65</t>
        </is>
      </c>
      <c r="AL4" s="13" t="inlineStr">
        <is>
          <t>CHAUD</t>
        </is>
      </c>
      <c r="AM4" t="inlineStr"/>
      <c r="AN4" t="inlineStr"/>
      <c r="AO4" t="inlineStr"/>
      <c r="AP4" t="inlineStr"/>
      <c r="AQ4" t="inlineStr">
        <is>
          <t>IA_BUDGET_A_VERIFIER</t>
        </is>
      </c>
      <c r="AR4" t="inlineStr">
        <is>
          <t>Verifier le budget dans l'avis source ou le DCE avant decision commerciale.</t>
        </is>
      </c>
      <c r="AS4" t="inlineStr">
        <is>
          <t>adresse, ville, budget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4" t="inlineStr">
        <is>
          <t>Verifier url_avis et DCE si disponible</t>
        </is>
      </c>
      <c r="AV4" t="inlineStr"/>
      <c r="AW4" t="inlineStr"/>
      <c r="AX4" t="inlineStr"/>
      <c r="AY4" t="inlineStr"/>
      <c r="AZ4" t="inlineStr"/>
      <c r="BA4" t="inlineStr"/>
      <c r="BB4" t="inlineStr">
        <is>
          <t>+35 nettoyage + categorie claire | +10 budget non affiche (a verifier) | +10 secteur cible Mairie | +10 delai confortable 67j</t>
        </is>
      </c>
      <c r="BC4" t="inlineStr">
        <is>
          <t>MAIRIE DE SAINT-CLAIR-SUR6epte publie un AO potentiellement pertinent pour CHRUTH : NETTOYAGE DES BÂTIMENTS COMMUNAUX. Zone : 95. Budget a verifier. Verifier le lien source avant contact.</t>
        </is>
      </c>
      <c r="BD4"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4"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2026-W26</t>
        </is>
      </c>
    </row>
    <row r="5">
      <c r="A5" t="inlineStr">
        <is>
          <t>BOAMP</t>
        </is>
      </c>
      <c r="B5" t="inlineStr">
        <is>
          <t>26-63201</t>
        </is>
      </c>
      <c r="C5" t="inlineStr">
        <is>
          <t>PRESTATION DE NETTOYAGE ET D'ENTRETIEN DES LOCAUX COMMUNAUX</t>
        </is>
      </c>
      <c r="D5" t="inlineStr">
        <is>
          <t>Commune de Saulx Les Chartreux</t>
        </is>
      </c>
      <c r="E5" t="inlineStr">
        <is>
          <t>21910587100012</t>
        </is>
      </c>
      <c r="F5" t="inlineStr">
        <is>
          <t>219105871</t>
        </is>
      </c>
      <c r="G5" t="inlineStr"/>
      <c r="H5" t="inlineStr"/>
      <c r="I5" t="inlineStr">
        <is>
          <t>finances@saulx.org</t>
        </is>
      </c>
      <c r="J5" t="inlineStr">
        <is>
          <t>0587100012</t>
        </is>
      </c>
      <c r="K5" t="inlineStr"/>
      <c r="L5" t="inlineStr"/>
      <c r="M5" t="inlineStr"/>
      <c r="N5" t="inlineStr">
        <is>
          <t>91,92,93,94</t>
        </is>
      </c>
      <c r="O5" t="inlineStr"/>
      <c r="P5" t="inlineStr">
        <is>
          <t>Ile-de-France</t>
        </is>
      </c>
      <c r="Q5" s="15" t="n">
        <v>46200</v>
      </c>
      <c r="R5" s="15" t="n">
        <v>46234</v>
      </c>
      <c r="S5" t="inlineStr"/>
      <c r="T5" t="inlineStr">
        <is>
          <t>A_VERIFIER_BUDGET</t>
        </is>
      </c>
      <c r="U5" t="inlineStr"/>
      <c r="V5" t="inlineStr">
        <is>
          <t>non</t>
        </is>
      </c>
      <c r="W5" t="inlineStr">
        <is>
          <t>Batiments</t>
        </is>
      </c>
      <c r="X5" t="inlineStr">
        <is>
          <t>Mairie</t>
        </is>
      </c>
      <c r="Y5" t="inlineStr">
        <is>
          <t>SERVICES</t>
        </is>
      </c>
      <c r="Z5" t="inlineStr">
        <is>
          <t>Procédure Ouverte</t>
        </is>
      </c>
      <c r="AA5" t="inlineStr">
        <is>
          <t>Avis de marché</t>
        </is>
      </c>
      <c r="AB5" t="inlineStr">
        <is>
          <t>Nettoyage de locaux</t>
        </is>
      </c>
      <c r="AC5" t="inlineStr">
        <is>
          <t>['environnementaux']</t>
        </is>
      </c>
      <c r="AD5" s="11" t="inlineStr">
        <is>
          <t>https://www.boamp.fr/pages/avis/?q=idweb:26-63201</t>
        </is>
      </c>
      <c r="AE5" t="inlineStr">
        <is>
          <t>https://www.achatpublic.com/sdm/ent/gen/ent_detail.do?PCSLID=CSL_2026_-rboFCvnvk</t>
        </is>
      </c>
      <c r="AF5" t="inlineStr">
        <is>
          <t>https://www.achatpublic.com/sdm/ent/gen/ent_detail.do?PCSLID=CSL_2026_-rboFCvnvk</t>
        </is>
      </c>
      <c r="AG5" t="inlineStr">
        <is>
          <t>nettoyage, entretien des locaux</t>
        </is>
      </c>
      <c r="AH5" t="inlineStr">
        <is>
          <t>3</t>
        </is>
      </c>
      <c r="AI5" t="inlineStr">
        <is>
          <t>76</t>
        </is>
      </c>
      <c r="AJ5" t="inlineStr">
        <is>
          <t>INFO_PARTIELLE</t>
        </is>
      </c>
      <c r="AK5" t="inlineStr">
        <is>
          <t>65</t>
        </is>
      </c>
      <c r="AL5" s="13" t="inlineStr">
        <is>
          <t>CHAUD</t>
        </is>
      </c>
      <c r="AM5" t="inlineStr"/>
      <c r="AN5" t="inlineStr"/>
      <c r="AO5" t="inlineStr"/>
      <c r="AP5" t="inlineStr"/>
      <c r="AQ5" t="inlineStr">
        <is>
          <t>IA_BUDGET_A_VERIFIER</t>
        </is>
      </c>
      <c r="AR5" t="inlineStr">
        <is>
          <t>Verifier le budget dans l'avis source ou le DCE avant decision commerciale.</t>
        </is>
      </c>
      <c r="AS5" t="inlineStr">
        <is>
          <t>adresse, ville, budget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5" t="inlineStr">
        <is>
          <t>Verifier url_avis et DCE si disponible</t>
        </is>
      </c>
      <c r="AV5" t="inlineStr"/>
      <c r="AW5" t="inlineStr"/>
      <c r="AX5" t="inlineStr"/>
      <c r="AY5" t="inlineStr"/>
      <c r="AZ5" t="inlineStr"/>
      <c r="BA5" t="inlineStr"/>
      <c r="BB5" t="inlineStr">
        <is>
          <t>+35 nettoyage + categorie claire | +10 budget non affiche (a verifier) | +10 secteur cible Mairie | +10 delai confortable 25j</t>
        </is>
      </c>
      <c r="BC5" t="inlineStr">
        <is>
          <t>Commune de Saulx Les Chartreux publie un AO potentiellement pertinent pour CHRUTH : PRESTATION DE NETTOYAGE ET D'ENTRETIEN DES LOCAUX COMMUNAUX. Zone : 91,92,93,94. Budget a verifier. Verifier le lien source avant contact.</t>
        </is>
      </c>
      <c r="BD5"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5"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2026-W26</t>
        </is>
      </c>
    </row>
    <row r="6">
      <c r="A6" t="inlineStr">
        <is>
          <t>BOAMP</t>
        </is>
      </c>
      <c r="B6" t="inlineStr">
        <is>
          <t>26-62488</t>
        </is>
      </c>
      <c r="C6" t="inlineStr">
        <is>
          <t>Prestation de nettoyage des locaux et de la vitrerie</t>
        </is>
      </c>
      <c r="D6" t="inlineStr">
        <is>
          <t>ECOLE NATIONALE DES CHARTES</t>
        </is>
      </c>
      <c r="E6" t="inlineStr">
        <is>
          <t>19753478700043</t>
        </is>
      </c>
      <c r="F6" t="inlineStr">
        <is>
          <t>197534787</t>
        </is>
      </c>
      <c r="G6" t="inlineStr">
        <is>
          <t>service logistique</t>
        </is>
      </c>
      <c r="H6" t="inlineStr"/>
      <c r="I6" t="inlineStr">
        <is>
          <t>daf@chartes.psl.eu</t>
        </is>
      </c>
      <c r="J6" t="inlineStr">
        <is>
          <t>06-24 2026-07</t>
        </is>
      </c>
      <c r="K6" t="inlineStr">
        <is>
          <t>Paris 75002</t>
        </is>
      </c>
      <c r="L6" t="inlineStr">
        <is>
          <t>75002</t>
        </is>
      </c>
      <c r="M6" t="inlineStr">
        <is>
          <t>Paris</t>
        </is>
      </c>
      <c r="N6" t="inlineStr">
        <is>
          <t>75,77,78,91,92,93,94,95</t>
        </is>
      </c>
      <c r="O6" t="inlineStr"/>
      <c r="P6" t="inlineStr">
        <is>
          <t>Ile-de-France</t>
        </is>
      </c>
      <c r="Q6" s="15" t="n">
        <v>46197</v>
      </c>
      <c r="R6" s="15" t="n">
        <v>46227</v>
      </c>
      <c r="S6" t="inlineStr"/>
      <c r="T6" t="inlineStr">
        <is>
          <t>A_VERIFIER_BUDGET</t>
        </is>
      </c>
      <c r="U6" t="inlineStr"/>
      <c r="V6" t="inlineStr">
        <is>
          <t>non</t>
        </is>
      </c>
      <c r="W6" t="inlineStr">
        <is>
          <t>Vitres</t>
        </is>
      </c>
      <c r="X6" t="inlineStr">
        <is>
          <t>Ecole</t>
        </is>
      </c>
      <c r="Y6" t="inlineStr">
        <is>
          <t>SERVICES</t>
        </is>
      </c>
      <c r="Z6" t="inlineStr">
        <is>
          <t>Procédure Ouverte</t>
        </is>
      </c>
      <c r="AA6" t="inlineStr">
        <is>
          <t>Avis de marché</t>
        </is>
      </c>
      <c r="AB6" t="inlineStr">
        <is>
          <t>Nettoyage de locaux</t>
        </is>
      </c>
      <c r="AC6" t="inlineStr">
        <is>
          <t>['environnementaux']</t>
        </is>
      </c>
      <c r="AD6" s="11" t="inlineStr">
        <is>
          <t>https://www.boamp.fr/pages/avis/?q=idweb:26-62488</t>
        </is>
      </c>
      <c r="AE6" t="inlineStr"/>
      <c r="AF6" t="inlineStr"/>
      <c r="AG6" t="inlineStr">
        <is>
          <t>nettoyage</t>
        </is>
      </c>
      <c r="AH6" t="inlineStr">
        <is>
          <t>6</t>
        </is>
      </c>
      <c r="AI6" t="inlineStr">
        <is>
          <t>98</t>
        </is>
      </c>
      <c r="AJ6" t="inlineStr">
        <is>
          <t>INFO_PARTIELLE</t>
        </is>
      </c>
      <c r="AK6" t="inlineStr">
        <is>
          <t>65</t>
        </is>
      </c>
      <c r="AL6" s="13" t="inlineStr">
        <is>
          <t>CHAUD</t>
        </is>
      </c>
      <c r="AM6" t="inlineStr"/>
      <c r="AN6" t="inlineStr"/>
      <c r="AO6" t="inlineStr"/>
      <c r="AP6" t="inlineStr"/>
      <c r="AQ6" t="inlineStr">
        <is>
          <t>IA_BUDGET_A_VERIFIER</t>
        </is>
      </c>
      <c r="AR6" t="inlineStr">
        <is>
          <t>Verifier le budget dans l'avis source ou le DCE avant decision commerciale.</t>
        </is>
      </c>
      <c r="AS6" t="inlineStr">
        <is>
          <t>budget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6" t="inlineStr">
        <is>
          <t>Verifier url_avis et DCE si disponible</t>
        </is>
      </c>
      <c r="AV6" t="inlineStr"/>
      <c r="AW6" t="inlineStr"/>
      <c r="AX6" t="inlineStr"/>
      <c r="AY6" t="inlineStr"/>
      <c r="AZ6" t="inlineStr"/>
      <c r="BA6" t="inlineStr"/>
      <c r="BB6" t="inlineStr">
        <is>
          <t>+35 nettoyage + categorie claire | +10 budget non affiche (a verifier) | +10 secteur cible Ecole | +10 delai confortable 18j</t>
        </is>
      </c>
      <c r="BC6" t="inlineStr">
        <is>
          <t>ECOLE NATIONALE DES CHARTES publie un AO potentiellement pertinent pour CHRUTH : Prestation de nettoyage des locaux et de la vitrerie. Zone : Paris. Budget a verifier. Verifier le lien source avant contact.</t>
        </is>
      </c>
      <c r="BD6"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6"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2026-W26</t>
        </is>
      </c>
    </row>
    <row r="7">
      <c r="A7" t="inlineStr">
        <is>
          <t>BOAMP</t>
        </is>
      </c>
      <c r="B7" t="inlineStr">
        <is>
          <t>26-61263</t>
        </is>
      </c>
      <c r="C7" t="inlineStr">
        <is>
          <t>NETTOYAGE ET ENTRETIEN DES BATIMENTS COMMUNAUX</t>
        </is>
      </c>
      <c r="D7" t="inlineStr">
        <is>
          <t>MAIRIE DE MERIEL</t>
        </is>
      </c>
      <c r="E7" t="inlineStr">
        <is>
          <t>21950392700010</t>
        </is>
      </c>
      <c r="F7" t="inlineStr">
        <is>
          <t>219503927</t>
        </is>
      </c>
      <c r="G7" t="inlineStr"/>
      <c r="H7" t="inlineStr"/>
      <c r="I7" t="inlineStr">
        <is>
          <t>dgs@meriel.fr</t>
        </is>
      </c>
      <c r="J7" t="inlineStr">
        <is>
          <t>0392700010</t>
        </is>
      </c>
      <c r="K7" t="inlineStr"/>
      <c r="L7" t="inlineStr"/>
      <c r="M7" t="inlineStr"/>
      <c r="N7" t="inlineStr">
        <is>
          <t>95</t>
        </is>
      </c>
      <c r="O7" t="inlineStr"/>
      <c r="P7" t="inlineStr">
        <is>
          <t>Ile-de-France</t>
        </is>
      </c>
      <c r="Q7" s="15" t="n">
        <v>46194</v>
      </c>
      <c r="R7" s="15" t="n">
        <v>46227</v>
      </c>
      <c r="S7" t="inlineStr"/>
      <c r="T7" t="inlineStr">
        <is>
          <t>A_VERIFIER_BUDGET</t>
        </is>
      </c>
      <c r="U7" t="inlineStr"/>
      <c r="V7" t="inlineStr">
        <is>
          <t>non</t>
        </is>
      </c>
      <c r="W7" t="inlineStr">
        <is>
          <t>Vitres</t>
        </is>
      </c>
      <c r="X7" t="inlineStr">
        <is>
          <t>Mairie</t>
        </is>
      </c>
      <c r="Y7" t="inlineStr">
        <is>
          <t>SERVICES</t>
        </is>
      </c>
      <c r="Z7" t="inlineStr">
        <is>
          <t>Procédure Ouverte</t>
        </is>
      </c>
      <c r="AA7" t="inlineStr">
        <is>
          <t>Avis de marché</t>
        </is>
      </c>
      <c r="AB7" t="inlineStr">
        <is>
          <t>Nettoyage de locaux</t>
        </is>
      </c>
      <c r="AC7" t="inlineStr"/>
      <c r="AD7" s="11" t="inlineStr">
        <is>
          <t>https://www.boamp.fr/pages/avis/?q=idweb:26-61263</t>
        </is>
      </c>
      <c r="AE7" t="inlineStr">
        <is>
          <t>https://www.maximilien.fr</t>
        </is>
      </c>
      <c r="AF7" t="inlineStr">
        <is>
          <t>https://www.maximilien.fr</t>
        </is>
      </c>
      <c r="AG7" t="inlineStr">
        <is>
          <t>nettoyage</t>
        </is>
      </c>
      <c r="AH7" t="inlineStr">
        <is>
          <t>3</t>
        </is>
      </c>
      <c r="AI7" t="inlineStr">
        <is>
          <t>68</t>
        </is>
      </c>
      <c r="AJ7" t="inlineStr">
        <is>
          <t>INFO_PARTIELLE</t>
        </is>
      </c>
      <c r="AK7" t="inlineStr">
        <is>
          <t>65</t>
        </is>
      </c>
      <c r="AL7" s="13" t="inlineStr">
        <is>
          <t>CHAUD</t>
        </is>
      </c>
      <c r="AM7" t="inlineStr"/>
      <c r="AN7" t="inlineStr"/>
      <c r="AO7" t="inlineStr"/>
      <c r="AP7" t="inlineStr"/>
      <c r="AQ7" t="inlineStr">
        <is>
          <t>IA_BUDGET_A_VERIFIER</t>
        </is>
      </c>
      <c r="AR7" t="inlineStr">
        <is>
          <t>Verifier le budget dans l'avis source ou le DCE avant decision commerciale.</t>
        </is>
      </c>
      <c r="AS7" t="inlineStr">
        <is>
          <t>adresse, ville, budget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7" t="inlineStr">
        <is>
          <t>Verifier url_avis et DCE si disponible</t>
        </is>
      </c>
      <c r="AV7" t="inlineStr">
        <is>
          <t>LIEN_SEUL</t>
        </is>
      </c>
      <c r="AW7" t="inlineStr"/>
      <c r="AX7" t="inlineStr"/>
      <c r="AY7" t="inlineStr"/>
      <c r="AZ7" t="inlineStr"/>
      <c r="BA7" t="inlineStr"/>
      <c r="BB7" t="inlineStr">
        <is>
          <t>+35 nettoyage + categorie claire | +10 budget non affiche (a verifier) | +10 secteur cible Mairie | +10 delai confortable 19j</t>
        </is>
      </c>
      <c r="BC7" t="inlineStr">
        <is>
          <t>MAIRIE DE MERIEL publie un AO potentiellement pertinent pour CHRUTH : NETTOYAGE ET ENTRETIEN DES BATIMENTS COMMUNAUX. Zone : 95. Budget a verifier. Verifier le lien source avant contact.</t>
        </is>
      </c>
      <c r="BD7"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7"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2026-W25</t>
        </is>
      </c>
    </row>
    <row r="8">
      <c r="A8" t="inlineStr">
        <is>
          <t>BOAMP</t>
        </is>
      </c>
      <c r="B8" t="inlineStr">
        <is>
          <t>26-60231</t>
        </is>
      </c>
      <c r="C8" t="inlineStr">
        <is>
          <t>Nettoyage des locaux communaux et des vitreries des bâtiments communaux</t>
        </is>
      </c>
      <c r="D8" t="inlineStr">
        <is>
          <t>Ville de Fontenay-aux-Roses</t>
        </is>
      </c>
      <c r="E8" t="inlineStr"/>
      <c r="F8" t="inlineStr"/>
      <c r="G8" t="inlineStr"/>
      <c r="H8" t="inlineStr"/>
      <c r="I8" t="inlineStr">
        <is>
          <t>publications-joue@aws-france.com</t>
        </is>
      </c>
      <c r="J8" t="inlineStr">
        <is>
          <t>+33480041260</t>
        </is>
      </c>
      <c r="K8" t="inlineStr"/>
      <c r="L8" t="inlineStr"/>
      <c r="M8" t="inlineStr"/>
      <c r="N8" t="inlineStr">
        <is>
          <t>92</t>
        </is>
      </c>
      <c r="O8" t="inlineStr"/>
      <c r="P8" t="inlineStr">
        <is>
          <t>Ile-de-France</t>
        </is>
      </c>
      <c r="Q8" s="15" t="n">
        <v>46192</v>
      </c>
      <c r="R8" s="15" t="n">
        <v>46232</v>
      </c>
      <c r="S8" t="inlineStr"/>
      <c r="T8" t="inlineStr">
        <is>
          <t>A_VERIFIER_BUDGET</t>
        </is>
      </c>
      <c r="U8" t="inlineStr"/>
      <c r="V8" t="inlineStr">
        <is>
          <t>non</t>
        </is>
      </c>
      <c r="W8" t="inlineStr">
        <is>
          <t>Vitres</t>
        </is>
      </c>
      <c r="X8" t="inlineStr">
        <is>
          <t>Mairie</t>
        </is>
      </c>
      <c r="Y8" t="inlineStr">
        <is>
          <t>SERVICES</t>
        </is>
      </c>
      <c r="Z8" t="inlineStr">
        <is>
          <t>Procédure Ouverte</t>
        </is>
      </c>
      <c r="AA8" t="inlineStr">
        <is>
          <t>Avis de marché</t>
        </is>
      </c>
      <c r="AB8" t="inlineStr">
        <is>
          <t>Nettoyage de locaux, Vitrerie</t>
        </is>
      </c>
      <c r="AC8" t="inlineStr">
        <is>
          <t>['environnementaux']</t>
        </is>
      </c>
      <c r="AD8" s="11" t="inlineStr">
        <is>
          <t>https://www.boamp.fr/pages/avis/?q=idweb:26-60231</t>
        </is>
      </c>
      <c r="AE8" t="inlineStr">
        <is>
          <t>https://www.marches-publics.info/accueil.htm</t>
        </is>
      </c>
      <c r="AF8" t="inlineStr">
        <is>
          <t>https://www.marches-publics.info/accueil.htm</t>
        </is>
      </c>
      <c r="AG8" t="inlineStr">
        <is>
          <t>nettoyage</t>
        </is>
      </c>
      <c r="AH8" t="inlineStr">
        <is>
          <t>2</t>
        </is>
      </c>
      <c r="AI8" t="inlineStr">
        <is>
          <t>58</t>
        </is>
      </c>
      <c r="AJ8" t="inlineStr">
        <is>
          <t>INFO_PARTIELLE</t>
        </is>
      </c>
      <c r="AK8" t="inlineStr">
        <is>
          <t>65</t>
        </is>
      </c>
      <c r="AL8" s="13" t="inlineStr">
        <is>
          <t>CHAUD</t>
        </is>
      </c>
      <c r="AM8" t="inlineStr"/>
      <c r="AN8" t="inlineStr"/>
      <c r="AO8" t="inlineStr"/>
      <c r="AP8" t="inlineStr"/>
      <c r="AQ8" t="inlineStr">
        <is>
          <t>IA_BUDGET_A_VERIFIER</t>
        </is>
      </c>
      <c r="AR8" t="inlineStr">
        <is>
          <t>Verifier le budget dans l'avis source ou le DCE avant decision commerciale.</t>
        </is>
      </c>
      <c r="AS8" t="inlineStr">
        <is>
          <t>SIRET, adresse, ville, budget</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8" t="inlineStr">
        <is>
          <t>Verifier url_avis et DCE si disponible</t>
        </is>
      </c>
      <c r="AV8" t="inlineStr">
        <is>
          <t>LIEN_SEUL</t>
        </is>
      </c>
      <c r="AW8" t="inlineStr"/>
      <c r="AX8" t="inlineStr"/>
      <c r="AY8" t="inlineStr"/>
      <c r="AZ8" t="inlineStr"/>
      <c r="BA8" t="inlineStr"/>
      <c r="BB8" t="inlineStr">
        <is>
          <t>+35 nettoyage + categorie claire | +10 budget non affiche (a verifier) | +10 secteur cible Mairie | +10 delai confortable 26j</t>
        </is>
      </c>
      <c r="BC8" t="inlineStr">
        <is>
          <t>Ville de Fontenay-aux-Roses publie un AO potentiellement pertinent pour CHRUTH : Nettoyage des locaux communaux et des vitreries des bâtiments communaux. Zone : 92. Budget a verifier. Verifier le lien source avant contact.</t>
        </is>
      </c>
      <c r="BD8"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8"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2026-W25</t>
        </is>
      </c>
    </row>
    <row r="9">
      <c r="A9" t="inlineStr">
        <is>
          <t>BOAMP</t>
        </is>
      </c>
      <c r="B9" t="inlineStr">
        <is>
          <t>26-55118</t>
        </is>
      </c>
      <c r="C9" t="inlineStr">
        <is>
          <t>Nettoyage des locaux des bâtiments de la commune de Châtillon (92320)</t>
        </is>
      </c>
      <c r="D9" t="inlineStr">
        <is>
          <t>Commune de CHATILLON</t>
        </is>
      </c>
      <c r="E9" t="inlineStr"/>
      <c r="F9" t="inlineStr"/>
      <c r="G9" t="inlineStr"/>
      <c r="H9" t="inlineStr"/>
      <c r="I9" t="inlineStr">
        <is>
          <t>publications-joue@aws-france.com</t>
        </is>
      </c>
      <c r="J9" t="inlineStr">
        <is>
          <t>+33480041260</t>
        </is>
      </c>
      <c r="K9" t="inlineStr"/>
      <c r="L9" t="inlineStr"/>
      <c r="M9" t="inlineStr"/>
      <c r="N9" t="inlineStr">
        <is>
          <t>92</t>
        </is>
      </c>
      <c r="O9" t="inlineStr"/>
      <c r="P9" t="inlineStr">
        <is>
          <t>Ile-de-France</t>
        </is>
      </c>
      <c r="Q9" s="15" t="n">
        <v>46179</v>
      </c>
      <c r="R9" s="15" t="n">
        <v>46213</v>
      </c>
      <c r="S9" t="inlineStr"/>
      <c r="T9" t="inlineStr">
        <is>
          <t>A_VERIFIER_BUDGET</t>
        </is>
      </c>
      <c r="U9" t="inlineStr"/>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is>
          <t>['environnementaux']</t>
        </is>
      </c>
      <c r="AD9" s="11" t="inlineStr">
        <is>
          <t>https://www.boamp.fr/pages/avis/?q=idweb:26-55118</t>
        </is>
      </c>
      <c r="AE9" t="inlineStr">
        <is>
          <t>https://www.marches-publics.info</t>
        </is>
      </c>
      <c r="AF9" t="inlineStr">
        <is>
          <t>https://www.marches-publics.info</t>
        </is>
      </c>
      <c r="AG9" t="inlineStr">
        <is>
          <t>nettoyage</t>
        </is>
      </c>
      <c r="AH9" t="inlineStr">
        <is>
          <t>2</t>
        </is>
      </c>
      <c r="AI9" t="inlineStr">
        <is>
          <t>58</t>
        </is>
      </c>
      <c r="AJ9" t="inlineStr">
        <is>
          <t>INFO_PARTIELLE</t>
        </is>
      </c>
      <c r="AK9" t="inlineStr">
        <is>
          <t>65</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SIRET, adresse, ville,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9" t="inlineStr">
        <is>
          <t>Verifier url_avis et DCE si disponible</t>
        </is>
      </c>
      <c r="AV9" t="inlineStr">
        <is>
          <t>LIEN_SEUL</t>
        </is>
      </c>
      <c r="AW9" t="inlineStr"/>
      <c r="AX9" t="inlineStr"/>
      <c r="AY9" t="inlineStr"/>
      <c r="AZ9" t="inlineStr"/>
      <c r="BA9" t="inlineStr"/>
      <c r="BB9" t="inlineStr">
        <is>
          <t>+35 nettoyage + categorie claire | +10 budget non affiche (a verifier) | +10 secteur cible Mairie | +10 delai confortable 20j</t>
        </is>
      </c>
      <c r="BC9" t="inlineStr">
        <is>
          <t>Commune de CHATILLON publie un AO potentiellement pertinent pour CHRUTH : Nettoyage des locaux des bâtiments de la commune de Châtillon (92320). Zone : 92. Budget a verifier. Verifier le lien source avant contact.</t>
        </is>
      </c>
      <c r="BD9"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9"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9" t="inlineStr"/>
      <c r="BG9" t="inlineStr"/>
      <c r="BH9" t="inlineStr"/>
      <c r="BI9" t="inlineStr"/>
      <c r="BJ9" t="inlineStr"/>
      <c r="BK9" t="inlineStr"/>
      <c r="BL9" t="inlineStr"/>
      <c r="BM9" t="inlineStr">
        <is>
          <t>2026-W23</t>
        </is>
      </c>
    </row>
    <row r="10">
      <c r="A10" t="inlineStr">
        <is>
          <t>BOAMP</t>
        </is>
      </c>
      <c r="B10" t="inlineStr">
        <is>
          <t>26-54753</t>
        </is>
      </c>
      <c r="C10" t="inlineStr">
        <is>
          <t>PRESTATIONS DE NETTOYAGE DE LA MAISON DES JEUNES ET DE LA MAISON DE L'ENFANCE ET DE LA FAMILLE DE LA COMMUNE BOISSY-SAINT-LEGER</t>
        </is>
      </c>
      <c r="D10" t="inlineStr">
        <is>
          <t>Mairie Boissy Saint Léger</t>
        </is>
      </c>
      <c r="E10" t="inlineStr">
        <is>
          <t>21940004100014</t>
        </is>
      </c>
      <c r="F10" t="inlineStr">
        <is>
          <t>219400041</t>
        </is>
      </c>
      <c r="G10" t="inlineStr"/>
      <c r="H10" t="inlineStr"/>
      <c r="I10" t="inlineStr">
        <is>
          <t>marches.publics@ville-boissy.fr</t>
        </is>
      </c>
      <c r="J10" t="inlineStr">
        <is>
          <t>04100014 01</t>
        </is>
      </c>
      <c r="K10" t="inlineStr"/>
      <c r="L10" t="inlineStr"/>
      <c r="M10" t="inlineStr"/>
      <c r="N10" t="inlineStr">
        <is>
          <t>94,95</t>
        </is>
      </c>
      <c r="O10" t="inlineStr"/>
      <c r="P10" t="inlineStr">
        <is>
          <t>Ile-de-France</t>
        </is>
      </c>
      <c r="Q10" s="15" t="n">
        <v>46178</v>
      </c>
      <c r="R10" s="15" t="n">
        <v>46213</v>
      </c>
      <c r="S10" t="inlineStr"/>
      <c r="T10" t="inlineStr">
        <is>
          <t>A_VERIFIER_BUDGET</t>
        </is>
      </c>
      <c r="U10" t="inlineStr"/>
      <c r="V10" t="inlineStr">
        <is>
          <t>non</t>
        </is>
      </c>
      <c r="W10" t="inlineStr">
        <is>
          <t>Batiments</t>
        </is>
      </c>
      <c r="X10" t="inlineStr">
        <is>
          <t>Mairie</t>
        </is>
      </c>
      <c r="Y10" t="inlineStr">
        <is>
          <t>SERVICES</t>
        </is>
      </c>
      <c r="Z10" t="inlineStr">
        <is>
          <t>Procédure Ouverte</t>
        </is>
      </c>
      <c r="AA10" t="inlineStr">
        <is>
          <t>Avis de marché</t>
        </is>
      </c>
      <c r="AB10" t="inlineStr">
        <is>
          <t>Nettoyage de locaux</t>
        </is>
      </c>
      <c r="AC10" t="inlineStr">
        <is>
          <t>['sociaux', 'environnementaux']</t>
        </is>
      </c>
      <c r="AD10" s="11" t="inlineStr">
        <is>
          <t>https://www.boamp.fr/pages/avis/?q=idweb:26-54753</t>
        </is>
      </c>
      <c r="AE10" t="inlineStr">
        <is>
          <t>https://www.achatpublic.com/sdm/ent/gen/ent_detail.do?PCSLID=CSL_2026_Q0MbHTHdpI</t>
        </is>
      </c>
      <c r="AF10" t="inlineStr">
        <is>
          <t>https://www.achatpublic.com/sdm/ent/gen/ent_detail.do?PCSLID=CSL_2026_Q0MbHTHdpI</t>
        </is>
      </c>
      <c r="AG10" t="inlineStr">
        <is>
          <t>nettoyage</t>
        </is>
      </c>
      <c r="AH10" t="inlineStr">
        <is>
          <t>3</t>
        </is>
      </c>
      <c r="AI10" t="inlineStr">
        <is>
          <t>68</t>
        </is>
      </c>
      <c r="AJ10" t="inlineStr">
        <is>
          <t>INFO_PARTIELLE</t>
        </is>
      </c>
      <c r="AK10" t="inlineStr">
        <is>
          <t>65</t>
        </is>
      </c>
      <c r="AL10" s="13" t="inlineStr">
        <is>
          <t>CHAUD</t>
        </is>
      </c>
      <c r="AM10" t="inlineStr"/>
      <c r="AN10" t="inlineStr"/>
      <c r="AO10" t="inlineStr"/>
      <c r="AP10" t="inlineStr"/>
      <c r="AQ10" t="inlineStr">
        <is>
          <t>IA_BUDGET_A_VERIFIER</t>
        </is>
      </c>
      <c r="AR10" t="inlineStr">
        <is>
          <t>Verifier le budget dans l'avis source ou le DCE avant decision commerciale.</t>
        </is>
      </c>
      <c r="AS10" t="inlineStr">
        <is>
          <t>adresse, ville,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10" t="inlineStr">
        <is>
          <t>Verifier url_avis et DCE si disponible</t>
        </is>
      </c>
      <c r="AV10" t="inlineStr">
        <is>
          <t>LIEN_SEUL</t>
        </is>
      </c>
      <c r="AW10" t="inlineStr"/>
      <c r="AX10" t="inlineStr"/>
      <c r="AY10" t="inlineStr"/>
      <c r="AZ10" t="inlineStr"/>
      <c r="BA10" t="inlineStr"/>
      <c r="BB10" t="inlineStr">
        <is>
          <t>+35 nettoyage + categorie claire | +10 budget non affiche (a verifier) | +10 secteur cible Mairie | +10 delai confortable 21j</t>
        </is>
      </c>
      <c r="BC10"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10"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10"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10" t="inlineStr"/>
      <c r="BG10" t="inlineStr"/>
      <c r="BH10" t="inlineStr"/>
      <c r="BI10" t="inlineStr"/>
      <c r="BJ10" t="inlineStr"/>
      <c r="BK10" t="inlineStr"/>
      <c r="BL10" t="inlineStr"/>
      <c r="BM10" t="inlineStr">
        <is>
          <t>2026-W23</t>
        </is>
      </c>
    </row>
    <row r="11">
      <c r="A11" t="inlineStr">
        <is>
          <t>BOAMP</t>
        </is>
      </c>
      <c r="B11" t="inlineStr">
        <is>
          <t>26-63220</t>
        </is>
      </c>
      <c r="C11" t="inlineStr">
        <is>
          <t>Prestations de propreté urbaine de la Ville de Choisy-le-Roi</t>
        </is>
      </c>
      <c r="D11" t="inlineStr">
        <is>
          <t>Mairie de Choisy-le-Roi</t>
        </is>
      </c>
      <c r="E11" t="inlineStr">
        <is>
          <t>21940022300018</t>
        </is>
      </c>
      <c r="F11" t="inlineStr">
        <is>
          <t>219400223</t>
        </is>
      </c>
      <c r="G11" t="inlineStr"/>
      <c r="H11" t="inlineStr"/>
      <c r="I11" t="inlineStr">
        <is>
          <t>marches.publics@choisyleroi.fr</t>
        </is>
      </c>
      <c r="J11" t="inlineStr">
        <is>
          <t>0148924444</t>
        </is>
      </c>
      <c r="K11" t="inlineStr"/>
      <c r="L11" t="inlineStr"/>
      <c r="M11" t="inlineStr"/>
      <c r="N11" t="inlineStr">
        <is>
          <t>94,91</t>
        </is>
      </c>
      <c r="O11" t="inlineStr"/>
      <c r="P11" t="inlineStr">
        <is>
          <t>Ile-de-France</t>
        </is>
      </c>
      <c r="Q11" s="15" t="n">
        <v>46200</v>
      </c>
      <c r="R11" s="15" t="n">
        <v>46237</v>
      </c>
      <c r="S11" t="inlineStr"/>
      <c r="T11" t="inlineStr">
        <is>
          <t>A_VERIFIER_BUDGET</t>
        </is>
      </c>
      <c r="U11" t="inlineStr"/>
      <c r="V11" t="inlineStr">
        <is>
          <t>non</t>
        </is>
      </c>
      <c r="W11" t="inlineStr">
        <is>
          <t>Mixte/Autre</t>
        </is>
      </c>
      <c r="X11" t="inlineStr">
        <is>
          <t>Mairie</t>
        </is>
      </c>
      <c r="Y11" t="inlineStr">
        <is>
          <t>SERVICES</t>
        </is>
      </c>
      <c r="Z11" t="inlineStr">
        <is>
          <t>Procédure Ouverte</t>
        </is>
      </c>
      <c r="AA11" t="inlineStr">
        <is>
          <t>Avis de marché</t>
        </is>
      </c>
      <c r="AB11" t="inlineStr">
        <is>
          <t>Nettoyage urbain</t>
        </is>
      </c>
      <c r="AC11" t="inlineStr">
        <is>
          <t>['sociaux', 'environnementaux']</t>
        </is>
      </c>
      <c r="AD11" s="11" t="inlineStr">
        <is>
          <t>https://www.boamp.fr/pages/avis/?q=idweb:26-63220</t>
        </is>
      </c>
      <c r="AE11" t="inlineStr">
        <is>
          <t>https://www.achatpublic.com/sdm/ent/gen/ent_detail.do?PCSLID=CSL_2026_IDV3YK-Eq_</t>
        </is>
      </c>
      <c r="AF11" t="inlineStr">
        <is>
          <t>https://www.achatpublic.com/sdm/ent/gen/ent_detail.do?PCSLID=CSL_2026_IDV3YK-Eq_</t>
        </is>
      </c>
      <c r="AG11" t="inlineStr">
        <is>
          <t>nettoyage, proprete</t>
        </is>
      </c>
      <c r="AH11" t="inlineStr">
        <is>
          <t>3</t>
        </is>
      </c>
      <c r="AI11" t="inlineStr">
        <is>
          <t>76</t>
        </is>
      </c>
      <c r="AJ11" t="inlineStr">
        <is>
          <t>INFO_PARTIELLE</t>
        </is>
      </c>
      <c r="AK11" t="inlineStr">
        <is>
          <t>60</t>
        </is>
      </c>
      <c r="AL11" t="inlineStr">
        <is>
          <t>TIEDE</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26-63220. Objet: Prestations de propreté urbaine de la Ville de Choisy-le-Roi. Acheteur: Mairie de Choisy-le-Roi. Lien: https://www.boamp.fr/pages/avis/?q=idweb:26-63220.</t>
        </is>
      </c>
      <c r="AU11" t="inlineStr">
        <is>
          <t>Verifier url_avis et DCE si disponible</t>
        </is>
      </c>
      <c r="AV11" t="inlineStr"/>
      <c r="AW11" t="inlineStr"/>
      <c r="AX11" t="inlineStr"/>
      <c r="AY11" t="inlineStr"/>
      <c r="AZ11" t="inlineStr"/>
      <c r="BA11" t="inlineStr"/>
      <c r="BB11" t="inlineStr">
        <is>
          <t>+30 mots-cles nettoyage forts | +10 budget non affiche (a verifier) | +10 secteur cible Mairie | +10 delai confortable 28j</t>
        </is>
      </c>
      <c r="BC11" t="inlineStr">
        <is>
          <t>Mairie de Choisy-le-Roi publie un AO potentiellement pertinent pour CHRUTH : Prestations de propreté urbaine de la Ville de Choisy-le-Roi. Zone : 94,91. Budget a verifier. Verifier le lien source avant contact.</t>
        </is>
      </c>
      <c r="BD11" t="inlineStr">
        <is>
          <t>Bonjour,
Je me permets de vous contacter au sujet de votre appel d'offres : Prestations de propreté urbaine de la Ville de Choisy-le-Roi.
CHRUTH accompagne les structures publiques et privées sur les besoins de nettoyage, d'entretien des locaux et d'organisation de prestations de service.
Serait-il possible d'échanger rapidement afin de vérifier les modalités de réponse et les attentes de Mairie de Choisy-le-Roi ?
Cordialement,</t>
        </is>
      </c>
      <c r="BE11" t="inlineStr">
        <is>
          <t>Bonjour, je vous appelle concernant un appel d'offres publié par Mairie de Choisy-le-Roi.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2026-W26</t>
        </is>
      </c>
    </row>
    <row r="12">
      <c r="A12" t="inlineStr">
        <is>
          <t>BOAMP</t>
        </is>
      </c>
      <c r="B12" t="inlineStr">
        <is>
          <t>26-62559</t>
        </is>
      </c>
      <c r="C12" t="inlineStr">
        <is>
          <t>Achat et livraison de produits, matériels  et consommables d'entretien pour la ville  de Villeneuve Saint Georges</t>
        </is>
      </c>
      <c r="D12" t="inlineStr">
        <is>
          <t>MAIRIE DE VILLENEUVE-SAINT-GEORGES</t>
        </is>
      </c>
      <c r="E12" t="inlineStr">
        <is>
          <t>21940078500016</t>
        </is>
      </c>
      <c r="F12" t="inlineStr">
        <is>
          <t>219400785</t>
        </is>
      </c>
      <c r="G12" t="inlineStr"/>
      <c r="H12" t="inlineStr"/>
      <c r="I12" t="inlineStr">
        <is>
          <t>jlassoued@villeneuve-saint-georges.fr</t>
        </is>
      </c>
      <c r="J12" t="inlineStr">
        <is>
          <t>0171346029</t>
        </is>
      </c>
      <c r="K12" t="inlineStr"/>
      <c r="L12" t="inlineStr"/>
      <c r="M12" t="inlineStr"/>
      <c r="N12" t="inlineStr">
        <is>
          <t>94,75,91</t>
        </is>
      </c>
      <c r="O12" t="inlineStr"/>
      <c r="P12" t="inlineStr">
        <is>
          <t>Ile-de-France</t>
        </is>
      </c>
      <c r="Q12" s="15" t="n">
        <v>46198</v>
      </c>
      <c r="R12" s="15" t="n">
        <v>46233</v>
      </c>
      <c r="S12" t="inlineStr"/>
      <c r="T12" t="inlineStr">
        <is>
          <t>A_VERIFIER_BUDGET</t>
        </is>
      </c>
      <c r="U12" t="inlineStr"/>
      <c r="V12" t="inlineStr">
        <is>
          <t>non</t>
        </is>
      </c>
      <c r="W12" t="inlineStr">
        <is>
          <t>Mixte/Autre</t>
        </is>
      </c>
      <c r="X12" t="inlineStr">
        <is>
          <t>Mairie</t>
        </is>
      </c>
      <c r="Y12" t="inlineStr">
        <is>
          <t>FOURNITURES</t>
        </is>
      </c>
      <c r="Z12" t="inlineStr">
        <is>
          <t>Procédure Ouverte</t>
        </is>
      </c>
      <c r="AA12" t="inlineStr">
        <is>
          <t>Avis de marché</t>
        </is>
      </c>
      <c r="AB12" t="inlineStr">
        <is>
          <t>Produits d'entretien</t>
        </is>
      </c>
      <c r="AC12" t="inlineStr">
        <is>
          <t>['environnementaux']</t>
        </is>
      </c>
      <c r="AD12" s="11" t="inlineStr">
        <is>
          <t>https://www.boamp.fr/pages/avis/?q=idweb:26-62559</t>
        </is>
      </c>
      <c r="AE12" t="inlineStr">
        <is>
          <t>https://www.achatpublic.com/sdm/ent/gen/ent_detail.do?PCSLID=CSL_2026_hmulkPQYm7</t>
        </is>
      </c>
      <c r="AF12" t="inlineStr">
        <is>
          <t>https://www.achatpublic.com/sdm/ent/gen/ent_detail.do?PCSLID=CSL_2026_hmulkPQYm7</t>
        </is>
      </c>
      <c r="AG12" t="inlineStr">
        <is>
          <t>menage</t>
        </is>
      </c>
      <c r="AH12" t="inlineStr">
        <is>
          <t>3</t>
        </is>
      </c>
      <c r="AI12" t="inlineStr">
        <is>
          <t>68</t>
        </is>
      </c>
      <c r="AJ12" t="inlineStr">
        <is>
          <t>INFO_PARTIELLE</t>
        </is>
      </c>
      <c r="AK12" t="inlineStr">
        <is>
          <t>60</t>
        </is>
      </c>
      <c r="AL12" t="inlineStr">
        <is>
          <t>TIEDE</t>
        </is>
      </c>
      <c r="AM12" t="inlineStr"/>
      <c r="AN12" t="inlineStr"/>
      <c r="AO12" t="inlineStr"/>
      <c r="AP12" t="inlineStr"/>
      <c r="AQ12" t="inlineStr">
        <is>
          <t>IA_BUDGET_A_VERIFIER</t>
        </is>
      </c>
      <c r="AR12" t="inlineStr">
        <is>
          <t>Verifier le budget dans l'avis source ou le DCE avant decision commerciale.</t>
        </is>
      </c>
      <c r="AS12" t="inlineStr">
        <is>
          <t>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26-62559. Objet: Achat et livraison de produits, matériels  et consommables d'entretien pour la ville  de Villeneuve Saint Georges. Acheteur: MAIRIE DE VILLENEUVE-SAINT-GEORGES. Lien: https://www.boamp.fr/pages/avis/?q=idweb:26-62559.</t>
        </is>
      </c>
      <c r="AU12" t="inlineStr">
        <is>
          <t>Verifier url_avis et DCE si disponible</t>
        </is>
      </c>
      <c r="AV12" t="inlineStr"/>
      <c r="AW12" t="inlineStr"/>
      <c r="AX12" t="inlineStr"/>
      <c r="AY12" t="inlineStr"/>
      <c r="AZ12" t="inlineStr"/>
      <c r="BA12" t="inlineStr"/>
      <c r="BB12" t="inlineStr">
        <is>
          <t>+30 mots-cles nettoyage forts | +10 budget non affiche (a verifier) | +10 secteur cible Mairie | +10 delai confortable 24j</t>
        </is>
      </c>
      <c r="BC12" t="inlineStr">
        <is>
          <t>MAIRIE DE VILLENEUVE-SAINT-GEORGES publie un AO potentiellement pertinent pour CHRUTH : Achat et livraison de produits, matériels  et consommables d'entretien pour la ville  de Villeneuve Saint Georges. Zone : 94,75,91. Budget a verifier. Verifier le lien source avant contact.</t>
        </is>
      </c>
      <c r="BD12" t="inlineStr">
        <is>
          <t>Bonjour,
Je me permets de vous contacter au sujet de votre appel d'offres : Achat et livraison de produits, matériels  et consommables d'entretien pour la ville  de Villeneuve Saint Georges.
CHRUTH accompagne les structures publiques et privées sur les besoins de nettoyage, d'entretien des locaux et d'organisation de prestations de service.
Serait-il possible d'échanger rapidement afin de vérifier les modalités de réponse et les attentes de MAIRIE DE VILLENEUVE-SAINT-GEORGES ?
Cordialement,</t>
        </is>
      </c>
      <c r="BE12" t="inlineStr">
        <is>
          <t>Bonjour, je vous appelle concernant un appel d'offres publié par MAIRIE DE VILLENEUVE-SAINT-GEORGES.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26-58404</t>
        </is>
      </c>
      <c r="C13" t="inlineStr">
        <is>
          <t>Concession de service public portant sur la gestion et l'exploitation du Marché Saint-Louis pour le compte de la ville de Fontainebleau</t>
        </is>
      </c>
      <c r="D13" t="inlineStr">
        <is>
          <t>Ville De Fontainebleau</t>
        </is>
      </c>
      <c r="E13" t="inlineStr"/>
      <c r="F13" t="inlineStr">
        <is>
          <t>160746464</t>
        </is>
      </c>
      <c r="G13" t="inlineStr">
        <is>
          <t>Le Maire</t>
        </is>
      </c>
      <c r="H13" t="inlineStr"/>
      <c r="I13" t="inlineStr">
        <is>
          <t>catherine.durbecq@fontainebleau.fr</t>
        </is>
      </c>
      <c r="J13" t="inlineStr">
        <is>
          <t>+33 160746464</t>
        </is>
      </c>
      <c r="K13" t="inlineStr"/>
      <c r="L13" t="inlineStr">
        <is>
          <t>77303</t>
        </is>
      </c>
      <c r="M13" t="inlineStr">
        <is>
          <t>Fontainebleau</t>
        </is>
      </c>
      <c r="N13" t="inlineStr">
        <is>
          <t>77</t>
        </is>
      </c>
      <c r="O13" t="inlineStr"/>
      <c r="P13" t="inlineStr">
        <is>
          <t>Ile-de-France</t>
        </is>
      </c>
      <c r="Q13" s="15" t="n">
        <v>46185</v>
      </c>
      <c r="R13" s="15" t="n">
        <v>46234</v>
      </c>
      <c r="S13" t="inlineStr"/>
      <c r="T13" t="inlineStr">
        <is>
          <t>A_VERIFIER_BUDGET</t>
        </is>
      </c>
      <c r="U13" t="inlineStr"/>
      <c r="V13" t="inlineStr">
        <is>
          <t>non</t>
        </is>
      </c>
      <c r="W13" t="inlineStr">
        <is>
          <t>Mixte/Autre</t>
        </is>
      </c>
      <c r="X13" t="inlineStr">
        <is>
          <t>Mairie</t>
        </is>
      </c>
      <c r="Y13" t="inlineStr">
        <is>
          <t>SERVICES</t>
        </is>
      </c>
      <c r="Z13" t="inlineStr">
        <is>
          <t>Procédure NC</t>
        </is>
      </c>
      <c r="AA13" t="inlineStr">
        <is>
          <t>Avis de marché</t>
        </is>
      </c>
      <c r="AB13" t="inlineStr">
        <is>
          <t>Délégation de service public</t>
        </is>
      </c>
      <c r="AC13" t="inlineStr">
        <is>
          <t>['sociaux', 'environnementaux']</t>
        </is>
      </c>
      <c r="AD13" s="11" t="inlineStr">
        <is>
          <t>https://www.boamp.fr/pages/avis/?q=idweb:26-58404</t>
        </is>
      </c>
      <c r="AE13" t="inlineStr">
        <is>
          <t>http://www.fontainebleau.fr</t>
        </is>
      </c>
      <c r="AF13" t="inlineStr"/>
      <c r="AG13" t="inlineStr">
        <is>
          <t>nettoyage</t>
        </is>
      </c>
      <c r="AH13" t="inlineStr">
        <is>
          <t>4</t>
        </is>
      </c>
      <c r="AI13" t="inlineStr">
        <is>
          <t>78</t>
        </is>
      </c>
      <c r="AJ13" t="inlineStr">
        <is>
          <t>INFO_PARTIELLE</t>
        </is>
      </c>
      <c r="AK13" t="inlineStr">
        <is>
          <t>60</t>
        </is>
      </c>
      <c r="AL13" t="inlineStr">
        <is>
          <t>TIEDE</t>
        </is>
      </c>
      <c r="AM13" t="inlineStr"/>
      <c r="AN13" t="inlineStr"/>
      <c r="AO13" t="inlineStr"/>
      <c r="AP13" t="inlineStr"/>
      <c r="AQ13" t="inlineStr">
        <is>
          <t>IA_BUDGET_A_VERIFIER</t>
        </is>
      </c>
      <c r="AR13" t="inlineStr">
        <is>
          <t>Verifier le budget dans l'avis source ou le DCE avant decision commerciale.</t>
        </is>
      </c>
      <c r="AS13" t="inlineStr">
        <is>
          <t>SIRET, adresse, 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26-58404. Objet: Concession de service public portant sur la gestion et l'exploitation du Marché Saint-Louis pour le compte de la ville de Fontainebleau. Acheteur: Ville De Fontainebleau. Lien: https://www.boamp.fr/pages/avis/?q=idweb:26-58404.</t>
        </is>
      </c>
      <c r="AU13" t="inlineStr">
        <is>
          <t>Verifier url_avis et DCE si disponible</t>
        </is>
      </c>
      <c r="AV13" t="inlineStr">
        <is>
          <t>LIEN_SEUL</t>
        </is>
      </c>
      <c r="AW13" t="inlineStr"/>
      <c r="AX13" t="inlineStr"/>
      <c r="AY13" t="inlineStr"/>
      <c r="AZ13" t="inlineStr"/>
      <c r="BA13" t="inlineStr"/>
      <c r="BB13" t="inlineStr">
        <is>
          <t>+30 mots-cles nettoyage forts | +10 budget non affiche (a verifier) | +10 secteur cible Mairie | +10 delai confortable 39j</t>
        </is>
      </c>
      <c r="BC13" t="inlineStr">
        <is>
          <t>Ville De Fontainebleau publie un AO potentiellement pertinent pour CHRUTH : Concession de service public portant sur la gestion et l'exploitation du Marché Saint-Louis pour le compte de la ville de Fontainebleau. Zone : Fontainebleau. Budget a verifier. Verifier le lien source avant contact.</t>
        </is>
      </c>
      <c r="BD13" t="inlineStr">
        <is>
          <t>Bonjour,
Je me permets de vous contacter au sujet de votre appel d'offres : Concession de service public portant sur la gestion et l'exploitation du Marché Saint-Louis pour le compte de la ville de Fontainebleau.
CHRUTH accompagne les structures publiques et privees sur les besoins de nettoyage, d'entretien des locaux et d'organisation de prestations de service.
Serait-il possible d'echanger rapidement afin de verifier les modalites de reponse et les attentes de Ville De Fontainebleau ?
Cordialement,</t>
        </is>
      </c>
      <c r="BE13" t="inlineStr">
        <is>
          <t>Bonjour, je vous appelle concernant un appel d'offres publie par Ville De Fontainebleau. Je souhaite verifier les informations pratiques : perimetre des prestations, date limite, modalites de visite, contact technique et pieces attendues. Pouvez-vous m'indiquer la bonne personne a contacter ?</t>
        </is>
      </c>
      <c r="BF13" t="inlineStr"/>
      <c r="BG13" t="inlineStr"/>
      <c r="BH13" t="inlineStr"/>
      <c r="BI13" t="inlineStr"/>
      <c r="BJ13" t="inlineStr"/>
      <c r="BK13" t="inlineStr"/>
      <c r="BL13" t="inlineStr"/>
      <c r="BM13" t="inlineStr">
        <is>
          <t>2026-W24</t>
        </is>
      </c>
    </row>
    <row r="14">
      <c r="A14" t="inlineStr">
        <is>
          <t>BOAMP</t>
        </is>
      </c>
      <c r="B14" t="inlineStr">
        <is>
          <t>26-66211</t>
        </is>
      </c>
      <c r="C14" t="inlineStr">
        <is>
          <t>Accord-cadre de prestations de nettoyage des bâtiments du Département de la Seine-Saint-Denis</t>
        </is>
      </c>
      <c r="D14" t="inlineStr">
        <is>
          <t>Département de la Seine-Saint-Denis</t>
        </is>
      </c>
      <c r="E14" t="inlineStr"/>
      <c r="F14" t="inlineStr"/>
      <c r="G14" t="inlineStr"/>
      <c r="H14" t="inlineStr"/>
      <c r="I14" t="inlineStr">
        <is>
          <t>publications-joue@aws-france.com</t>
        </is>
      </c>
      <c r="J14" t="inlineStr">
        <is>
          <t>+33480041260</t>
        </is>
      </c>
      <c r="K14" t="inlineStr"/>
      <c r="L14" t="inlineStr"/>
      <c r="M14" t="inlineStr"/>
      <c r="N14" t="inlineStr">
        <is>
          <t>93</t>
        </is>
      </c>
      <c r="O14" t="inlineStr"/>
      <c r="P14" t="inlineStr">
        <is>
          <t>Ile-de-France</t>
        </is>
      </c>
      <c r="Q14" s="15" t="n">
        <v>46208</v>
      </c>
      <c r="R14" s="15" t="n">
        <v>46237</v>
      </c>
      <c r="S14" t="inlineStr"/>
      <c r="T14" t="inlineStr">
        <is>
          <t>A_VERIFIER_BUDGET</t>
        </is>
      </c>
      <c r="U14" t="inlineStr"/>
      <c r="V14" t="inlineStr">
        <is>
          <t>non</t>
        </is>
      </c>
      <c r="W14" t="inlineStr">
        <is>
          <t>Vitres</t>
        </is>
      </c>
      <c r="X14" t="inlineStr">
        <is>
          <t>Autre</t>
        </is>
      </c>
      <c r="Y14" t="inlineStr">
        <is>
          <t>SERVICES</t>
        </is>
      </c>
      <c r="Z14" t="inlineStr">
        <is>
          <t>Procédure Ouverte</t>
        </is>
      </c>
      <c r="AA14" t="inlineStr">
        <is>
          <t>Avis de marché</t>
        </is>
      </c>
      <c r="AB14" t="inlineStr">
        <is>
          <t>Nettoyage de locaux</t>
        </is>
      </c>
      <c r="AC14" t="inlineStr">
        <is>
          <t>['sociaux', 'environnementaux']</t>
        </is>
      </c>
      <c r="AD14" s="11" t="inlineStr">
        <is>
          <t>https://www.boamp.fr/pages/avis/?q=idweb:26-66211</t>
        </is>
      </c>
      <c r="AE14" t="inlineStr">
        <is>
          <t>https://www.marches-publics.info/mpiaws/index.cfm?fuseaction=dematEnt.login&amp;amp;type=DCE&amp;amp;IDM=1845738</t>
        </is>
      </c>
      <c r="AF14" t="inlineStr">
        <is>
          <t>https://www.marches-publics.info/mpiaws/index.cfm?fuseaction=dematEnt.login&amp;amp;type=DCE&amp;amp;IDM=1845738</t>
        </is>
      </c>
      <c r="AG14" t="inlineStr">
        <is>
          <t>nettoyage, proprete, proprete des locaux</t>
        </is>
      </c>
      <c r="AH14" t="inlineStr">
        <is>
          <t>2</t>
        </is>
      </c>
      <c r="AI14" t="inlineStr">
        <is>
          <t>70</t>
        </is>
      </c>
      <c r="AJ14" t="inlineStr">
        <is>
          <t>INFO_PARTIELLE</t>
        </is>
      </c>
      <c r="AK14" t="inlineStr">
        <is>
          <t>55</t>
        </is>
      </c>
      <c r="AL14" t="inlineStr">
        <is>
          <t>TIEDE</t>
        </is>
      </c>
      <c r="AM14" t="inlineStr"/>
      <c r="AN14" t="inlineStr"/>
      <c r="AO14" t="inlineStr"/>
      <c r="AP14" t="inlineStr"/>
      <c r="AQ14" t="inlineStr">
        <is>
          <t>IA_BUDGET_A_VERIFIER</t>
        </is>
      </c>
      <c r="AR14" t="inlineStr">
        <is>
          <t>Verifier le budget dans l'avis source ou le DCE avant decision commerciale.</t>
        </is>
      </c>
      <c r="AS14" t="inlineStr">
        <is>
          <t>SIRET, 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26-66211. Objet: Accord-cadre de prestations de nettoyage des bâtiments du Département de la Seine-Saint-Denis. Acheteur: Département de la Seine-Saint-Denis. Lien: https://www.boamp.fr/pages/avis/?q=idweb:26-66211.</t>
        </is>
      </c>
      <c r="AU14" t="inlineStr">
        <is>
          <t>Verifier url_avis et DCE si disponible</t>
        </is>
      </c>
      <c r="AV14" t="inlineStr"/>
      <c r="AW14" t="inlineStr"/>
      <c r="AX14" t="inlineStr"/>
      <c r="AY14" t="inlineStr"/>
      <c r="AZ14" t="inlineStr"/>
      <c r="BA14" t="inlineStr"/>
      <c r="BB14" t="inlineStr">
        <is>
          <t>+35 nettoyage + categorie claire | +10 budget non affiche (a verifier) | +10 delai confortable 28j</t>
        </is>
      </c>
      <c r="BC14" t="inlineStr">
        <is>
          <t>Département de la Seine-Saint-Denis publie un AO potentiellement pertinent pour CHRUTH : Accord-cadre de prestations de nettoyage des bâtiments du Département de la Seine-Saint-Denis. Zone : 93. Budget a verifier. Verifier le lien source avant contact.</t>
        </is>
      </c>
      <c r="BD14" t="inlineStr">
        <is>
          <t>Bonjour,
Je me permets de vous contacter au sujet de votre appel d'offres : Accord-cadre de prestations de nettoyage des bâtiments du Département de la Seine-Saint-Denis.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14"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2026-W27</t>
        </is>
      </c>
    </row>
    <row r="15">
      <c r="A15" t="inlineStr">
        <is>
          <t>BOAMP</t>
        </is>
      </c>
      <c r="B15" t="inlineStr">
        <is>
          <t>26-66164</t>
        </is>
      </c>
      <c r="C15" t="inlineStr">
        <is>
          <t>PRESTATIONS DE NETTOYAGE CAF77</t>
        </is>
      </c>
      <c r="D15" t="inlineStr">
        <is>
          <t>CAF77</t>
        </is>
      </c>
      <c r="E15" t="inlineStr">
        <is>
          <t>17750111100476</t>
        </is>
      </c>
      <c r="F15" t="inlineStr">
        <is>
          <t>177501111</t>
        </is>
      </c>
      <c r="G15" t="inlineStr"/>
      <c r="H15" t="inlineStr"/>
      <c r="I15" t="inlineStr">
        <is>
          <t>achatsmarches@caf77.caf.fr</t>
        </is>
      </c>
      <c r="J15" t="inlineStr">
        <is>
          <t>0670576838</t>
        </is>
      </c>
      <c r="K15" t="inlineStr"/>
      <c r="L15" t="inlineStr"/>
      <c r="M15" t="inlineStr"/>
      <c r="N15" t="inlineStr">
        <is>
          <t>75,77,91,94</t>
        </is>
      </c>
      <c r="O15" t="inlineStr"/>
      <c r="P15" t="inlineStr">
        <is>
          <t>Ile-de-France</t>
        </is>
      </c>
      <c r="Q15" s="15" t="n">
        <v>46208</v>
      </c>
      <c r="R15" s="15" t="n">
        <v>46255</v>
      </c>
      <c r="S15" t="inlineStr"/>
      <c r="T15" t="inlineStr">
        <is>
          <t>A_VERIFIER_BUDGET</t>
        </is>
      </c>
      <c r="U15" t="inlineStr"/>
      <c r="V15" t="inlineStr">
        <is>
          <t>non</t>
        </is>
      </c>
      <c r="W15" t="inlineStr">
        <is>
          <t>Vitres</t>
        </is>
      </c>
      <c r="X15" t="inlineStr">
        <is>
          <t>Autre</t>
        </is>
      </c>
      <c r="Y15" t="inlineStr">
        <is>
          <t>SERVICES</t>
        </is>
      </c>
      <c r="Z15" t="inlineStr">
        <is>
          <t>Procédure Ouverte</t>
        </is>
      </c>
      <c r="AA15" t="inlineStr">
        <is>
          <t>Avis de marché</t>
        </is>
      </c>
      <c r="AB15" t="inlineStr">
        <is>
          <t>Nettoyage de locaux, Vitrerie</t>
        </is>
      </c>
      <c r="AC15" t="inlineStr">
        <is>
          <t>['sociaux', 'environnementaux']</t>
        </is>
      </c>
      <c r="AD15" s="11" t="inlineStr">
        <is>
          <t>https://www.boamp.fr/pages/avis/?q=idweb:26-66164</t>
        </is>
      </c>
      <c r="AE15" t="inlineStr">
        <is>
          <t>https://www.marches-publics.gouv.fr/entreprise</t>
        </is>
      </c>
      <c r="AF15" t="inlineStr">
        <is>
          <t>https://www.marches-publics.gouv.fr/entreprise</t>
        </is>
      </c>
      <c r="AG15" t="inlineStr">
        <is>
          <t>nettoyage, menage</t>
        </is>
      </c>
      <c r="AH15" t="inlineStr">
        <is>
          <t>3</t>
        </is>
      </c>
      <c r="AI15" t="inlineStr">
        <is>
          <t>76</t>
        </is>
      </c>
      <c r="AJ15" t="inlineStr">
        <is>
          <t>INFO_PARTIELLE</t>
        </is>
      </c>
      <c r="AK15" t="inlineStr">
        <is>
          <t>55</t>
        </is>
      </c>
      <c r="AL15" t="inlineStr">
        <is>
          <t>TIEDE</t>
        </is>
      </c>
      <c r="AM15" t="inlineStr"/>
      <c r="AN15" t="inlineStr"/>
      <c r="AO15" t="inlineStr"/>
      <c r="AP15" t="inlineStr"/>
      <c r="AQ15" t="inlineStr">
        <is>
          <t>IA_BUDGET_A_VERIFIER</t>
        </is>
      </c>
      <c r="AR15" t="inlineStr">
        <is>
          <t>Verifier le budget dans l'avis source ou le DCE avant decision commerciale.</t>
        </is>
      </c>
      <c r="AS15" t="inlineStr">
        <is>
          <t>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26-66164. Objet: PRESTATIONS DE NETTOYAGE CAF77. Acheteur: CAF77. Lien: https://www.boamp.fr/pages/avis/?q=idweb:26-66164.</t>
        </is>
      </c>
      <c r="AU15" t="inlineStr">
        <is>
          <t>Verifier url_avis et DCE si disponible</t>
        </is>
      </c>
      <c r="AV15" t="inlineStr"/>
      <c r="AW15" t="inlineStr"/>
      <c r="AX15" t="inlineStr"/>
      <c r="AY15" t="inlineStr"/>
      <c r="AZ15" t="inlineStr"/>
      <c r="BA15" t="inlineStr"/>
      <c r="BB15" t="inlineStr">
        <is>
          <t>+35 nettoyage + categorie claire | +10 budget non affiche (a verifier) | +10 delai confortable 46j</t>
        </is>
      </c>
      <c r="BC15" t="inlineStr">
        <is>
          <t>CAF77 publie un AO potentiellement pertinent pour CHRUTH : PRESTATIONS DE NETTOYAGE CAF77. Zone : 75,77,91,94. Budget a verifier. Verifier le lien source avant contact.</t>
        </is>
      </c>
      <c r="BD15" t="inlineStr">
        <is>
          <t>Bonjour,
Je me permets de vous contacter au sujet de votre appel d'offres : PRESTATIONS DE NETTOYAGE CAF77.
CHRUTH accompagne les structures publiques et privées sur les besoins de nettoyage, d'entretien des locaux et d'organisation de prestations de service.
Serait-il possible d'échanger rapidement afin de vérifier les modalités de réponse et les attentes de CAF77 ?
Cordialement,</t>
        </is>
      </c>
      <c r="BE15" t="inlineStr">
        <is>
          <t>Bonjour, je vous appelle concernant un appel d'offres publié par CAF77.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2026-W27</t>
        </is>
      </c>
    </row>
    <row r="16">
      <c r="A16" t="inlineStr">
        <is>
          <t>BOAMP</t>
        </is>
      </c>
      <c r="B16" t="inlineStr">
        <is>
          <t>26-66494</t>
        </is>
      </c>
      <c r="C16" t="inlineStr">
        <is>
          <t>ENTRETIEN DES LOCAUX POUR LES BESOINS DE L’EPMS DE LA FONDATION HARDY</t>
        </is>
      </c>
      <c r="D16" t="inlineStr">
        <is>
          <t>EPMS FONDATION HARDY</t>
        </is>
      </c>
      <c r="E16" t="inlineStr">
        <is>
          <t>26770033400019</t>
        </is>
      </c>
      <c r="F16" t="inlineStr">
        <is>
          <t>267700334</t>
        </is>
      </c>
      <c r="G16" t="inlineStr"/>
      <c r="H16" t="inlineStr"/>
      <c r="I16" t="inlineStr">
        <is>
          <t>service.depenses@epms-hardy.fr</t>
        </is>
      </c>
      <c r="J16" t="inlineStr">
        <is>
          <t>+33 164252034</t>
        </is>
      </c>
      <c r="K16" t="inlineStr"/>
      <c r="L16" t="inlineStr"/>
      <c r="M16" t="inlineStr"/>
      <c r="N16" t="inlineStr">
        <is>
          <t>77</t>
        </is>
      </c>
      <c r="O16" t="inlineStr"/>
      <c r="P16" t="inlineStr">
        <is>
          <t>Ile-de-France</t>
        </is>
      </c>
      <c r="Q16" s="15" t="n">
        <v>46208</v>
      </c>
      <c r="R16" s="15" t="n">
        <v>46241</v>
      </c>
      <c r="S16" t="inlineStr"/>
      <c r="T16" t="inlineStr">
        <is>
          <t>A_VERIFIER_BUDGET</t>
        </is>
      </c>
      <c r="U16" t="inlineStr"/>
      <c r="V16" t="inlineStr">
        <is>
          <t>non</t>
        </is>
      </c>
      <c r="W16" t="inlineStr">
        <is>
          <t>Batiments</t>
        </is>
      </c>
      <c r="X16" t="inlineStr">
        <is>
          <t>Autre</t>
        </is>
      </c>
      <c r="Y16" t="inlineStr">
        <is>
          <t>SERVICES</t>
        </is>
      </c>
      <c r="Z16" t="inlineStr">
        <is>
          <t>Procédure Ouverte</t>
        </is>
      </c>
      <c r="AA16" t="inlineStr">
        <is>
          <t>Avis de marché</t>
        </is>
      </c>
      <c r="AB16" t="inlineStr">
        <is>
          <t>Nettoyage de locaux</t>
        </is>
      </c>
      <c r="AC16" t="inlineStr"/>
      <c r="AD16" s="11" t="inlineStr">
        <is>
          <t>https://www.boamp.fr/pages/avis/?q=idweb:26-66494</t>
        </is>
      </c>
      <c r="AE16" t="inlineStr">
        <is>
          <t>https://marches.maximilien.fr/entreprise/consultation/942574?orgAcronyme=a1i</t>
        </is>
      </c>
      <c r="AF16" t="inlineStr">
        <is>
          <t>https://marches.maximilien.fr/entreprise/consultation/942574?orgAcronyme=a1i</t>
        </is>
      </c>
      <c r="AG16" t="inlineStr">
        <is>
          <t>nettoyage, entretien des locaux</t>
        </is>
      </c>
      <c r="AH16" t="inlineStr">
        <is>
          <t>3</t>
        </is>
      </c>
      <c r="AI16" t="inlineStr">
        <is>
          <t>76</t>
        </is>
      </c>
      <c r="AJ16" t="inlineStr">
        <is>
          <t>INFO_PARTIELLE</t>
        </is>
      </c>
      <c r="AK16" t="inlineStr">
        <is>
          <t>55</t>
        </is>
      </c>
      <c r="AL16" t="inlineStr">
        <is>
          <t>TIEDE</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26-66494. Objet: ENTRETIEN DES LOCAUX POUR LES BESOINS DE L’EPMS DE LA FONDATION HARDY. Acheteur: EPMS FONDATION HARDY. Lien: https://www.boamp.fr/pages/avis/?q=idweb:26-66494.</t>
        </is>
      </c>
      <c r="AU16" t="inlineStr">
        <is>
          <t>Verifier url_avis et DCE si disponible</t>
        </is>
      </c>
      <c r="AV16" t="inlineStr"/>
      <c r="AW16" t="inlineStr"/>
      <c r="AX16" t="inlineStr"/>
      <c r="AY16" t="inlineStr"/>
      <c r="AZ16" t="inlineStr"/>
      <c r="BA16" t="inlineStr"/>
      <c r="BB16" t="inlineStr">
        <is>
          <t>+35 nettoyage + categorie claire | +10 budget non affiche (a verifier) | +10 delai confortable 32j</t>
        </is>
      </c>
      <c r="BC16" t="inlineStr">
        <is>
          <t>EPMS FONDATION HARDY publie un AO potentiellement pertinent pour CHRUTH : ENTRETIEN DES LOCAUX POUR LES BESOINS DE L’EPMS DE LA FONDATION HARDY. Zone : 77. Budget a verifier. Verifier le lien source avant contact.</t>
        </is>
      </c>
      <c r="BD16" t="inlineStr">
        <is>
          <t>Bonjour,
Je me permets de vous contacter au sujet de votre appel d'offres : ENTRETIEN DES LOCAUX POUR LES BESOINS DE L’EPMS DE LA FONDATION HARDY.
CHRUTH accompagne les structures publiques et privées sur les besoins de nettoyage, d'entretien des locaux et d'organisation de prestations de service.
Serait-il possible d'échanger rapidement afin de vérifier les modalités de réponse et les attentes de EPMS FONDATION HARDY ?
Cordialement,</t>
        </is>
      </c>
      <c r="BE16" t="inlineStr">
        <is>
          <t>Bonjour, je vous appelle concernant un appel d'offres publié par EPMS FONDATION HARDY.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2026-W27</t>
        </is>
      </c>
    </row>
    <row r="17">
      <c r="A17" t="inlineStr">
        <is>
          <t>MAXIMILIEN</t>
        </is>
      </c>
      <c r="B17" t="inlineStr">
        <is>
          <t>MX-7858fdfde0f2</t>
        </is>
      </c>
      <c r="C17" t="inlineStr">
        <is>
          <t>CHRUTH - 3 nouveaux AO nettoyage IDF =?utf-8?q?=28apr=C3=A8s-midi?=
 03/07)</t>
        </is>
      </c>
      <c r="D17" t="inlineStr">
        <is>
          <t>Ville De Paris - Dfa - Sda</t>
        </is>
      </c>
      <c r="E17" t="inlineStr"/>
      <c r="F17" t="inlineStr"/>
      <c r="G17" t="inlineStr"/>
      <c r="H17" t="inlineStr"/>
      <c r="I17" t="inlineStr"/>
      <c r="J17" t="inlineStr"/>
      <c r="K17" t="inlineStr"/>
      <c r="L17" t="inlineStr"/>
      <c r="M17" t="inlineStr"/>
      <c r="N17" t="inlineStr"/>
      <c r="O17" t="inlineStr"/>
      <c r="P17" t="inlineStr"/>
      <c r="Q17" s="15" t="n">
        <v>46207</v>
      </c>
      <c r="R17" t="inlineStr"/>
      <c r="S17" t="inlineStr"/>
      <c r="T17" t="inlineStr">
        <is>
          <t>A_VERIFIER_BUDGET</t>
        </is>
      </c>
      <c r="U17" t="inlineStr"/>
      <c r="V17" t="inlineStr"/>
      <c r="W17" t="inlineStr">
        <is>
          <t>Batiments/Locaux</t>
        </is>
      </c>
      <c r="X17" t="inlineStr">
        <is>
          <t>Mairie</t>
        </is>
      </c>
      <c r="Y17" t="inlineStr"/>
      <c r="Z17" t="inlineStr"/>
      <c r="AA17" t="inlineStr"/>
      <c r="AB17" t="inlineStr"/>
      <c r="AC17" t="inlineStr"/>
      <c r="AD17" s="11" t="inlineStr">
        <is>
          <t>https://marches.maximilien.fr/entreprise/consultation/939575?orgAcronyme=r8t</t>
        </is>
      </c>
      <c r="AE17" t="inlineStr">
        <is>
          <t>https://marches.maximilien.fr/entreprise/consultation/939575?orgAcronyme=r8t</t>
        </is>
      </c>
      <c r="AF17" t="inlineStr"/>
      <c r="AG17" t="inlineStr">
        <is>
          <t>nettoyage</t>
        </is>
      </c>
      <c r="AH17" t="inlineStr"/>
      <c r="AI17" t="inlineStr">
        <is>
          <t>30</t>
        </is>
      </c>
      <c r="AJ17" t="inlineStr">
        <is>
          <t>DCE_A_TELECHARGER</t>
        </is>
      </c>
      <c r="AK17" t="inlineStr">
        <is>
          <t>55</t>
        </is>
      </c>
      <c r="AL17" s="16" t="inlineStr">
        <is>
          <t>A_VERIFIER</t>
        </is>
      </c>
      <c r="AM17" t="inlineStr"/>
      <c r="AN17" t="inlineStr"/>
      <c r="AO17" t="inlineStr"/>
      <c r="AP17" t="inlineStr"/>
      <c r="AQ17" t="inlineStr">
        <is>
          <t>IA_DCE_REQUISE</t>
        </is>
      </c>
      <c r="AR17" t="inlineStr">
        <is>
          <t>Telecharger ou ouvrir le DCE, puis extraire contact, budget, perimetre et contraintes.</t>
        </is>
      </c>
      <c r="AS17" t="inlineStr">
        <is>
          <t>SIRET, email, telephone, 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MX-7858fdfde0f2. Objet: CHRUTH - 3 nouveaux AO nettoyage IDF =?utf-8?q?=28apr=C3=A8s-midi?=
 03/07). Acheteur: Ville De Paris - Dfa - Sda. Lien: https://marches.maximilien.fr/entreprise/consultation/939575?orgAcronyme=r8t.</t>
        </is>
      </c>
      <c r="AU17" t="inlineStr">
        <is>
          <t>Verifier url_avis et DCE si disponible</t>
        </is>
      </c>
      <c r="AV17" t="inlineStr">
        <is>
          <t>LIEN_SEUL</t>
        </is>
      </c>
      <c r="AW17" t="inlineStr"/>
      <c r="AX17" t="inlineStr"/>
      <c r="AY17" t="inlineStr"/>
      <c r="AZ17" t="inlineStr"/>
      <c r="BA17" t="inlineStr"/>
      <c r="BB17" t="inlineStr">
        <is>
          <t>+35 nettoyage + categorie claire | +10 budget non affiche (a verifier) | +10 secteur cible Mairie | 0 date limite absente</t>
        </is>
      </c>
      <c r="BC17" t="inlineStr"/>
      <c r="BD17" t="inlineStr"/>
      <c r="BE17" t="inlineStr"/>
      <c r="BF17" t="inlineStr"/>
      <c r="BG17" t="inlineStr"/>
      <c r="BH17" t="inlineStr"/>
      <c r="BI17" t="inlineStr"/>
      <c r="BJ17" t="inlineStr"/>
      <c r="BK17" t="inlineStr"/>
      <c r="BL17" t="inlineStr"/>
      <c r="BM17" t="inlineStr">
        <is>
          <t>2026-W27</t>
        </is>
      </c>
    </row>
    <row r="18">
      <c r="A18" t="inlineStr">
        <is>
          <t>BOAMP</t>
        </is>
      </c>
      <c r="B18" t="inlineStr">
        <is>
          <t>26-64372</t>
        </is>
      </c>
      <c r="C18" t="inlineStr">
        <is>
          <t>Marché public de prestations de services relatif au nettoyage des locaux administratifs du SIAH.</t>
        </is>
      </c>
      <c r="D18" t="inlineStr">
        <is>
          <t>SIAH (Syndicat Mixte d’Aménagement Hydraulique du Croult et du Petit Rosne)</t>
        </is>
      </c>
      <c r="E18" t="inlineStr">
        <is>
          <t>20004931000010</t>
        </is>
      </c>
      <c r="F18" t="inlineStr">
        <is>
          <t>200049310</t>
        </is>
      </c>
      <c r="G18" t="inlineStr"/>
      <c r="H18" t="inlineStr"/>
      <c r="I18" t="inlineStr">
        <is>
          <t>dce@siah-croult.org</t>
        </is>
      </c>
      <c r="J18" t="inlineStr">
        <is>
          <t>0493100001</t>
        </is>
      </c>
      <c r="K18" t="inlineStr"/>
      <c r="L18" t="inlineStr"/>
      <c r="M18" t="inlineStr"/>
      <c r="N18" t="inlineStr">
        <is>
          <t>95</t>
        </is>
      </c>
      <c r="O18" t="inlineStr"/>
      <c r="P18" t="inlineStr">
        <is>
          <t>Ile-de-France</t>
        </is>
      </c>
      <c r="Q18" s="15" t="n">
        <v>46204</v>
      </c>
      <c r="R18" s="15" t="n">
        <v>46234</v>
      </c>
      <c r="S18" t="inlineStr"/>
      <c r="T18" t="inlineStr">
        <is>
          <t>A_VERIFIER_BUDGET</t>
        </is>
      </c>
      <c r="U18" t="inlineStr"/>
      <c r="V18" t="inlineStr">
        <is>
          <t>non</t>
        </is>
      </c>
      <c r="W18" t="inlineStr">
        <is>
          <t>Batiments</t>
        </is>
      </c>
      <c r="X18" t="inlineStr">
        <is>
          <t>Autre</t>
        </is>
      </c>
      <c r="Y18" t="inlineStr">
        <is>
          <t>SERVICES</t>
        </is>
      </c>
      <c r="Z18" t="inlineStr">
        <is>
          <t>Procédure Ouverte</t>
        </is>
      </c>
      <c r="AA18" t="inlineStr">
        <is>
          <t>Avis de marché</t>
        </is>
      </c>
      <c r="AB18" t="inlineStr">
        <is>
          <t>Nettoyage de locaux</t>
        </is>
      </c>
      <c r="AC18" t="inlineStr"/>
      <c r="AD18" s="11" t="inlineStr">
        <is>
          <t>https://www.boamp.fr/pages/avis/?q=idweb:26-64372</t>
        </is>
      </c>
      <c r="AE18" t="inlineStr">
        <is>
          <t>https://www.achatpublic.com/sdm/ent/gen/ent_detail.do?PCSLID=CSL_2026_Pbs6BRZ3AV</t>
        </is>
      </c>
      <c r="AF18" t="inlineStr">
        <is>
          <t>https://www.achatpublic.com/sdm/ent/gen/ent_detail.do?PCSLID=CSL_2026_Pbs6BRZ3AV</t>
        </is>
      </c>
      <c r="AG18" t="inlineStr">
        <is>
          <t>nettoyage</t>
        </is>
      </c>
      <c r="AH18" t="inlineStr">
        <is>
          <t>3</t>
        </is>
      </c>
      <c r="AI18" t="inlineStr">
        <is>
          <t>68</t>
        </is>
      </c>
      <c r="AJ18" t="inlineStr">
        <is>
          <t>INFO_PARTIELLE</t>
        </is>
      </c>
      <c r="AK18" t="inlineStr">
        <is>
          <t>55</t>
        </is>
      </c>
      <c r="AL18" t="inlineStr">
        <is>
          <t>TIEDE</t>
        </is>
      </c>
      <c r="AM18" t="inlineStr"/>
      <c r="AN18" t="inlineStr"/>
      <c r="AO18" t="inlineStr"/>
      <c r="AP18" t="inlineStr"/>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26-64372. Objet: Marché public de prestations de services relatif au nettoyage des locaux administratifs du SIAH.. Acheteur: SIAH (Syndicat Mixte d’Aménagement Hydraulique du Croult et du Petit Rosne). Lien: https://www.boamp.fr/pages/avis/?q=idweb:26-64372.</t>
        </is>
      </c>
      <c r="AU18" t="inlineStr">
        <is>
          <t>Verifier url_avis et DCE si disponible</t>
        </is>
      </c>
      <c r="AV18" t="inlineStr"/>
      <c r="AW18" t="inlineStr"/>
      <c r="AX18" t="inlineStr"/>
      <c r="AY18" t="inlineStr"/>
      <c r="AZ18" t="inlineStr"/>
      <c r="BA18" t="inlineStr"/>
      <c r="BB18" t="inlineStr">
        <is>
          <t>+35 nettoyage + categorie claire | +10 budget non affiche (a verifier) | +10 delai confortable 25j</t>
        </is>
      </c>
      <c r="BC18" t="inlineStr">
        <is>
          <t>SIAH (Syndicat Mixte d’Aménagement Hydraulique du Croult et du Petit Rosne) publie un AO potentiellement pertinent pour CHRUTH : Marché public de prestations de services relatif au nettoyage des locaux administratifs du SIAH.. Zone : 95. Budget a verifier. Verifier le lien source avant contact.</t>
        </is>
      </c>
      <c r="BD18" t="inlineStr">
        <is>
          <t>Bonjour,
Je me permets de vous contacter au sujet de votre appel d'offres : Marché public de prestations de services relatif au nettoyage des locaux administratifs du SIAH..
CHRUTH accompagne les structures publiques et privées sur les besoins de nettoyage, d'entretien des locaux et d'organisation de prestations de service.
Serait-il possible d'échanger rapidement afin de vérifier les modalités de réponse et les attentes de SIAH (Syndicat Mixte d’Aménagement Hydraulique du Croult et du Petit Rosne) ?
Cordialement,</t>
        </is>
      </c>
      <c r="BE18" t="inlineStr">
        <is>
          <t>Bonjour, je vous appelle concernant un appel d'offres publié par SIAH (Syndicat Mixte d’Aménagement Hydraulique du Croult et du Petit Rosne).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2026-W27</t>
        </is>
      </c>
    </row>
    <row r="19">
      <c r="A19" t="inlineStr">
        <is>
          <t>BOAMP</t>
        </is>
      </c>
      <c r="B19" t="inlineStr">
        <is>
          <t>26-63717</t>
        </is>
      </c>
      <c r="C19" t="inlineStr">
        <is>
          <t>Nettoyage des locaux et des vitres des sites de la délégation Nouvelle Aquitaine du CNFPT</t>
        </is>
      </c>
      <c r="D19" t="inlineStr">
        <is>
          <t>CNFPT - Direction de l'achat public</t>
        </is>
      </c>
      <c r="E19" t="inlineStr"/>
      <c r="F19" t="inlineStr"/>
      <c r="G19" t="inlineStr"/>
      <c r="H19" t="inlineStr"/>
      <c r="I19" t="inlineStr">
        <is>
          <t>publications-joue@aws-france.com</t>
        </is>
      </c>
      <c r="J19" t="inlineStr">
        <is>
          <t>+33480041260</t>
        </is>
      </c>
      <c r="K19" t="inlineStr"/>
      <c r="L19" t="inlineStr"/>
      <c r="M19" t="inlineStr"/>
      <c r="N19" t="inlineStr">
        <is>
          <t>75</t>
        </is>
      </c>
      <c r="O19" t="inlineStr"/>
      <c r="P19" t="inlineStr">
        <is>
          <t>Ile-de-France</t>
        </is>
      </c>
      <c r="Q19" s="15" t="n">
        <v>46201</v>
      </c>
      <c r="R19" s="15" t="n">
        <v>46276</v>
      </c>
      <c r="S19" t="inlineStr"/>
      <c r="T19" t="inlineStr">
        <is>
          <t>A_VERIFIER_BUDGET</t>
        </is>
      </c>
      <c r="U19" t="inlineStr"/>
      <c r="V19" t="inlineStr">
        <is>
          <t>non</t>
        </is>
      </c>
      <c r="W19" t="inlineStr">
        <is>
          <t>Vitres</t>
        </is>
      </c>
      <c r="X19" t="inlineStr">
        <is>
          <t>Autre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https://www.boamp.fr/pages/avis/?q=idweb:26-63717</t>
        </is>
      </c>
      <c r="AE19" t="inlineStr">
        <is>
          <t>https://cnfpt.marches-publics.info/</t>
        </is>
      </c>
      <c r="AF19" t="inlineStr">
        <is>
          <t>https://cnfpt.marches-publics.info/</t>
        </is>
      </c>
      <c r="AG19" t="inlineStr">
        <is>
          <t>nettoyage</t>
        </is>
      </c>
      <c r="AH19" t="inlineStr">
        <is>
          <t>2</t>
        </is>
      </c>
      <c r="AI19" t="inlineStr">
        <is>
          <t>58</t>
        </is>
      </c>
      <c r="AJ19" t="inlineStr">
        <is>
          <t>INFO_PARTIELLE</t>
        </is>
      </c>
      <c r="AK19" t="inlineStr">
        <is>
          <t>55</t>
        </is>
      </c>
      <c r="AL19" t="inlineStr">
        <is>
          <t>TIEDE</t>
        </is>
      </c>
      <c r="AM19" t="inlineStr"/>
      <c r="AN19" t="inlineStr"/>
      <c r="AO19" t="inlineStr"/>
      <c r="AP19" t="inlineStr"/>
      <c r="AQ19" t="inlineStr">
        <is>
          <t>IA_BUDGET_A_VERIFIER</t>
        </is>
      </c>
      <c r="AR19" t="inlineStr">
        <is>
          <t>Verifier le budget dans l'avis source ou le DCE avant decision commerciale.</t>
        </is>
      </c>
      <c r="AS19" t="inlineStr">
        <is>
          <t>SIRET, 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26-63717. Objet: Nettoyage des locaux et des vitres des sites de la délégation Nouvelle Aquitaine du CNFPT. Acheteur: CNFPT - Direction de l'achat public. Lien: https://www.boamp.fr/pages/avis/?q=idweb:26-63717.</t>
        </is>
      </c>
      <c r="AU19" t="inlineStr">
        <is>
          <t>Verifier url_avis et DCE si disponible</t>
        </is>
      </c>
      <c r="AV19" t="inlineStr"/>
      <c r="AW19" t="inlineStr"/>
      <c r="AX19" t="inlineStr"/>
      <c r="AY19" t="inlineStr"/>
      <c r="AZ19" t="inlineStr"/>
      <c r="BA19" t="inlineStr"/>
      <c r="BB19" t="inlineStr">
        <is>
          <t>+35 nettoyage + categorie claire | +10 budget non affiche (a verifier) | +10 delai confortable 67j</t>
        </is>
      </c>
      <c r="BC19" t="inlineStr">
        <is>
          <t>CNFPT - Direction de l'achat public publie un AO potentiellement pertinent pour CHRUTH : Nettoyage des locaux et des vitres des sites de la délégation Nouvelle Aquitaine du CNFPT. Zone : 75. Budget a verifier. Verifier le lien source avant contact.</t>
        </is>
      </c>
      <c r="BD19" t="inlineStr">
        <is>
          <t>Bonjour,
Je me permets de vous contacter au sujet de votre appel d'offres : Nettoyage des locaux et des vitres des sites de la délégation Nouvelle Aquitaine du CNFPT.
CHRUTH accompagne les structures publiques et privées sur les besoins de nettoyage, d'entretien des locaux et d'organisation de prestations de service.
Serait-il possible d'échanger rapidement afin de vérifier les modalités de réponse et les attentes de CNFPT - Direction de l'achat public ?
Cordialement,</t>
        </is>
      </c>
      <c r="BE19" t="inlineStr">
        <is>
          <t>Bonjour, je vous appelle concernant un appel d'offres publié par CNFPT - Direction de l'achat public.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2026-W26</t>
        </is>
      </c>
    </row>
    <row r="20">
      <c r="A20" t="inlineStr">
        <is>
          <t>BOAMP</t>
        </is>
      </c>
      <c r="B20" t="inlineStr">
        <is>
          <t>26-59151</t>
        </is>
      </c>
      <c r="C20" t="inlineStr">
        <is>
          <t>Prestations de nettoyage des surfaces vitrées, vitrines, baies vitrées, verrières et éléments assimilés des bâtiments de l’Université Paris 8 ainsi que de ses sites rattachés</t>
        </is>
      </c>
      <c r="D20" t="inlineStr">
        <is>
          <t>UNIVERSITE PARIS 8</t>
        </is>
      </c>
      <c r="E20" t="inlineStr">
        <is>
          <t>19931827000014</t>
        </is>
      </c>
      <c r="F20" t="inlineStr">
        <is>
          <t>199318270</t>
        </is>
      </c>
      <c r="G20" t="inlineStr"/>
      <c r="H20" t="inlineStr"/>
      <c r="I20" t="inlineStr">
        <is>
          <t>nicolas.luczak@univ-paris8.fr</t>
        </is>
      </c>
      <c r="J20" t="inlineStr">
        <is>
          <t>+33149406761</t>
        </is>
      </c>
      <c r="K20" t="inlineStr"/>
      <c r="L20" t="inlineStr"/>
      <c r="M20" t="inlineStr"/>
      <c r="N20" t="inlineStr">
        <is>
          <t>93</t>
        </is>
      </c>
      <c r="O20" t="inlineStr"/>
      <c r="P20" t="inlineStr">
        <is>
          <t>Ile-de-France</t>
        </is>
      </c>
      <c r="Q20" s="15" t="n">
        <v>46190</v>
      </c>
      <c r="R20" s="15" t="n">
        <v>46213</v>
      </c>
      <c r="S20" t="inlineStr"/>
      <c r="T20" t="inlineStr">
        <is>
          <t>A_VERIFIER_BUDGET</t>
        </is>
      </c>
      <c r="U20" t="inlineStr"/>
      <c r="V20" t="inlineStr">
        <is>
          <t>non</t>
        </is>
      </c>
      <c r="W20" t="inlineStr">
        <is>
          <t>Vitres</t>
        </is>
      </c>
      <c r="X20" t="inlineStr">
        <is>
          <t>Autre</t>
        </is>
      </c>
      <c r="Y20" t="inlineStr">
        <is>
          <t>SERVICES</t>
        </is>
      </c>
      <c r="Z20" t="inlineStr">
        <is>
          <t>Procédure Ouverte</t>
        </is>
      </c>
      <c r="AA20" t="inlineStr">
        <is>
          <t>Avis de marché</t>
        </is>
      </c>
      <c r="AB20" t="inlineStr">
        <is>
          <t>Vitrerie, Nettoyage de locaux</t>
        </is>
      </c>
      <c r="AC20" t="inlineStr"/>
      <c r="AD20" s="11" t="inlineStr">
        <is>
          <t>https://www.boamp.fr/pages/avis/?q=idweb:26-59151</t>
        </is>
      </c>
      <c r="AE20" t="inlineStr">
        <is>
          <t>https://www.marches-publics.gouv.fr/entreprise</t>
        </is>
      </c>
      <c r="AF20" t="inlineStr">
        <is>
          <t>https://www.marches-publics.gouv.fr/entreprise</t>
        </is>
      </c>
      <c r="AG20" t="inlineStr">
        <is>
          <t>nettoyage</t>
        </is>
      </c>
      <c r="AH20" t="inlineStr">
        <is>
          <t>3</t>
        </is>
      </c>
      <c r="AI20" t="inlineStr">
        <is>
          <t>68</t>
        </is>
      </c>
      <c r="AJ20" t="inlineStr">
        <is>
          <t>INFO_PARTIELLE</t>
        </is>
      </c>
      <c r="AK20" t="inlineStr">
        <is>
          <t>55</t>
        </is>
      </c>
      <c r="AL20" t="inlineStr">
        <is>
          <t>TIEDE</t>
        </is>
      </c>
      <c r="AM20" t="inlineStr"/>
      <c r="AN20" t="inlineStr"/>
      <c r="AO20" t="inlineStr"/>
      <c r="AP20" t="inlineStr"/>
      <c r="AQ20" t="inlineStr">
        <is>
          <t>IA_BUDGET_A_VERIFIER</t>
        </is>
      </c>
      <c r="AR20" t="inlineStr">
        <is>
          <t>Verifier le budget dans l'avis source ou le DCE avant decision commerciale.</t>
        </is>
      </c>
      <c r="AS20" t="inlineStr">
        <is>
          <t>adresse, ville, budget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26-59151. Objet: Prestations de nettoyage des surfaces vitrées, vitrines, baies vitrées, verrières et éléments assimilés des bâtiments de l’Université Paris 8 ainsi que de ses sites rattachés. Acheteur: UNIVERSITE PARIS 8. Lien: https://www.boamp.fr/pages/avis/?q=idweb:26-59151.</t>
        </is>
      </c>
      <c r="AU20" t="inlineStr">
        <is>
          <t>Verifier url_avis et DCE si disponible</t>
        </is>
      </c>
      <c r="AV20" t="inlineStr">
        <is>
          <t>LIEN_SEUL</t>
        </is>
      </c>
      <c r="AW20" t="inlineStr"/>
      <c r="AX20" t="inlineStr"/>
      <c r="AY20" t="inlineStr"/>
      <c r="AZ20" t="inlineStr"/>
      <c r="BA20" t="inlineStr"/>
      <c r="BB20" t="inlineStr">
        <is>
          <t>+35 nettoyage + categorie claire | +10 budget non affiche (a verifier) | +10 delai confortable 18j</t>
        </is>
      </c>
      <c r="BC20"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20"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20"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2026-W25</t>
        </is>
      </c>
    </row>
    <row r="21">
      <c r="A21" t="inlineStr">
        <is>
          <t>BOAMP</t>
        </is>
      </c>
      <c r="B21" t="inlineStr">
        <is>
          <t>26-57705</t>
        </is>
      </c>
      <c r="C21" t="inlineStr">
        <is>
          <t>MARCHE PUBLIC RELATIF AU NETTOYAGE DES LOCAUX DE LA MISSION LOCALE DE PARIS</t>
        </is>
      </c>
      <c r="D21" t="inlineStr">
        <is>
          <t>MISSION LOCALE DE PARIS</t>
        </is>
      </c>
      <c r="E21" t="inlineStr">
        <is>
          <t>53132862300149</t>
        </is>
      </c>
      <c r="F21" t="inlineStr">
        <is>
          <t>531328623</t>
        </is>
      </c>
      <c r="G21" t="inlineStr"/>
      <c r="H21" t="inlineStr"/>
      <c r="I21" t="inlineStr">
        <is>
          <t>achats@missionlocaledeparis.fr</t>
        </is>
      </c>
      <c r="J21" t="inlineStr">
        <is>
          <t>0149 076467</t>
        </is>
      </c>
      <c r="K21" t="inlineStr"/>
      <c r="L21" t="inlineStr"/>
      <c r="M21" t="inlineStr"/>
      <c r="N21" t="inlineStr">
        <is>
          <t>75</t>
        </is>
      </c>
      <c r="O21" t="inlineStr"/>
      <c r="P21" t="inlineStr">
        <is>
          <t>Ile-de-France</t>
        </is>
      </c>
      <c r="Q21" s="15" t="n">
        <v>46185</v>
      </c>
      <c r="R21" s="15" t="n">
        <v>46213</v>
      </c>
      <c r="S21" t="inlineStr"/>
      <c r="T21" t="inlineStr">
        <is>
          <t>A_VERIFIER_BUDGET</t>
        </is>
      </c>
      <c r="U21" t="inlineStr"/>
      <c r="V21" t="inlineStr">
        <is>
          <t>non</t>
        </is>
      </c>
      <c r="W21" t="inlineStr">
        <is>
          <t>Vitres</t>
        </is>
      </c>
      <c r="X21" t="inlineStr">
        <is>
          <t>Autre</t>
        </is>
      </c>
      <c r="Y21" t="inlineStr">
        <is>
          <t>SERVICES</t>
        </is>
      </c>
      <c r="Z21" t="inlineStr">
        <is>
          <t>Procédure Ouverte</t>
        </is>
      </c>
      <c r="AA21" t="inlineStr">
        <is>
          <t>Avis de marché</t>
        </is>
      </c>
      <c r="AB21" t="inlineStr">
        <is>
          <t>Nettoyage de locaux</t>
        </is>
      </c>
      <c r="AC21" t="inlineStr"/>
      <c r="AD21" s="11" t="inlineStr">
        <is>
          <t>https://www.boamp.fr/pages/avis/?q=idweb:26-57705</t>
        </is>
      </c>
      <c r="AE21" t="inlineStr">
        <is>
          <t>https://www.achatpublic.com/sdm/ent/gen/ent_detail.do?PCSLID=CSL_2026_GODJdYpugJ</t>
        </is>
      </c>
      <c r="AF21" t="inlineStr">
        <is>
          <t>https://www.achatpublic.com/sdm/ent/gen/ent_detail.do?PCSLID=CSL_2026_GODJdYpugJ</t>
        </is>
      </c>
      <c r="AG21" t="inlineStr">
        <is>
          <t>nettoyage, proprete</t>
        </is>
      </c>
      <c r="AH21" t="inlineStr">
        <is>
          <t>3</t>
        </is>
      </c>
      <c r="AI21" t="inlineStr">
        <is>
          <t>76</t>
        </is>
      </c>
      <c r="AJ21" t="inlineStr">
        <is>
          <t>INFO_PARTIELLE</t>
        </is>
      </c>
      <c r="AK21" t="inlineStr">
        <is>
          <t>55</t>
        </is>
      </c>
      <c r="AL21" t="inlineStr">
        <is>
          <t>TIEDE</t>
        </is>
      </c>
      <c r="AM21" t="inlineStr"/>
      <c r="AN21" t="inlineStr"/>
      <c r="AO21" t="inlineStr"/>
      <c r="AP21" t="inlineStr"/>
      <c r="AQ21" t="inlineStr">
        <is>
          <t>IA_BUDGET_A_VERIFIER</t>
        </is>
      </c>
      <c r="AR21" t="inlineStr">
        <is>
          <t>Verifier le budget dans l'avis source ou le DCE avant decision commerciale.</t>
        </is>
      </c>
      <c r="AS21" t="inlineStr">
        <is>
          <t>adresse, ville, budget</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26-57705. Objet: MARCHE PUBLIC RELATIF AU NETTOYAGE DES LOCAUX DE LA MISSION LOCALE DE PARIS. Acheteur: MISSION LOCALE DE PARIS. Lien: https://www.boamp.fr/pages/avis/?q=idweb:26-57705.</t>
        </is>
      </c>
      <c r="AU21" t="inlineStr">
        <is>
          <t>Verifier url_avis et DCE si disponible</t>
        </is>
      </c>
      <c r="AV21" t="inlineStr">
        <is>
          <t>LIEN_SEUL</t>
        </is>
      </c>
      <c r="AW21" t="inlineStr"/>
      <c r="AX21" t="inlineStr"/>
      <c r="AY21" t="inlineStr"/>
      <c r="AZ21" t="inlineStr"/>
      <c r="BA21" t="inlineStr"/>
      <c r="BB21" t="inlineStr">
        <is>
          <t>+35 nettoyage + categorie claire | +10 budget non affiche (a verifier) | +10 delai confortable 18j</t>
        </is>
      </c>
      <c r="BC21" t="inlineStr">
        <is>
          <t>MISSION LOCALE DE PARIS publie un AO potentiellement pertinent pour CHRUTH : MARCHE PUBLIC RELATIF AU NETTOYAGE DES LOCAUX DE LA MISSION LOCALE DE PARIS. Zone : 75. Budget a verifier. Verifier le lien source avant contact.</t>
        </is>
      </c>
      <c r="BD21" t="inlineStr">
        <is>
          <t>Bonjour,
Je me permets de vous contacter au sujet de votre appel d'offres : MARCHE PUBLIC RELATIF AU NETTOYAGE DES LOCAUX DE LA MISSION LOCALE DE PARIS.
CHRUTH accompagne les structures publiques et privees sur les besoins de nettoyage, d'entretien des locaux et d'organisation de prestations de service.
Serait-il possible d'echanger rapidement afin de verifier les modalites de reponse et les attentes de MISSION LOCALE DE PARIS ?
Cordialement,</t>
        </is>
      </c>
      <c r="BE21" t="inlineStr">
        <is>
          <t>Bonjour, je vous appelle concernant un appel d'offres publie par MISSION LOCALE DE PARIS. Je souhaite verifier les informations pratiques : perimetre des prestations, date limite, modalites de visite, contact technique et pieces attendues. Pouvez-vous m'indiquer la bonne personne a contacter ?</t>
        </is>
      </c>
      <c r="BF21" t="inlineStr"/>
      <c r="BG21" t="inlineStr"/>
      <c r="BH21" t="inlineStr"/>
      <c r="BI21" t="inlineStr"/>
      <c r="BJ21" t="inlineStr"/>
      <c r="BK21" t="inlineStr"/>
      <c r="BL21" t="inlineStr"/>
      <c r="BM21" t="inlineStr">
        <is>
          <t>2026-W24</t>
        </is>
      </c>
    </row>
    <row r="22">
      <c r="A22" t="inlineStr">
        <is>
          <t>BOAMP</t>
        </is>
      </c>
      <c r="B22" t="inlineStr">
        <is>
          <t>26-57778</t>
        </is>
      </c>
      <c r="C22" t="inlineStr">
        <is>
          <t>Prestations de nettoyage des surfaces vitrées, vitrines, baies vitrées, verrières et éléments assimilés des bâtiments de l’Université Paris 8 ainsi que de ses sites rattachés</t>
        </is>
      </c>
      <c r="D22" t="inlineStr">
        <is>
          <t>UNIVERSITE PARIS 8</t>
        </is>
      </c>
      <c r="E22" t="inlineStr">
        <is>
          <t>19931827000014</t>
        </is>
      </c>
      <c r="F22" t="inlineStr">
        <is>
          <t>199318270</t>
        </is>
      </c>
      <c r="G22" t="inlineStr"/>
      <c r="H22" t="inlineStr"/>
      <c r="I22" t="inlineStr">
        <is>
          <t>nicolas.luczak@univ-paris8.fr</t>
        </is>
      </c>
      <c r="J22" t="inlineStr">
        <is>
          <t>+33149406761</t>
        </is>
      </c>
      <c r="K22" t="inlineStr"/>
      <c r="L22" t="inlineStr"/>
      <c r="M22" t="inlineStr"/>
      <c r="N22" t="inlineStr">
        <is>
          <t>93</t>
        </is>
      </c>
      <c r="O22" t="inlineStr"/>
      <c r="P22" t="inlineStr">
        <is>
          <t>Ile-de-France</t>
        </is>
      </c>
      <c r="Q22" s="15" t="n">
        <v>46185</v>
      </c>
      <c r="R22" s="15" t="n">
        <v>46213</v>
      </c>
      <c r="S22" t="inlineStr"/>
      <c r="T22" t="inlineStr">
        <is>
          <t>A_VERIFIER_BUDGET</t>
        </is>
      </c>
      <c r="U22" t="inlineStr"/>
      <c r="V22" t="inlineStr">
        <is>
          <t>non</t>
        </is>
      </c>
      <c r="W22" t="inlineStr">
        <is>
          <t>Vitres</t>
        </is>
      </c>
      <c r="X22" t="inlineStr">
        <is>
          <t>Autre</t>
        </is>
      </c>
      <c r="Y22" t="inlineStr">
        <is>
          <t>SERVICES</t>
        </is>
      </c>
      <c r="Z22" t="inlineStr">
        <is>
          <t>Procédure Ouverte</t>
        </is>
      </c>
      <c r="AA22" t="inlineStr">
        <is>
          <t>Avis de marché</t>
        </is>
      </c>
      <c r="AB22" t="inlineStr">
        <is>
          <t>Vitrerie, Nettoyage de locaux</t>
        </is>
      </c>
      <c r="AC22" t="inlineStr">
        <is>
          <t>['sociaux']</t>
        </is>
      </c>
      <c r="AD22" s="11" t="inlineStr">
        <is>
          <t>https://www.boamp.fr/pages/avis/?q=idweb:26-57778</t>
        </is>
      </c>
      <c r="AE22" t="inlineStr">
        <is>
          <t>https://www.marches-publics.gouv.fr/entreprise</t>
        </is>
      </c>
      <c r="AF22" t="inlineStr">
        <is>
          <t>https://www.marches-publics.gouv.fr/entreprise</t>
        </is>
      </c>
      <c r="AG22" t="inlineStr">
        <is>
          <t>nettoyage</t>
        </is>
      </c>
      <c r="AH22" t="inlineStr">
        <is>
          <t>3</t>
        </is>
      </c>
      <c r="AI22" t="inlineStr">
        <is>
          <t>68</t>
        </is>
      </c>
      <c r="AJ22" t="inlineStr">
        <is>
          <t>INFO_PARTIELLE</t>
        </is>
      </c>
      <c r="AK22" t="inlineStr">
        <is>
          <t>55</t>
        </is>
      </c>
      <c r="AL22" t="inlineStr">
        <is>
          <t>TIEDE</t>
        </is>
      </c>
      <c r="AM22" t="inlineStr"/>
      <c r="AN22" t="inlineStr"/>
      <c r="AO22" t="inlineStr"/>
      <c r="AP22" t="inlineStr"/>
      <c r="AQ22" t="inlineStr">
        <is>
          <t>IA_BUDGET_A_VERIFIER</t>
        </is>
      </c>
      <c r="AR22" t="inlineStr">
        <is>
          <t>Verifier le budget dans l'avis source ou le DCE avant decision commerciale.</t>
        </is>
      </c>
      <c r="AS22" t="inlineStr">
        <is>
          <t>adresse, ville,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26-57778. Objet: Prestations de nettoyage des surfaces vitrées, vitrines, baies vitrées, verrières et éléments assimilés des bâtiments de l’Université Paris 8 ainsi que de ses sites rattachés. Acheteur: UNIVERSITE PARIS 8. Lien: https://www.boamp.fr/pages/avis/?q=idweb:26-57778.</t>
        </is>
      </c>
      <c r="AU22" t="inlineStr">
        <is>
          <t>Verifier url_avis et DCE si disponible</t>
        </is>
      </c>
      <c r="AV22" t="inlineStr">
        <is>
          <t>LIEN_SEUL</t>
        </is>
      </c>
      <c r="AW22" t="inlineStr"/>
      <c r="AX22" t="inlineStr"/>
      <c r="AY22" t="inlineStr"/>
      <c r="AZ22" t="inlineStr"/>
      <c r="BA22" t="inlineStr"/>
      <c r="BB22" t="inlineStr">
        <is>
          <t>+35 nettoyage + categorie claire | +10 budget non affiche (a verifier) | +10 delai confortable 18j</t>
        </is>
      </c>
      <c r="BC22"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22"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22"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22" t="inlineStr"/>
      <c r="BG22" t="inlineStr"/>
      <c r="BH22" t="inlineStr"/>
      <c r="BI22" t="inlineStr"/>
      <c r="BJ22" t="inlineStr"/>
      <c r="BK22" t="inlineStr"/>
      <c r="BL22" t="inlineStr"/>
      <c r="BM22" t="inlineStr">
        <is>
          <t>2026-W24</t>
        </is>
      </c>
    </row>
    <row r="23">
      <c r="A23" t="inlineStr">
        <is>
          <t>BOAMP</t>
        </is>
      </c>
      <c r="B23" t="inlineStr">
        <is>
          <t>26-57678</t>
        </is>
      </c>
      <c r="C23" t="inlineStr">
        <is>
          <t>Prestations d'entretien ménager, de fourniture de consommables pour sanitaires et de nettoyage des vitres des locaux de la délégation Auvergne Rhône-Alpes du CNFPT</t>
        </is>
      </c>
      <c r="D23" t="inlineStr">
        <is>
          <t>CNFPT - Direction de l'achat public</t>
        </is>
      </c>
      <c r="E23" t="inlineStr"/>
      <c r="F23" t="inlineStr"/>
      <c r="G23" t="inlineStr"/>
      <c r="H23" t="inlineStr"/>
      <c r="I23" t="inlineStr">
        <is>
          <t>publications-joue@aws-france.com</t>
        </is>
      </c>
      <c r="J23" t="inlineStr">
        <is>
          <t>+33480041260</t>
        </is>
      </c>
      <c r="K23" t="inlineStr"/>
      <c r="L23" t="inlineStr"/>
      <c r="M23" t="inlineStr"/>
      <c r="N23" t="inlineStr">
        <is>
          <t>75</t>
        </is>
      </c>
      <c r="O23" t="inlineStr"/>
      <c r="P23" t="inlineStr">
        <is>
          <t>Ile-de-France</t>
        </is>
      </c>
      <c r="Q23" s="15" t="n">
        <v>46185</v>
      </c>
      <c r="R23" s="15" t="n">
        <v>46218</v>
      </c>
      <c r="S23" t="inlineStr"/>
      <c r="T23" t="inlineStr">
        <is>
          <t>A_VERIFIER_BUDGET</t>
        </is>
      </c>
      <c r="U23" t="inlineStr"/>
      <c r="V23" t="inlineStr">
        <is>
          <t>non</t>
        </is>
      </c>
      <c r="W23" t="inlineStr">
        <is>
          <t>Vitres</t>
        </is>
      </c>
      <c r="X23" t="inlineStr">
        <is>
          <t>Autre</t>
        </is>
      </c>
      <c r="Y23" t="inlineStr">
        <is>
          <t>SERVICES</t>
        </is>
      </c>
      <c r="Z23" t="inlineStr">
        <is>
          <t>Procédure Ouverte</t>
        </is>
      </c>
      <c r="AA23" t="inlineStr">
        <is>
          <t>Avis de marché</t>
        </is>
      </c>
      <c r="AB23" t="inlineStr">
        <is>
          <t>Nettoyage de locaux</t>
        </is>
      </c>
      <c r="AC23" t="inlineStr">
        <is>
          <t>['sociaux', 'environnementaux']</t>
        </is>
      </c>
      <c r="AD23" s="11" t="inlineStr">
        <is>
          <t>https://www.boamp.fr/pages/avis/?q=idweb:26-57678</t>
        </is>
      </c>
      <c r="AE23" t="inlineStr">
        <is>
          <t>https://cnfpt.marches-publics.info/</t>
        </is>
      </c>
      <c r="AF23" t="inlineStr">
        <is>
          <t>https://cnfpt.marches-publics.info/</t>
        </is>
      </c>
      <c r="AG23" t="inlineStr">
        <is>
          <t>nettoyage, entretien menager</t>
        </is>
      </c>
      <c r="AH23" t="inlineStr">
        <is>
          <t>2</t>
        </is>
      </c>
      <c r="AI23" t="inlineStr">
        <is>
          <t>62</t>
        </is>
      </c>
      <c r="AJ23" t="inlineStr">
        <is>
          <t>INFO_PARTIELLE</t>
        </is>
      </c>
      <c r="AK23" t="inlineStr">
        <is>
          <t>55</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SIRET, 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26-57678. Objet: Prestations d'entretien ménager, de fourniture de consommables pour sanitaires et de nettoyage des vitres des locaux de la délégation Auvergne Rhône-Alpes du CNFPT. Acheteur: CNFPT - Direction de l'achat public. Lien: https://www.boamp.fr/pages/avis/?q=idweb:26-57678.</t>
        </is>
      </c>
      <c r="AU23" t="inlineStr">
        <is>
          <t>Verifier url_avis et DCE si disponible</t>
        </is>
      </c>
      <c r="AV23" t="inlineStr">
        <is>
          <t>LIEN_SEUL</t>
        </is>
      </c>
      <c r="AW23" t="inlineStr"/>
      <c r="AX23" t="inlineStr"/>
      <c r="AY23" t="inlineStr"/>
      <c r="AZ23" t="inlineStr"/>
      <c r="BA23" t="inlineStr"/>
      <c r="BB23" t="inlineStr">
        <is>
          <t>+35 nettoyage + categorie claire | +10 budget non affiche (a verifier) | +10 delai confortable 23j</t>
        </is>
      </c>
      <c r="BC23" t="inlineStr">
        <is>
          <t>CNFPT - Direction de l'achat public publie un AO potentiellement pertinent pour CHRUTH : Prestations d'entretien ménager, de fourniture de consommables pour sanitaires et de nettoyage des vitres des locaux de la délégation Auvergne Rhône-Alpes du CNFPT. Zone : 75. Budget a verifier. Verifier le lien source avant contact.</t>
        </is>
      </c>
      <c r="BD23" t="inlineStr">
        <is>
          <t>Bonjour,
Je me permets de vous contacter au sujet de votre appel d'offres : Prestations d'entretien ménager, de fourniture de consommables pour sanitaires et de nettoyage des vitres des locaux de la délégation Auvergne Rhône-Alpes du CNFPT.
CHRUTH accompagne les structures publiques et privees sur les besoins de nettoyage, d'entretien des locaux et d'organisation de prestations de service.
Serait-il possible d'echanger rapidement afin de verifier les modalites de reponse et les attentes de CNFPT - Direction de l'achat public ?
Cordialement,</t>
        </is>
      </c>
      <c r="BE23" t="inlineStr">
        <is>
          <t>Bonjour, je vous appelle concernant un appel d'offres publie par CNFPT - Direction de l'achat public. Je souhaite verifier les informations pratiques : perimetre des prestations, date limite, modalites de visite, contact technique et pieces attendues. Pouvez-vous m'indiquer la bonne personne a contacter ?</t>
        </is>
      </c>
      <c r="BF23" t="inlineStr"/>
      <c r="BG23" t="inlineStr"/>
      <c r="BH23" t="inlineStr"/>
      <c r="BI23" t="inlineStr"/>
      <c r="BJ23" t="inlineStr"/>
      <c r="BK23" t="inlineStr"/>
      <c r="BL23" t="inlineStr"/>
      <c r="BM23" t="inlineStr">
        <is>
          <t>2026-W24</t>
        </is>
      </c>
    </row>
    <row r="24">
      <c r="A24" t="inlineStr">
        <is>
          <t>BOAMP</t>
        </is>
      </c>
      <c r="B24" t="inlineStr">
        <is>
          <t>26-57231</t>
        </is>
      </c>
      <c r="C24" t="inlineStr">
        <is>
          <t>Prestations de nettoyage des surfaces vitrées, vitrines, baies vitrées, verrières et éléments assimilés des bâtiments de l’Université Paris 8 ainsi que de ses sites rattachés</t>
        </is>
      </c>
      <c r="D24" t="inlineStr">
        <is>
          <t>UNIVERSITE PARIS 8</t>
        </is>
      </c>
      <c r="E24" t="inlineStr">
        <is>
          <t>19931827000014</t>
        </is>
      </c>
      <c r="F24" t="inlineStr">
        <is>
          <t>199318270</t>
        </is>
      </c>
      <c r="G24" t="inlineStr"/>
      <c r="H24" t="inlineStr"/>
      <c r="I24" t="inlineStr">
        <is>
          <t>nicolas.luczak@univ-paris8.fr</t>
        </is>
      </c>
      <c r="J24" t="inlineStr">
        <is>
          <t>+33149406761</t>
        </is>
      </c>
      <c r="K24" t="inlineStr"/>
      <c r="L24" t="inlineStr"/>
      <c r="M24" t="inlineStr"/>
      <c r="N24" t="inlineStr">
        <is>
          <t>93</t>
        </is>
      </c>
      <c r="O24" t="inlineStr"/>
      <c r="P24" t="inlineStr">
        <is>
          <t>Ile-de-France</t>
        </is>
      </c>
      <c r="Q24" s="15" t="n">
        <v>46184</v>
      </c>
      <c r="R24" s="15" t="n">
        <v>46213</v>
      </c>
      <c r="S24" t="inlineStr"/>
      <c r="T24" t="inlineStr">
        <is>
          <t>A_VERIFIER_BUDGET</t>
        </is>
      </c>
      <c r="U24" t="inlineStr"/>
      <c r="V24" t="inlineStr">
        <is>
          <t>non</t>
        </is>
      </c>
      <c r="W24" t="inlineStr">
        <is>
          <t>Vitres</t>
        </is>
      </c>
      <c r="X24" t="inlineStr">
        <is>
          <t>Autre</t>
        </is>
      </c>
      <c r="Y24" t="inlineStr">
        <is>
          <t>SERVICES</t>
        </is>
      </c>
      <c r="Z24" t="inlineStr">
        <is>
          <t>Procédure Ouverte</t>
        </is>
      </c>
      <c r="AA24" t="inlineStr">
        <is>
          <t>Avis de marché</t>
        </is>
      </c>
      <c r="AB24" t="inlineStr">
        <is>
          <t>Vitrerie, Nettoyage de locaux</t>
        </is>
      </c>
      <c r="AC24" t="inlineStr"/>
      <c r="AD24" s="11" t="inlineStr">
        <is>
          <t>https://www.boamp.fr/pages/avis/?q=idweb:26-57231</t>
        </is>
      </c>
      <c r="AE24" t="inlineStr">
        <is>
          <t>https://www.marches-publics.gouv.fr/entreprise</t>
        </is>
      </c>
      <c r="AF24" t="inlineStr">
        <is>
          <t>https://www.marches-publics.gouv.fr/entreprise</t>
        </is>
      </c>
      <c r="AG24" t="inlineStr">
        <is>
          <t>nettoyage</t>
        </is>
      </c>
      <c r="AH24" t="inlineStr">
        <is>
          <t>3</t>
        </is>
      </c>
      <c r="AI24" t="inlineStr">
        <is>
          <t>68</t>
        </is>
      </c>
      <c r="AJ24" t="inlineStr">
        <is>
          <t>INFO_PARTIELLE</t>
        </is>
      </c>
      <c r="AK24" t="inlineStr">
        <is>
          <t>55</t>
        </is>
      </c>
      <c r="AL24" t="inlineStr">
        <is>
          <t>TIEDE</t>
        </is>
      </c>
      <c r="AM24" t="inlineStr"/>
      <c r="AN24" t="inlineStr"/>
      <c r="AO24" t="inlineStr"/>
      <c r="AP24" t="inlineStr"/>
      <c r="AQ24" t="inlineStr">
        <is>
          <t>IA_BUDGET_A_VERIFIER</t>
        </is>
      </c>
      <c r="AR24" t="inlineStr">
        <is>
          <t>Verifier le budget dans l'avis source ou le DCE avant decision commerciale.</t>
        </is>
      </c>
      <c r="AS24" t="inlineStr">
        <is>
          <t>adresse, ville,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26-57231. Objet: Prestations de nettoyage des surfaces vitrées, vitrines, baies vitrées, verrières et éléments assimilés des bâtiments de l’Université Paris 8 ainsi que de ses sites rattachés. Acheteur: UNIVERSITE PARIS 8. Lien: https://www.boamp.fr/pages/avis/?q=idweb:26-57231.</t>
        </is>
      </c>
      <c r="AU24" t="inlineStr">
        <is>
          <t>Verifier url_avis et DCE si disponible</t>
        </is>
      </c>
      <c r="AV24" t="inlineStr">
        <is>
          <t>LIEN_SEUL</t>
        </is>
      </c>
      <c r="AW24" t="inlineStr"/>
      <c r="AX24" t="inlineStr"/>
      <c r="AY24" t="inlineStr"/>
      <c r="AZ24" t="inlineStr"/>
      <c r="BA24" t="inlineStr"/>
      <c r="BB24" t="inlineStr">
        <is>
          <t>+35 nettoyage + categorie claire | +10 budget non affiche (a verifier) | +10 delai confortable 18j</t>
        </is>
      </c>
      <c r="BC24"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24"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24"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24" t="inlineStr"/>
      <c r="BG24" t="inlineStr"/>
      <c r="BH24" t="inlineStr"/>
      <c r="BI24" t="inlineStr"/>
      <c r="BJ24" t="inlineStr"/>
      <c r="BK24" t="inlineStr"/>
      <c r="BL24" t="inlineStr"/>
      <c r="BM24" t="inlineStr">
        <is>
          <t>2026-W24</t>
        </is>
      </c>
    </row>
    <row r="25">
      <c r="A25" t="inlineStr">
        <is>
          <t>BOAMP</t>
        </is>
      </c>
      <c r="B25" t="inlineStr">
        <is>
          <t>26-62297</t>
        </is>
      </c>
      <c r="C25" t="inlineStr">
        <is>
          <t>Nettoyage des locaux du siège du SIAAP</t>
        </is>
      </c>
      <c r="D25" t="inlineStr">
        <is>
          <t>Syndicat interdépartemental pour l'assainissement de l'agglomération parisienne (SIAAP)</t>
        </is>
      </c>
      <c r="E25" t="inlineStr"/>
      <c r="F25" t="inlineStr"/>
      <c r="G25" t="inlineStr"/>
      <c r="H25" t="inlineStr"/>
      <c r="I25" t="inlineStr">
        <is>
          <t>publications-joue@aws-france.com</t>
        </is>
      </c>
      <c r="J25" t="inlineStr">
        <is>
          <t>+33480041260</t>
        </is>
      </c>
      <c r="K25" t="inlineStr"/>
      <c r="L25" t="inlineStr"/>
      <c r="M25" t="inlineStr"/>
      <c r="N25" t="inlineStr">
        <is>
          <t>75</t>
        </is>
      </c>
      <c r="O25" t="inlineStr"/>
      <c r="P25" t="inlineStr">
        <is>
          <t>Ile-de-France</t>
        </is>
      </c>
      <c r="Q25" s="15" t="n">
        <v>46198</v>
      </c>
      <c r="R25" s="15" t="n">
        <v>46218</v>
      </c>
      <c r="S25" t="inlineStr"/>
      <c r="T25" t="inlineStr">
        <is>
          <t>A_VERIFIER_BUDGET</t>
        </is>
      </c>
      <c r="U25" t="inlineStr"/>
      <c r="V25" t="inlineStr">
        <is>
          <t>non</t>
        </is>
      </c>
      <c r="W25" t="inlineStr">
        <is>
          <t>Batiments</t>
        </is>
      </c>
      <c r="X25" t="inlineStr">
        <is>
          <t>Autre</t>
        </is>
      </c>
      <c r="Y25" t="inlineStr">
        <is>
          <t>SERVICES</t>
        </is>
      </c>
      <c r="Z25" t="inlineStr">
        <is>
          <t>Procédure Ouverte</t>
        </is>
      </c>
      <c r="AA25" t="inlineStr">
        <is>
          <t>Avis de marché</t>
        </is>
      </c>
      <c r="AB25" t="inlineStr">
        <is>
          <t>Nettoyage de locaux, Prestations de services</t>
        </is>
      </c>
      <c r="AC25" t="inlineStr"/>
      <c r="AD25" s="11" t="inlineStr">
        <is>
          <t>https://www.boamp.fr/pages/avis/?q=idweb:26-62297</t>
        </is>
      </c>
      <c r="AE25" t="inlineStr">
        <is>
          <t>https://www.marches-publics.info/mpiaws/index.cfm?fuseaction=dematEnt.login&amp;amp;type=DCE&amp;amp;IDM=1840671</t>
        </is>
      </c>
      <c r="AF25" t="inlineStr">
        <is>
          <t>https://www.marches-publics.info/mpiaws/index.cfm?fuseaction=dematEnt.login&amp;amp;type=DCE&amp;amp;IDM=1840671</t>
        </is>
      </c>
      <c r="AG25" t="inlineStr">
        <is>
          <t>nettoyage</t>
        </is>
      </c>
      <c r="AH25" t="inlineStr">
        <is>
          <t>2</t>
        </is>
      </c>
      <c r="AI25" t="inlineStr">
        <is>
          <t>58</t>
        </is>
      </c>
      <c r="AJ25" t="inlineStr">
        <is>
          <t>INFO_PARTIELLE</t>
        </is>
      </c>
      <c r="AK25" t="inlineStr">
        <is>
          <t>50</t>
        </is>
      </c>
      <c r="AL25" t="inlineStr">
        <is>
          <t>TIEDE</t>
        </is>
      </c>
      <c r="AM25" t="inlineStr"/>
      <c r="AN25" t="inlineStr"/>
      <c r="AO25" t="inlineStr"/>
      <c r="AP25" t="inlineStr"/>
      <c r="AQ25" t="inlineStr">
        <is>
          <t>IA_BUDGET_A_VERIFIER</t>
        </is>
      </c>
      <c r="AR25" t="inlineStr">
        <is>
          <t>Verifier le budget dans l'avis source ou le DCE avant decision commerciale.</t>
        </is>
      </c>
      <c r="AS25" t="inlineStr">
        <is>
          <t>SIRET, adresse, ville, budget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26-62297. Objet: Nettoyage des locaux du siège du SIAAP. Acheteur: Syndicat interdépartemental pour l'assainissement de l'agglomération parisienne (SIAAP). Lien: https://www.boamp.fr/pages/avis/?q=idweb:26-62297.</t>
        </is>
      </c>
      <c r="AU25" t="inlineStr">
        <is>
          <t>Verifier url_avis et DCE si disponible</t>
        </is>
      </c>
      <c r="AV25" t="inlineStr">
        <is>
          <t>LIEN_SEUL</t>
        </is>
      </c>
      <c r="AW25" t="inlineStr"/>
      <c r="AX25" t="inlineStr"/>
      <c r="AY25" t="inlineStr"/>
      <c r="AZ25" t="inlineStr"/>
      <c r="BA25" t="inlineStr"/>
      <c r="BB25" t="inlineStr">
        <is>
          <t>+35 nettoyage + categorie claire | +10 budget non affiche (a verifier) | +5 delai court 12j</t>
        </is>
      </c>
      <c r="BC25" t="inlineStr">
        <is>
          <t>Syndicat interdépartemental pour l'assainissement de l'agglomération parisienne (SIAAP) publie un AO potentiellement pertinent pour CHRUTH : Nettoyage des locaux du siège du SIAAP. Zone : 75. Budget a verifier. Verifier le lien source avant contact.</t>
        </is>
      </c>
      <c r="BD25" t="inlineStr">
        <is>
          <t>Bonjour,
Je me permets de vous contacter au sujet de votre appel d'offres : Nettoyage des locaux du siège du SIAAP.
CHRUTH accompagne les structures publiques et privées sur les besoins de nettoyage, d'entretien des locaux et d'organisation de prestations de service.
Serait-il possible d'échanger rapidement afin de vérifier les modalités de réponse et les attentes de Syndicat interdépartemental pour l'assainissement de l'agglomération parisienne (SIAAP) ?
Cordialement,</t>
        </is>
      </c>
      <c r="BE25" t="inlineStr">
        <is>
          <t>Bonjour, je vous appelle concernant un appel d'offres publié par Syndicat interdépartemental pour l'assainissement de l'agglomération parisienne (SIAAP).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2026-W26</t>
        </is>
      </c>
    </row>
    <row r="26">
      <c r="A26" t="inlineStr">
        <is>
          <t>BOAMP</t>
        </is>
      </c>
      <c r="B26" t="inlineStr">
        <is>
          <t>26-61419</t>
        </is>
      </c>
      <c r="C26" t="inlineStr">
        <is>
          <t>Prestations de mise en propreté et la gestion des déchets du réseau routier national et de ses dépendances gérés par les 4 arrondissements de la DiRIF</t>
        </is>
      </c>
      <c r="D26" t="inlineStr">
        <is>
          <t>Direction régionale et interdépartementale de l'Environnement, de l'Aménagement et des Transports d'Ile-de-France (DRIEAT-IF)</t>
        </is>
      </c>
      <c r="E26" t="inlineStr">
        <is>
          <t>13002932500011</t>
        </is>
      </c>
      <c r="F26" t="inlineStr">
        <is>
          <t>130029325</t>
        </is>
      </c>
      <c r="G26" t="inlineStr"/>
      <c r="H26" t="inlineStr"/>
      <c r="I26" t="inlineStr">
        <is>
          <t>dcppa.sg.drieat-if@developpement-durable.gouv.fr</t>
        </is>
      </c>
      <c r="J26" t="inlineStr">
        <is>
          <t>0293250001</t>
        </is>
      </c>
      <c r="K26" t="inlineStr"/>
      <c r="L26" t="inlineStr"/>
      <c r="M26" t="inlineStr"/>
      <c r="N26" t="inlineStr">
        <is>
          <t>75,77,78,91,92,93,94,95</t>
        </is>
      </c>
      <c r="O26" t="inlineStr"/>
      <c r="P26" t="inlineStr">
        <is>
          <t>Ile-de-France</t>
        </is>
      </c>
      <c r="Q26" s="15" t="n">
        <v>46197</v>
      </c>
      <c r="R26" s="15" t="n">
        <v>46237</v>
      </c>
      <c r="S26" t="inlineStr"/>
      <c r="T26" t="inlineStr">
        <is>
          <t>A_VERIFIER_BUDGET</t>
        </is>
      </c>
      <c r="U26" t="inlineStr"/>
      <c r="V26" t="inlineStr">
        <is>
          <t>non</t>
        </is>
      </c>
      <c r="W26" t="inlineStr">
        <is>
          <t>Mixte/Autre</t>
        </is>
      </c>
      <c r="X26" t="inlineStr">
        <is>
          <t>Autre</t>
        </is>
      </c>
      <c r="Y26" t="inlineStr">
        <is>
          <t>SERVICES</t>
        </is>
      </c>
      <c r="Z26" t="inlineStr">
        <is>
          <t>Procédure Ouverte</t>
        </is>
      </c>
      <c r="AA26" t="inlineStr">
        <is>
          <t>Avis de marché</t>
        </is>
      </c>
      <c r="AB26" t="inlineStr">
        <is>
          <t>Déchets non ménagers (prestations), Prestations de services</t>
        </is>
      </c>
      <c r="AC26" t="inlineStr">
        <is>
          <t>['sociaux', 'environnementaux']</t>
        </is>
      </c>
      <c r="AD26" s="11" t="inlineStr">
        <is>
          <t>https://www.boamp.fr/pages/avis/?q=idweb:26-61419</t>
        </is>
      </c>
      <c r="AE26" t="inlineStr">
        <is>
          <t>https://www.marches-publics.gouv.fr/entreprise</t>
        </is>
      </c>
      <c r="AF26" t="inlineStr">
        <is>
          <t>https://www.marches-publics.gouv.fr/entreprise</t>
        </is>
      </c>
      <c r="AG26" t="inlineStr">
        <is>
          <t>nettoyage, proprete</t>
        </is>
      </c>
      <c r="AH26" t="inlineStr">
        <is>
          <t>3</t>
        </is>
      </c>
      <c r="AI26" t="inlineStr">
        <is>
          <t>76</t>
        </is>
      </c>
      <c r="AJ26" t="inlineStr">
        <is>
          <t>INFO_PARTIELLE</t>
        </is>
      </c>
      <c r="AK26" t="inlineStr">
        <is>
          <t>50</t>
        </is>
      </c>
      <c r="AL26" t="inlineStr">
        <is>
          <t>TIEDE</t>
        </is>
      </c>
      <c r="AM26" t="inlineStr"/>
      <c r="AN26" t="inlineStr"/>
      <c r="AO26" t="inlineStr"/>
      <c r="AP26" t="inlineStr"/>
      <c r="AQ26" t="inlineStr">
        <is>
          <t>IA_BUDGET_A_VERIFIER</t>
        </is>
      </c>
      <c r="AR26" t="inlineStr">
        <is>
          <t>Verifier le budget dans l'avis source ou le DCE avant decision commerciale.</t>
        </is>
      </c>
      <c r="AS26" t="inlineStr">
        <is>
          <t>adresse, ville, budget</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26-61419. Objet: Prestations de mise en propreté et la gestion des déchets du réseau routier national et de ses dépendances gérés par les 4 arrondissements de la DiRIF. Acheteur: Direction régionale et interdépartementale de l'Environnement, de l'Aménagement et des Transports d'Ile-de-France (DRIEAT-IF). Lien: https://www.boamp.fr/pages/avis/?q=idweb:26-61419.</t>
        </is>
      </c>
      <c r="AU26" t="inlineStr">
        <is>
          <t>Verifier url_avis et DCE si disponible</t>
        </is>
      </c>
      <c r="AV26" t="inlineStr"/>
      <c r="AW26" t="inlineStr"/>
      <c r="AX26" t="inlineStr"/>
      <c r="AY26" t="inlineStr"/>
      <c r="AZ26" t="inlineStr"/>
      <c r="BA26" t="inlineStr"/>
      <c r="BB26" t="inlineStr">
        <is>
          <t>+30 mots-cles nettoyage forts | +10 budget non affiche (a verifier) | +10 delai confortable 28j</t>
        </is>
      </c>
      <c r="BC26" t="inlineStr">
        <is>
          <t>Direction régionale et interdépartementale de l'Environnement, de l'Aménagement et des Transports d'Ile-de-France (DRIEAT-IF) publie un AO potentiellement pertinent pour CHRUTH : Prestations de mise en propreté et la gestion des déchets du réseau routier national et de ses dépendances gérés par les 4 arrondissements de la DiRIF. Zone : 75,77,78,91,92,93,94,95. Budget a verifier. Verifier le lien source avant contact.</t>
        </is>
      </c>
      <c r="BD26" t="inlineStr">
        <is>
          <t>Bonjour,
Je me permets de vous contacter au sujet de votre appel d'offres : Prestations de mise en propreté et la gestion des déchets du réseau routier national et de ses dépendances gérés par les 4 arrondissements de la DiRIF.
CHRUTH accompagne les structures publiques et privées sur les besoins de nettoyage, d'entretien des locaux et d'organisation de prestations de service.
Serait-il possible d'échanger rapidement afin de vérifier les modalités de réponse et les attentes de Direction régionale et interdépartementale de l'Environnement, de l'Aménagement et des Transports d'Ile-de-France (DRIEAT-IF) ?
Cordialement,</t>
        </is>
      </c>
      <c r="BE26" t="inlineStr">
        <is>
          <t>Bonjour, je vous appelle concernant un appel d'offres publié par Direction régionale et interdépartementale de l'Environnement, de l'Aménagement et des Transports d'Ile-de-France (DRIEAT-IF).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2026-W26</t>
        </is>
      </c>
    </row>
    <row r="27">
      <c r="A27" t="inlineStr">
        <is>
          <t>BOAMP</t>
        </is>
      </c>
      <c r="B27" t="inlineStr">
        <is>
          <t>26-61287</t>
        </is>
      </c>
      <c r="C27" t="inlineStr">
        <is>
          <t>Gestion et entretien des trois aires d'accueil des gens du voyage communautaires</t>
        </is>
      </c>
      <c r="D27" t="inlineStr">
        <is>
          <t>Communauté d'agglomération Plaine Vallée</t>
        </is>
      </c>
      <c r="E27" t="inlineStr">
        <is>
          <t>20005638000013</t>
        </is>
      </c>
      <c r="F27" t="inlineStr">
        <is>
          <t>200056380</t>
        </is>
      </c>
      <c r="G27" t="inlineStr"/>
      <c r="H27" t="inlineStr"/>
      <c r="I27" t="inlineStr">
        <is>
          <t>contact@agglo-plainevallee.fr</t>
        </is>
      </c>
      <c r="J27" t="inlineStr">
        <is>
          <t>0563800001</t>
        </is>
      </c>
      <c r="K27" t="inlineStr"/>
      <c r="L27" t="inlineStr"/>
      <c r="M27" t="inlineStr"/>
      <c r="N27" t="inlineStr">
        <is>
          <t>95</t>
        </is>
      </c>
      <c r="O27" t="inlineStr"/>
      <c r="P27" t="inlineStr">
        <is>
          <t>Ile-de-France</t>
        </is>
      </c>
      <c r="Q27" s="15" t="n">
        <v>46194</v>
      </c>
      <c r="R27" s="15" t="n">
        <v>46225</v>
      </c>
      <c r="S27" t="inlineStr"/>
      <c r="T27" t="inlineStr">
        <is>
          <t>A_VERIFIER_BUDGET</t>
        </is>
      </c>
      <c r="U27" t="inlineStr"/>
      <c r="V27" t="inlineStr">
        <is>
          <t>non</t>
        </is>
      </c>
      <c r="W27" t="inlineStr">
        <is>
          <t>Mixte/Autre</t>
        </is>
      </c>
      <c r="X27" t="inlineStr">
        <is>
          <t>Autre</t>
        </is>
      </c>
      <c r="Y27" t="inlineStr">
        <is>
          <t>SERVICES</t>
        </is>
      </c>
      <c r="Z27" t="inlineStr">
        <is>
          <t>Procédure Ouverte</t>
        </is>
      </c>
      <c r="AA27" t="inlineStr">
        <is>
          <t>Avis de marché</t>
        </is>
      </c>
      <c r="AB27" t="inlineStr">
        <is>
          <t>Prestations de services</t>
        </is>
      </c>
      <c r="AC27" t="inlineStr"/>
      <c r="AD27" s="11" t="inlineStr">
        <is>
          <t>https://www.boamp.fr/pages/avis/?q=idweb:26-61287</t>
        </is>
      </c>
      <c r="AE27" t="inlineStr">
        <is>
          <t>https://www.achatpublic.com/sdm/ent/gen/ent_detail.do?PCSLID=CSL_2026_8zWAXknio-</t>
        </is>
      </c>
      <c r="AF27" t="inlineStr">
        <is>
          <t>https://www.achatpublic.com/sdm/ent/gen/ent_detail.do?PCSLID=CSL_2026_8zWAXknio-</t>
        </is>
      </c>
      <c r="AG27" t="inlineStr">
        <is>
          <t>nettoyage</t>
        </is>
      </c>
      <c r="AH27" t="inlineStr">
        <is>
          <t>3</t>
        </is>
      </c>
      <c r="AI27" t="inlineStr">
        <is>
          <t>68</t>
        </is>
      </c>
      <c r="AJ27" t="inlineStr">
        <is>
          <t>INFO_PARTIELLE</t>
        </is>
      </c>
      <c r="AK27" t="inlineStr">
        <is>
          <t>50</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26-61287. Objet: Gestion et entretien des trois aires d'accueil des gens du voyage communautaires. Acheteur: Communauté d'agglomération Plaine Vallée. Lien: https://www.boamp.fr/pages/avis/?q=idweb:26-61287.</t>
        </is>
      </c>
      <c r="AU27" t="inlineStr">
        <is>
          <t>Verifier url_avis et DCE si disponible</t>
        </is>
      </c>
      <c r="AV27" t="inlineStr">
        <is>
          <t>LIEN_SEUL</t>
        </is>
      </c>
      <c r="AW27" t="inlineStr"/>
      <c r="AX27" t="inlineStr"/>
      <c r="AY27" t="inlineStr"/>
      <c r="AZ27" t="inlineStr"/>
      <c r="BA27" t="inlineStr"/>
      <c r="BB27" t="inlineStr">
        <is>
          <t>+30 mots-cles nettoyage forts | +10 budget non affiche (a verifier) | +10 delai confortable 19j</t>
        </is>
      </c>
      <c r="BC27" t="inlineStr">
        <is>
          <t>Communauté d'agglomération Plaine Vallée publie un AO potentiellement pertinent pour CHRUTH : Gestion et entretien des trois aires d'accueil des gens du voyage communautaires. Zone : 95. Budget a verifier. Verifier le lien source avant contact.</t>
        </is>
      </c>
      <c r="BD27" t="inlineStr">
        <is>
          <t>Bonjour,
Je me permets de vous contacter au sujet de votre appel d'offres : Gestion et entretien des trois aires d'accueil des gens du voyage communautaires.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Plaine Vallée ?
Cordialement,</t>
        </is>
      </c>
      <c r="BE27" t="inlineStr">
        <is>
          <t>Bonjour, je vous appelle concernant un appel d'offres publié par Communauté d'agglomération Plaine Vallée.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2026-W25</t>
        </is>
      </c>
    </row>
    <row r="28">
      <c r="A28" t="inlineStr">
        <is>
          <t>BOAMP</t>
        </is>
      </c>
      <c r="B28" t="inlineStr">
        <is>
          <t>26-57313</t>
        </is>
      </c>
      <c r="C28" t="inlineStr">
        <is>
          <t>Entretien des toitures et des terrasses des sites : H. MONDOR – A. CHENEVIER – E. ROUX – DUPUYTREN – G. CLEMENCEAU</t>
        </is>
      </c>
      <c r="D28" t="inlineStr">
        <is>
          <t>Hopitaux Universitaires Henri Mondor</t>
        </is>
      </c>
      <c r="E28" t="inlineStr">
        <is>
          <t>26750045200557</t>
        </is>
      </c>
      <c r="F28" t="inlineStr">
        <is>
          <t>267500452</t>
        </is>
      </c>
      <c r="G28" t="inlineStr"/>
      <c r="H28" t="inlineStr"/>
      <c r="I28" t="inlineStr">
        <is>
          <t>eddy-pierrick.nsana@aphp.fr</t>
        </is>
      </c>
      <c r="J28" t="inlineStr">
        <is>
          <t>0145178465</t>
        </is>
      </c>
      <c r="K28" t="inlineStr"/>
      <c r="L28" t="inlineStr"/>
      <c r="M28" t="inlineStr"/>
      <c r="N28" t="inlineStr">
        <is>
          <t>75,77,78,91,92,93,94,95</t>
        </is>
      </c>
      <c r="O28" t="inlineStr"/>
      <c r="P28" t="inlineStr">
        <is>
          <t>Ile-de-France</t>
        </is>
      </c>
      <c r="Q28" s="15" t="n">
        <v>46185</v>
      </c>
      <c r="R28" s="15" t="n">
        <v>46219</v>
      </c>
      <c r="S28" t="inlineStr"/>
      <c r="T28" t="inlineStr">
        <is>
          <t>A_VERIFIER_BUDGET</t>
        </is>
      </c>
      <c r="U28" t="inlineStr"/>
      <c r="V28" t="inlineStr">
        <is>
          <t>non</t>
        </is>
      </c>
      <c r="W28" t="inlineStr">
        <is>
          <t>Mixte/Autre</t>
        </is>
      </c>
      <c r="X28" t="inlineStr">
        <is>
          <t>Autre</t>
        </is>
      </c>
      <c r="Y28" t="inlineStr">
        <is>
          <t>SERVICES</t>
        </is>
      </c>
      <c r="Z28" t="inlineStr">
        <is>
          <t>Procédure Ouverte</t>
        </is>
      </c>
      <c r="AA28" t="inlineStr">
        <is>
          <t>Avis de marché</t>
        </is>
      </c>
      <c r="AB28" t="inlineStr">
        <is>
          <t>Terrasse</t>
        </is>
      </c>
      <c r="AC28" t="inlineStr">
        <is>
          <t>['environnementaux']</t>
        </is>
      </c>
      <c r="AD28" s="11" t="inlineStr">
        <is>
          <t>https://www.boamp.fr/pages/avis/?q=idweb:26-57313</t>
        </is>
      </c>
      <c r="AE28" t="inlineStr">
        <is>
          <t>https://www.marches-publics.gouv.fr/?page=Entreprise.EntrepriseAdvancedSearch&amp;AllCons&amp;id=3014984&amp;orgAcronyme=x7c</t>
        </is>
      </c>
      <c r="AF28" t="inlineStr">
        <is>
          <t>https://www.marches-publics.gouv.fr/?page=Entreprise.EntrepriseAdvancedSearch&amp;AllCons&amp;id=3014984&amp;orgAcronyme=x7c</t>
        </is>
      </c>
      <c r="AG28" t="inlineStr">
        <is>
          <t>nettoyage</t>
        </is>
      </c>
      <c r="AH28" t="inlineStr">
        <is>
          <t>3</t>
        </is>
      </c>
      <c r="AI28" t="inlineStr">
        <is>
          <t>68</t>
        </is>
      </c>
      <c r="AJ28" t="inlineStr">
        <is>
          <t>INFO_PARTIELLE</t>
        </is>
      </c>
      <c r="AK28" t="inlineStr">
        <is>
          <t>50</t>
        </is>
      </c>
      <c r="AL28" t="inlineStr">
        <is>
          <t>TIEDE</t>
        </is>
      </c>
      <c r="AM28" t="inlineStr"/>
      <c r="AN28" t="inlineStr"/>
      <c r="AO28" t="inlineStr"/>
      <c r="AP28" t="inlineStr"/>
      <c r="AQ28" t="inlineStr">
        <is>
          <t>IA_BUDGET_A_VERIFIER</t>
        </is>
      </c>
      <c r="AR28" t="inlineStr">
        <is>
          <t>Verifier le budget dans l'avis source ou le DCE avant decision commerciale.</t>
        </is>
      </c>
      <c r="AS28" t="inlineStr">
        <is>
          <t>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26-57313. Objet: Entretien des toitures et des terrasses des sites : H. MONDOR – A. CHENEVIER – E. ROUX – DUPUYTREN – G. CLEMENCEAU. Acheteur: Hopitaux Universitaires Henri Mondor. Lien: https://www.boamp.fr/pages/avis/?q=idweb:26-57313.</t>
        </is>
      </c>
      <c r="AU28" t="inlineStr">
        <is>
          <t>Verifier url_avis et DCE si disponible</t>
        </is>
      </c>
      <c r="AV28" t="inlineStr">
        <is>
          <t>LIEN_SEUL</t>
        </is>
      </c>
      <c r="AW28" t="inlineStr"/>
      <c r="AX28" t="inlineStr"/>
      <c r="AY28" t="inlineStr"/>
      <c r="AZ28" t="inlineStr"/>
      <c r="BA28" t="inlineStr"/>
      <c r="BB28" t="inlineStr">
        <is>
          <t>+30 mots-cles nettoyage forts | +10 budget non affiche (a verifier) | +10 delai confortable 24j</t>
        </is>
      </c>
      <c r="BC28" t="inlineStr">
        <is>
          <t>Hopitaux Universitaires Henri Mondor publie un AO potentiellement pertinent pour CHRUTH : Entretien des toitures et des terrasses des sites : H. MONDOR – A. CHENEVIER – E. ROUX – DUPUYTREN – G. CLEMENCEAU. Zone : 75,77,78,91,92,93,94,95. Budget a verifier. Verifier le lien source avant contact.</t>
        </is>
      </c>
      <c r="BD28" t="inlineStr">
        <is>
          <t>Bonjour,
Je me permets de vous contacter au sujet de votre appel d'offres : Entretien des toitures et des terrasses des sites : H. MONDOR – A. CHENEVIER – E. ROUX – DUPUYTREN – G. CLEMENCEAU.
CHRUTH accompagne les structures publiques et privees sur les besoins de nettoyage, d'entretien des locaux et d'organisation de prestations de service.
Serait-il possible d'echanger rapidement afin de verifier les modalites de reponse et les attentes de Hopitaux Universitaires Henri Mondor ?
Cordialement,</t>
        </is>
      </c>
      <c r="BE28" t="inlineStr">
        <is>
          <t>Bonjour, je vous appelle concernant un appel d'offres publie par Hopitaux Universitaires Henri Mondor. Je souhaite verifier les informations pratiques : perimetre des prestations, date limite, modalites de visite, contact technique et pieces attendues. Pouvez-vous m'indiquer la bonne personne a contacter ?</t>
        </is>
      </c>
      <c r="BF28" t="inlineStr"/>
      <c r="BG28" t="inlineStr"/>
      <c r="BH28" t="inlineStr"/>
      <c r="BI28" t="inlineStr"/>
      <c r="BJ28" t="inlineStr"/>
      <c r="BK28" t="inlineStr"/>
      <c r="BL28" t="inlineStr"/>
      <c r="BM28" t="inlineStr">
        <is>
          <t>2026-W24</t>
        </is>
      </c>
    </row>
    <row r="29">
      <c r="A29" t="inlineStr">
        <is>
          <t>BOAMP</t>
        </is>
      </c>
      <c r="B29" t="inlineStr">
        <is>
          <t>26-56245</t>
        </is>
      </c>
      <c r="C29" t="inlineStr">
        <is>
          <t>PRESTATION DE NETTOYAGE DES LOCAUX DU CREPS ÎLE-DE-FRANCE</t>
        </is>
      </c>
      <c r="D29" t="inlineStr">
        <is>
          <t>CREPS Île-de-France</t>
        </is>
      </c>
      <c r="E29" t="inlineStr">
        <is>
          <t>19921619300037</t>
        </is>
      </c>
      <c r="F29" t="inlineStr">
        <is>
          <t>199216193</t>
        </is>
      </c>
      <c r="G29" t="inlineStr"/>
      <c r="H29" t="inlineStr"/>
      <c r="I29" t="inlineStr">
        <is>
          <t>accueil@creps-idf.fr</t>
        </is>
      </c>
      <c r="J29" t="inlineStr">
        <is>
          <t>+33 141872030</t>
        </is>
      </c>
      <c r="K29" t="inlineStr"/>
      <c r="L29" t="inlineStr"/>
      <c r="M29" t="inlineStr"/>
      <c r="N29" t="inlineStr">
        <is>
          <t>92</t>
        </is>
      </c>
      <c r="O29" t="inlineStr"/>
      <c r="P29" t="inlineStr">
        <is>
          <t>Ile-de-France</t>
        </is>
      </c>
      <c r="Q29" s="15" t="n">
        <v>46182</v>
      </c>
      <c r="R29" s="15" t="n">
        <v>46205</v>
      </c>
      <c r="S29" t="inlineStr"/>
      <c r="T29" t="inlineStr">
        <is>
          <t>A_VERIFIER_BUDGET</t>
        </is>
      </c>
      <c r="U29" t="inlineStr"/>
      <c r="V29" t="inlineStr">
        <is>
          <t>non</t>
        </is>
      </c>
      <c r="W29" t="inlineStr">
        <is>
          <t>Vitres</t>
        </is>
      </c>
      <c r="X29" t="inlineStr">
        <is>
          <t>Autre</t>
        </is>
      </c>
      <c r="Y29" t="inlineStr">
        <is>
          <t>SERVICES</t>
        </is>
      </c>
      <c r="Z29" t="inlineStr">
        <is>
          <t>Procédure Ouverte</t>
        </is>
      </c>
      <c r="AA29" t="inlineStr">
        <is>
          <t>Avis de marché</t>
        </is>
      </c>
      <c r="AB29" t="inlineStr">
        <is>
          <t>Nettoyage de locaux</t>
        </is>
      </c>
      <c r="AC29" t="inlineStr"/>
      <c r="AD29" s="11" t="inlineStr">
        <is>
          <t>https://www.boamp.fr/pages/avis/?q=idweb:26-56245</t>
        </is>
      </c>
      <c r="AE29" t="inlineStr">
        <is>
          <t>https://marches.maximilien.fr/entreprise/consultation/940630?orgAcronyme=a0t</t>
        </is>
      </c>
      <c r="AF29" t="inlineStr">
        <is>
          <t>https://marches.maximilien.fr/entreprise/consultation/940630?orgAcronyme=a0t</t>
        </is>
      </c>
      <c r="AG29" t="inlineStr">
        <is>
          <t>nettoyage</t>
        </is>
      </c>
      <c r="AH29" t="inlineStr">
        <is>
          <t>3</t>
        </is>
      </c>
      <c r="AI29" t="inlineStr">
        <is>
          <t>68</t>
        </is>
      </c>
      <c r="AJ29" t="inlineStr">
        <is>
          <t>INFO_PARTIELLE</t>
        </is>
      </c>
      <c r="AK29" t="inlineStr">
        <is>
          <t>50</t>
        </is>
      </c>
      <c r="AL29" t="inlineStr">
        <is>
          <t>TIEDE</t>
        </is>
      </c>
      <c r="AM29" t="inlineStr"/>
      <c r="AN29" t="inlineStr"/>
      <c r="AO29" t="inlineStr"/>
      <c r="AP29" t="inlineStr"/>
      <c r="AQ29" t="inlineStr">
        <is>
          <t>IA_BUDGET_A_VERIFIER</t>
        </is>
      </c>
      <c r="AR29" t="inlineStr">
        <is>
          <t>Verifier le budget dans l'avis source ou le DCE avant decision commerciale.</t>
        </is>
      </c>
      <c r="AS29" t="inlineStr">
        <is>
          <t>adresse, ville, budget</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26-56245. Objet: PRESTATION DE NETTOYAGE DES LOCAUX DU CREPS ÎLE-DE-FRANCE. Acheteur: CREPS Île-de-France. Lien: https://www.boamp.fr/pages/avis/?q=idweb:26-56245.</t>
        </is>
      </c>
      <c r="AU29" t="inlineStr">
        <is>
          <t>Verifier url_avis et DCE si disponible</t>
        </is>
      </c>
      <c r="AV29" t="inlineStr">
        <is>
          <t>LIEN_SEUL</t>
        </is>
      </c>
      <c r="AW29" t="inlineStr"/>
      <c r="AX29" t="inlineStr"/>
      <c r="AY29" t="inlineStr"/>
      <c r="AZ29" t="inlineStr"/>
      <c r="BA29" t="inlineStr"/>
      <c r="BB29" t="inlineStr">
        <is>
          <t>+35 nettoyage + categorie claire | +10 budget non affiche (a verifier) | +5 delai court 10j</t>
        </is>
      </c>
      <c r="BC29" t="inlineStr">
        <is>
          <t>CREPS Île-de-France publie un AO potentiellement pertinent pour CHRUTH : PRESTATION DE NETTOYAGE DES LOCAUX DU CREPS ÎLE-DE-FRANCE. Zone : 92. Budget a verifier. Verifier le lien source avant contact.</t>
        </is>
      </c>
      <c r="BD29" t="inlineStr">
        <is>
          <t>Bonjour,
Je me permets de vous contacter au sujet de votre appel d'offres : PRESTATION DE NETTOYAGE DES LOCAUX DU CREPS ÎLE-DE-FRANCE.
CHRUTH accompagne les structures publiques et privees sur les besoins de nettoyage, d'entretien des locaux et d'organisation de prestations de service.
Serait-il possible d'echanger rapidement afin de verifier les modalites de reponse et les attentes de CREPS Île-de-France ?
Cordialement,</t>
        </is>
      </c>
      <c r="BE29" t="inlineStr">
        <is>
          <t>Bonjour, je vous appelle concernant un appel d'offres publie par CREPS Île-de-France. Je souhaite verifier les informations pratiques : perimetre des prestations, date limite, modalites de visite, contact technique et pieces attendues. Pouvez-vous m'indiquer la bonne personne a contacter ?</t>
        </is>
      </c>
      <c r="BF29" t="inlineStr"/>
      <c r="BG29" t="inlineStr"/>
      <c r="BH29" t="inlineStr"/>
      <c r="BI29" t="inlineStr"/>
      <c r="BJ29" t="inlineStr"/>
      <c r="BK29" t="inlineStr"/>
      <c r="BL29" t="inlineStr"/>
      <c r="BM29" t="inlineStr">
        <is>
          <t>2026-W24</t>
        </is>
      </c>
    </row>
    <row r="30">
      <c r="A30" t="inlineStr">
        <is>
          <t>MAXIMILIEN</t>
        </is>
      </c>
      <c r="B30" t="inlineStr">
        <is>
          <t>MX-b6801bdc5d3e</t>
        </is>
      </c>
      <c r="C30" t="inlineStr">
        <is>
          <t>CHRUTH - 1 nouveaux AO nettoyage IDF =?utf-8?q?=28apr=C3=A8s-midi?=
 05/07)</t>
        </is>
      </c>
      <c r="D30" t="inlineStr">
        <is>
          <t>Epms Fondation Hardy</t>
        </is>
      </c>
      <c r="E30" t="inlineStr"/>
      <c r="F30" t="inlineStr"/>
      <c r="G30" t="inlineStr"/>
      <c r="H30" t="inlineStr"/>
      <c r="I30" t="inlineStr"/>
      <c r="J30" t="inlineStr"/>
      <c r="K30" t="inlineStr"/>
      <c r="L30" t="inlineStr"/>
      <c r="M30" t="inlineStr"/>
      <c r="N30" t="inlineStr"/>
      <c r="O30" t="inlineStr"/>
      <c r="P30" t="inlineStr"/>
      <c r="Q30" s="15" t="n">
        <v>46208</v>
      </c>
      <c r="R30" t="inlineStr"/>
      <c r="S30" t="inlineStr"/>
      <c r="T30" t="inlineStr">
        <is>
          <t>A_VERIFIER_BUDGET</t>
        </is>
      </c>
      <c r="U30" t="inlineStr"/>
      <c r="V30" t="inlineStr"/>
      <c r="W30" t="inlineStr">
        <is>
          <t>Batiments/Locaux</t>
        </is>
      </c>
      <c r="X30" t="inlineStr">
        <is>
          <t>Autre</t>
        </is>
      </c>
      <c r="Y30" t="inlineStr"/>
      <c r="Z30" t="inlineStr"/>
      <c r="AA30" t="inlineStr"/>
      <c r="AB30" t="inlineStr"/>
      <c r="AC30" t="inlineStr"/>
      <c r="AD30" s="11" t="inlineStr">
        <is>
          <t>https://marches.maximilien.fr/entreprise/consultation/942574?orgAcronyme=a1i</t>
        </is>
      </c>
      <c r="AE30" t="inlineStr">
        <is>
          <t>https://marches.maximilien.fr/entreprise/consultation/942574?orgAcronyme=a1i</t>
        </is>
      </c>
      <c r="AF30" t="inlineStr"/>
      <c r="AG30" t="inlineStr">
        <is>
          <t>nettoyage</t>
        </is>
      </c>
      <c r="AH30" t="inlineStr"/>
      <c r="AI30" t="inlineStr">
        <is>
          <t>30</t>
        </is>
      </c>
      <c r="AJ30" t="inlineStr">
        <is>
          <t>DCE_A_TELECHARGER</t>
        </is>
      </c>
      <c r="AK30" t="inlineStr">
        <is>
          <t>45</t>
        </is>
      </c>
      <c r="AL30" s="16" t="inlineStr">
        <is>
          <t>A_VERIFIER</t>
        </is>
      </c>
      <c r="AM30" t="inlineStr"/>
      <c r="AN30" t="inlineStr"/>
      <c r="AO30" t="inlineStr"/>
      <c r="AP30" t="inlineStr"/>
      <c r="AQ30" t="inlineStr">
        <is>
          <t>IA_DCE_REQUISE</t>
        </is>
      </c>
      <c r="AR30" t="inlineStr">
        <is>
          <t>Telecharger ou ouvrir le DCE, puis extraire contact, budget, perimetre et contraintes.</t>
        </is>
      </c>
      <c r="AS30" t="inlineStr">
        <is>
          <t>SIRET, email, telephone,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MX-b6801bdc5d3e. Objet: CHRUTH - 1 nouveaux AO nettoyage IDF =?utf-8?q?=28apr=C3=A8s-midi?=
 05/07). Acheteur: Epms Fondation Hardy. Lien: https://marches.maximilien.fr/entreprise/consultation/942574?orgAcronyme=a1i.</t>
        </is>
      </c>
      <c r="AU30" t="inlineStr">
        <is>
          <t>Verifier url_avis et DCE si disponible</t>
        </is>
      </c>
      <c r="AV30" t="inlineStr">
        <is>
          <t>LIEN_SEUL</t>
        </is>
      </c>
      <c r="AW30" t="inlineStr"/>
      <c r="AX30" t="inlineStr"/>
      <c r="AY30" t="inlineStr"/>
      <c r="AZ30" t="inlineStr"/>
      <c r="BA30" t="inlineStr"/>
      <c r="BB30" t="inlineStr">
        <is>
          <t>+35 nettoyage + categorie claire | +10 budget non affiche (a verifier) | 0 date limite absente</t>
        </is>
      </c>
      <c r="BC30" t="inlineStr"/>
      <c r="BD30" t="inlineStr"/>
      <c r="BE30" t="inlineStr"/>
      <c r="BF30" t="inlineStr"/>
      <c r="BG30" t="inlineStr"/>
      <c r="BH30" t="inlineStr"/>
      <c r="BI30" t="inlineStr"/>
      <c r="BJ30" t="inlineStr"/>
      <c r="BK30" t="inlineStr"/>
      <c r="BL30" t="inlineStr"/>
      <c r="BM30" t="inlineStr">
        <is>
          <t>2026-W27</t>
        </is>
      </c>
    </row>
    <row r="31">
      <c r="A31" t="inlineStr">
        <is>
          <t>BOAMP</t>
        </is>
      </c>
      <c r="B31" t="inlineStr">
        <is>
          <t>26-60829</t>
        </is>
      </c>
      <c r="C31" t="inlineStr">
        <is>
          <t>Prestation de propreté des espaces verts de la ville d'Alfortville</t>
        </is>
      </c>
      <c r="D31" t="inlineStr">
        <is>
          <t>Commune d'Alfortville</t>
        </is>
      </c>
      <c r="E31" t="inlineStr">
        <is>
          <t>21940002500017</t>
        </is>
      </c>
      <c r="F31" t="inlineStr">
        <is>
          <t>219400025</t>
        </is>
      </c>
      <c r="G31" t="inlineStr"/>
      <c r="H31" t="inlineStr"/>
      <c r="I31" t="inlineStr">
        <is>
          <t>etienne.ouatiki@alfortville.fr</t>
        </is>
      </c>
      <c r="J31" t="inlineStr">
        <is>
          <t>0158732900</t>
        </is>
      </c>
      <c r="K31" t="inlineStr"/>
      <c r="L31" t="inlineStr"/>
      <c r="M31" t="inlineStr"/>
      <c r="N31" t="inlineStr">
        <is>
          <t>94</t>
        </is>
      </c>
      <c r="O31" t="inlineStr"/>
      <c r="P31" t="inlineStr">
        <is>
          <t>Ile-de-France</t>
        </is>
      </c>
      <c r="Q31" s="15" t="n">
        <v>46194</v>
      </c>
      <c r="R31" s="15" t="n">
        <v>46223</v>
      </c>
      <c r="S31" t="inlineStr"/>
      <c r="T31" t="inlineStr">
        <is>
          <t>A_VERIFIER_BUDGET</t>
        </is>
      </c>
      <c r="U31" t="inlineStr"/>
      <c r="V31" t="inlineStr">
        <is>
          <t>non</t>
        </is>
      </c>
      <c r="W31" t="inlineStr">
        <is>
          <t>Mixte/Autre</t>
        </is>
      </c>
      <c r="X31" t="inlineStr">
        <is>
          <t>Autre</t>
        </is>
      </c>
      <c r="Y31" t="inlineStr">
        <is>
          <t>SERVICES</t>
        </is>
      </c>
      <c r="Z31" t="inlineStr">
        <is>
          <t>Procédure Ouverte</t>
        </is>
      </c>
      <c r="AA31" t="inlineStr">
        <is>
          <t>Avis de marché</t>
        </is>
      </c>
      <c r="AB31" t="inlineStr">
        <is>
          <t>Espaces verts</t>
        </is>
      </c>
      <c r="AC31" t="inlineStr"/>
      <c r="AD31" s="11" t="inlineStr">
        <is>
          <t>https://www.boamp.fr/pages/avis/?q=idweb:26-60829</t>
        </is>
      </c>
      <c r="AE31" t="inlineStr">
        <is>
          <t>https://www.maximilien.fr/</t>
        </is>
      </c>
      <c r="AF31" t="inlineStr">
        <is>
          <t>https://www.maximilien.fr/</t>
        </is>
      </c>
      <c r="AG31" t="inlineStr">
        <is>
          <t>proprete</t>
        </is>
      </c>
      <c r="AH31" t="inlineStr">
        <is>
          <t>3</t>
        </is>
      </c>
      <c r="AI31" t="inlineStr">
        <is>
          <t>68</t>
        </is>
      </c>
      <c r="AJ31" t="inlineStr">
        <is>
          <t>INFO_PARTIELLE</t>
        </is>
      </c>
      <c r="AK31" t="inlineStr">
        <is>
          <t>45</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26-60829. Objet: Prestation de propreté des espaces verts de la ville d'Alfortville. Acheteur: Commune d'Alfortville. Lien: https://www.boamp.fr/pages/avis/?q=idweb:26-60829.</t>
        </is>
      </c>
      <c r="AU31" t="inlineStr">
        <is>
          <t>Verifier url_avis et DCE si disponible</t>
        </is>
      </c>
      <c r="AV31" t="inlineStr">
        <is>
          <t>LIEN_SEUL</t>
        </is>
      </c>
      <c r="AW31" t="inlineStr"/>
      <c r="AX31" t="inlineStr"/>
      <c r="AY31" t="inlineStr"/>
      <c r="AZ31" t="inlineStr"/>
      <c r="BA31" t="inlineStr"/>
      <c r="BB31" t="inlineStr">
        <is>
          <t>+30 mots-cles nettoyage forts | +10 budget non affiche (a verifier) | +5 delai court 15j</t>
        </is>
      </c>
      <c r="BC31" t="inlineStr">
        <is>
          <t>Commune d'Alfortville publie un AO potentiellement pertinent pour CHRUTH : Prestation de propreté des espaces verts de la ville d'Alfortville. Zone : 94. Budget a verifier. Verifier le lien source avant contact.</t>
        </is>
      </c>
      <c r="BD31" t="inlineStr">
        <is>
          <t>Bonjour,
Je me permets de vous contacter au sujet de votre appel d'offres : Prestation de propreté des espaces verts de la ville d'Alfortville.
CHRUTH accompagne les structures publiques et privées sur les besoins de nettoyage, d'entretien des locaux et d'organisation de prestations de service.
Serait-il possible d'échanger rapidement afin de vérifier les modalités de réponse et les attentes de Commune d'Alfortville ?
Cordialement,</t>
        </is>
      </c>
      <c r="BE31" t="inlineStr">
        <is>
          <t>Bonjour, je vous appelle concernant un appel d'offres publié par Commune d'Alfortville.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2026-W25</t>
        </is>
      </c>
    </row>
    <row r="32">
      <c r="A32" t="inlineStr">
        <is>
          <t>MAXIMILIEN</t>
        </is>
      </c>
      <c r="B32" t="inlineStr">
        <is>
          <t>MX-249ac2b2b557</t>
        </is>
      </c>
      <c r="C32" t="inlineStr">
        <is>
          <t>CHRUTH - 5 nouveaux AO nettoyage IDF (apres-midi 21/06)</t>
        </is>
      </c>
      <c r="D32" t="inlineStr"/>
      <c r="E32" t="inlineStr"/>
      <c r="F32" t="inlineStr"/>
      <c r="G32" t="inlineStr"/>
      <c r="H32" t="inlineStr"/>
      <c r="I32" t="inlineStr"/>
      <c r="J32" t="inlineStr"/>
      <c r="K32" t="inlineStr"/>
      <c r="L32" t="inlineStr"/>
      <c r="M32" t="inlineStr"/>
      <c r="N32" t="inlineStr"/>
      <c r="O32" t="inlineStr"/>
      <c r="P32" t="inlineStr"/>
      <c r="Q32" s="15" t="n">
        <v>46194</v>
      </c>
      <c r="R32" t="inlineStr"/>
      <c r="S32" t="inlineStr"/>
      <c r="T32" t="inlineStr">
        <is>
          <t>A_VERIFIER_BUDGET</t>
        </is>
      </c>
      <c r="U32" t="inlineStr"/>
      <c r="V32" t="inlineStr"/>
      <c r="W32" t="inlineStr">
        <is>
          <t>Batiments/Locaux</t>
        </is>
      </c>
      <c r="X32" t="inlineStr">
        <is>
          <t>Autre</t>
        </is>
      </c>
      <c r="Y32" t="inlineStr"/>
      <c r="Z32" t="inlineStr"/>
      <c r="AA32" t="inlineStr"/>
      <c r="AB32" t="inlineStr"/>
      <c r="AC32" t="inlineStr"/>
      <c r="AD32" s="11" t="inlineStr">
        <is>
          <t>https://marches.maximilien.fr/entreprise/consultation/941627?orgAcronyme=d7d</t>
        </is>
      </c>
      <c r="AE32" t="inlineStr">
        <is>
          <t>https://marches.maximilien.fr/entreprise/consultation/941627?orgAcronyme=d7d</t>
        </is>
      </c>
      <c r="AF32" t="inlineStr"/>
      <c r="AG32" t="inlineStr">
        <is>
          <t>nettoyage</t>
        </is>
      </c>
      <c r="AH32" t="inlineStr"/>
      <c r="AI32" t="inlineStr">
        <is>
          <t>30</t>
        </is>
      </c>
      <c r="AJ32" t="inlineStr">
        <is>
          <t>DCE_A_TELECHARGER</t>
        </is>
      </c>
      <c r="AK32" t="inlineStr">
        <is>
          <t>45</t>
        </is>
      </c>
      <c r="AL32" s="16" t="inlineStr">
        <is>
          <t>A_VERIFIER</t>
        </is>
      </c>
      <c r="AM32" t="inlineStr"/>
      <c r="AN32" t="inlineStr"/>
      <c r="AO32" t="inlineStr"/>
      <c r="AP32" t="inlineStr"/>
      <c r="AQ32" t="inlineStr">
        <is>
          <t>IA_DCE_REQUISE</t>
        </is>
      </c>
      <c r="AR32" t="inlineStr">
        <is>
          <t>Telecharger ou ouvrir le DCE, puis extraire contact, budget, perimetre et contraintes.</t>
        </is>
      </c>
      <c r="AS32" t="inlineStr">
        <is>
          <t>SIRET, email, telephone, 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MX-249ac2b2b557. Objet: CHRUTH - 5 nouveaux AO nettoyage IDF (apres-midi 21/06). Acheteur: . Lien: https://marches.maximilien.fr/entreprise/consultation/941627?orgAcronyme=d7d.</t>
        </is>
      </c>
      <c r="AU32" t="inlineStr">
        <is>
          <t>Verifier url_avis et DCE si disponible</t>
        </is>
      </c>
      <c r="AV32" t="inlineStr">
        <is>
          <t>LIEN_SEUL</t>
        </is>
      </c>
      <c r="AW32" t="inlineStr"/>
      <c r="AX32" t="inlineStr"/>
      <c r="AY32" t="inlineStr"/>
      <c r="AZ32" t="inlineStr"/>
      <c r="BA32" t="inlineStr"/>
      <c r="BB32" t="inlineStr">
        <is>
          <t>+35 nettoyage + categorie claire | +10 budget non affiche (a verifier) | 0 date limite absente</t>
        </is>
      </c>
      <c r="BC32" t="inlineStr"/>
      <c r="BD32" t="inlineStr"/>
      <c r="BE32" t="inlineStr"/>
      <c r="BF32" t="inlineStr"/>
      <c r="BG32" t="inlineStr"/>
      <c r="BH32" t="inlineStr"/>
      <c r="BI32" t="inlineStr"/>
      <c r="BJ32" t="inlineStr"/>
      <c r="BK32" t="inlineStr"/>
      <c r="BL32" t="inlineStr"/>
      <c r="BM32" t="inlineStr">
        <is>
          <t>2026-W25</t>
        </is>
      </c>
    </row>
    <row r="33">
      <c r="A33" t="inlineStr">
        <is>
          <t>MAXIMILIEN</t>
        </is>
      </c>
      <c r="B33" t="inlineStr">
        <is>
          <t>MX-baa796e6137e</t>
        </is>
      </c>
      <c r="C33" t="inlineStr">
        <is>
          <t>CHRUTH - 4 nouveaux AO nettoyage IDF (apres-midi 17/06)</t>
        </is>
      </c>
      <c r="D33" t="inlineStr"/>
      <c r="E33" t="inlineStr"/>
      <c r="F33" t="inlineStr"/>
      <c r="G33" t="inlineStr"/>
      <c r="H33" t="inlineStr"/>
      <c r="I33" t="inlineStr"/>
      <c r="J33" t="inlineStr"/>
      <c r="K33" t="inlineStr"/>
      <c r="L33" t="inlineStr"/>
      <c r="M33" t="inlineStr"/>
      <c r="N33" t="inlineStr"/>
      <c r="O33" t="inlineStr"/>
      <c r="P33" t="inlineStr"/>
      <c r="Q33" s="15" t="n">
        <v>46190</v>
      </c>
      <c r="R33" t="inlineStr"/>
      <c r="S33" t="inlineStr"/>
      <c r="T33" t="inlineStr">
        <is>
          <t>A_VERIFIER_BUDGET</t>
        </is>
      </c>
      <c r="U33" t="inlineStr"/>
      <c r="V33" t="inlineStr"/>
      <c r="W33" t="inlineStr">
        <is>
          <t>Batiments/Locaux</t>
        </is>
      </c>
      <c r="X33" t="inlineStr">
        <is>
          <t>Autre</t>
        </is>
      </c>
      <c r="Y33" t="inlineStr"/>
      <c r="Z33" t="inlineStr"/>
      <c r="AA33" t="inlineStr"/>
      <c r="AB33" t="inlineStr"/>
      <c r="AC33" t="inlineStr"/>
      <c r="AD33" s="11" t="inlineStr">
        <is>
          <t>https://marches.maximilien.fr/entreprise/consultation/939069?orgAcronyme=d8e</t>
        </is>
      </c>
      <c r="AE33" t="inlineStr">
        <is>
          <t>https://marches.maximilien.fr/entreprise/consultation/939069?orgAcronyme=d8e</t>
        </is>
      </c>
      <c r="AF33" t="inlineStr"/>
      <c r="AG33" t="inlineStr">
        <is>
          <t>nettoyage</t>
        </is>
      </c>
      <c r="AH33" t="inlineStr"/>
      <c r="AI33" t="inlineStr">
        <is>
          <t>30</t>
        </is>
      </c>
      <c r="AJ33" t="inlineStr">
        <is>
          <t>DCE_A_TELECHARGER</t>
        </is>
      </c>
      <c r="AK33" t="inlineStr">
        <is>
          <t>45</t>
        </is>
      </c>
      <c r="AL33" s="16" t="inlineStr">
        <is>
          <t>A_VERIFIER</t>
        </is>
      </c>
      <c r="AM33" t="inlineStr"/>
      <c r="AN33" t="inlineStr"/>
      <c r="AO33" t="inlineStr"/>
      <c r="AP33" t="inlineStr"/>
      <c r="AQ33" t="inlineStr">
        <is>
          <t>IA_DCE_REQUISE</t>
        </is>
      </c>
      <c r="AR33" t="inlineStr">
        <is>
          <t>Telecharger ou ouvrir le DCE, puis extraire contact, budget, perimetre et contraintes.</t>
        </is>
      </c>
      <c r="AS33" t="inlineStr">
        <is>
          <t>SIRET, email, telephone, 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MX-baa796e6137e. Objet: CHRUTH - 4 nouveaux AO nettoyage IDF (apres-midi 17/06). Acheteur: . Lien: https://marches.maximilien.fr/entreprise/consultation/939069?orgAcronyme=d8e.</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0 date limite absente</t>
        </is>
      </c>
      <c r="BC33" t="inlineStr"/>
      <c r="BD33" t="inlineStr"/>
      <c r="BE33" t="inlineStr"/>
      <c r="BF33" t="inlineStr"/>
      <c r="BG33" t="inlineStr"/>
      <c r="BH33" t="inlineStr"/>
      <c r="BI33" t="inlineStr"/>
      <c r="BJ33" t="inlineStr"/>
      <c r="BK33" t="inlineStr"/>
      <c r="BL33" t="inlineStr"/>
      <c r="BM33" t="inlineStr">
        <is>
          <t>2026-W25</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s>
  <pageMargins left="0.75" right="0.75" top="1" bottom="1" header="0.5" footer="0.5"/>
  <tableParts count="1">
    <tablePart xmlns:r="http://schemas.openxmlformats.org/officeDocument/2006/relationships" r:id="rId33"/>
  </tableParts>
</worksheet>
</file>

<file path=xl/worksheets/sheet9.xml><?xml version="1.0" encoding="utf-8"?>
<worksheet xmlns="http://schemas.openxmlformats.org/spreadsheetml/2006/main">
  <sheetPr>
    <outlinePr summaryBelow="1" summaryRight="1"/>
    <pageSetUpPr/>
  </sheetPr>
  <dimension ref="A1:G35"/>
  <sheetViews>
    <sheetView workbookViewId="0">
      <pane xSplit="2" ySplit="1" topLeftCell="C2" activePane="bottomRight" state="frozen"/>
      <selection pane="topRight"/>
      <selection pane="bottomLeft"/>
      <selection pane="bottomRight" activeCell="A1" sqref="A1"/>
    </sheetView>
  </sheetViews>
  <sheetFormatPr baseColWidth="8" defaultRowHeight="15"/>
  <cols>
    <col width="17" customWidth="1" min="1" max="1"/>
    <col width="55" customWidth="1" min="2" max="2"/>
    <col width="55" customWidth="1" min="3" max="3"/>
    <col width="55" customWidth="1" min="4" max="4"/>
    <col width="55" customWidth="1" min="5" max="5"/>
    <col width="12" customWidth="1" min="6" max="6"/>
    <col width="21" customWidth="1" min="7" max="7"/>
  </cols>
  <sheetData>
    <row r="1">
      <c r="A1" s="12" t="inlineStr">
        <is>
          <t>id_ao</t>
        </is>
      </c>
      <c r="B1" s="12" t="inlineStr">
        <is>
          <t>objet</t>
        </is>
      </c>
      <c r="C1" s="12" t="inlineStr">
        <is>
          <t>acheteur</t>
        </is>
      </c>
      <c r="D1" s="12" t="inlineStr">
        <is>
          <t>url_dce</t>
        </is>
      </c>
      <c r="E1" s="12" t="inlineStr">
        <is>
          <t>url_profil_acheteur</t>
        </is>
      </c>
      <c r="F1" s="12" t="inlineStr">
        <is>
          <t>dce_statut</t>
        </is>
      </c>
      <c r="G1" s="12" t="inlineStr">
        <is>
          <t>fichier_attendu</t>
        </is>
      </c>
    </row>
    <row r="2">
      <c r="A2" t="inlineStr">
        <is>
          <t>26-57399</t>
        </is>
      </c>
      <c r="B2" t="inlineStr">
        <is>
          <t>Prestations de nettoyage de certains équipements de protection individuelle (EPI) et vêtements de travail professionnels</t>
        </is>
      </c>
      <c r="C2" t="inlineStr">
        <is>
          <t>MAIRIE DE ROMAINVILLE</t>
        </is>
      </c>
      <c r="D2" t="inlineStr">
        <is>
          <t>https://www.achatpublic.com/sdm/ent/gen/ent_detail.do?PCSLID=CSL_2026_XmI0UKhCKV</t>
        </is>
      </c>
      <c r="E2" t="inlineStr">
        <is>
          <t>https://www.achatpublic.com/sdm/ent/gen/ent_detail.do?PCSLID=CSL_2026_XmI0UKhCKV</t>
        </is>
      </c>
      <c r="F2" t="inlineStr">
        <is>
          <t>LIEN_SEUL</t>
        </is>
      </c>
      <c r="G2" t="inlineStr">
        <is>
          <t>26-57399.pdf</t>
        </is>
      </c>
    </row>
    <row r="3">
      <c r="A3" t="inlineStr">
        <is>
          <t>26-56654</t>
        </is>
      </c>
      <c r="B3" t="inlineStr">
        <is>
          <t>Prestations de bio-nettoyage, mise à blanc et mise à gris des zones à atmosphère contrôlée au profit du CTSA et de l'UMTI</t>
        </is>
      </c>
      <c r="C3" t="inlineStr">
        <is>
          <t>DAPSA/PFAF-S</t>
        </is>
      </c>
      <c r="D3" t="inlineStr">
        <is>
          <t>https://www.marches-publics.gouv.fr/entreprise</t>
        </is>
      </c>
      <c r="E3" t="inlineStr">
        <is>
          <t>https://www.marches-publics.gouv.fr/entreprise</t>
        </is>
      </c>
      <c r="F3" t="inlineStr">
        <is>
          <t>LIEN_SEUL</t>
        </is>
      </c>
      <c r="G3" t="inlineStr">
        <is>
          <t>26-56654.pdf</t>
        </is>
      </c>
    </row>
    <row r="4">
      <c r="A4" t="inlineStr">
        <is>
          <t>26-64286</t>
        </is>
      </c>
      <c r="B4" t="inlineStr">
        <is>
          <t>Prestations de nettoyage des locaux</t>
        </is>
      </c>
      <c r="C4" t="inlineStr">
        <is>
          <t>Commune de Montfermeil</t>
        </is>
      </c>
      <c r="D4" t="inlineStr">
        <is>
          <t>https://marches.maximilien.fr/?page=Entreprise.EntrepriseAdvancedSearch&amp;AllCons&amp;id=933515&amp;orgAcronyme=y0w</t>
        </is>
      </c>
      <c r="E4" t="inlineStr">
        <is>
          <t>https://marches.maximilien.fr/?page=Entreprise.EntrepriseAdvancedSearch&amp;AllCons&amp;id=933515&amp;orgAcronyme=y0w</t>
        </is>
      </c>
      <c r="F4" t="inlineStr">
        <is>
          <t>LIEN_SEUL</t>
        </is>
      </c>
      <c r="G4" t="inlineStr">
        <is>
          <t>26-64286.pdf</t>
        </is>
      </c>
    </row>
    <row r="5">
      <c r="A5" t="inlineStr">
        <is>
          <t>26-63518</t>
        </is>
      </c>
      <c r="B5" t="inlineStr">
        <is>
          <t>NETTOYAGE DES BÂTIMENTS COMMUNAUX</t>
        </is>
      </c>
      <c r="C5" t="inlineStr">
        <is>
          <t>MAIRIE DE SAINT-CLAIR-SUR6epte</t>
        </is>
      </c>
      <c r="D5" t="inlineStr">
        <is>
          <t>https://marches.maximilien.fr/entreprise/consultation/942071?orgAcronyme=d8o</t>
        </is>
      </c>
      <c r="E5" t="inlineStr">
        <is>
          <t>https://marches.maximilien.fr/entreprise/consultation/942071?orgAcronyme=d8o</t>
        </is>
      </c>
      <c r="F5" t="inlineStr">
        <is>
          <t>LIEN_SEUL</t>
        </is>
      </c>
      <c r="G5" t="inlineStr">
        <is>
          <t>26-63518.pdf</t>
        </is>
      </c>
    </row>
    <row r="6">
      <c r="A6" t="inlineStr">
        <is>
          <t>26-63201</t>
        </is>
      </c>
      <c r="B6" t="inlineStr">
        <is>
          <t>PRESTATION DE NETTOYAGE ET D'ENTRETIEN DES LOCAUX COMMUNAUX</t>
        </is>
      </c>
      <c r="C6" t="inlineStr">
        <is>
          <t>Commune de Saulx Les Chartreux</t>
        </is>
      </c>
      <c r="D6" t="inlineStr">
        <is>
          <t>https://www.achatpublic.com/sdm/ent/gen/ent_detail.do?PCSLID=CSL_2026_-rboFCvnvk</t>
        </is>
      </c>
      <c r="E6" t="inlineStr">
        <is>
          <t>https://www.achatpublic.com/sdm/ent/gen/ent_detail.do?PCSLID=CSL_2026_-rboFCvnvk</t>
        </is>
      </c>
      <c r="F6" t="inlineStr">
        <is>
          <t>LIEN_SEUL</t>
        </is>
      </c>
      <c r="G6" t="inlineStr">
        <is>
          <t>26-63201.pdf</t>
        </is>
      </c>
    </row>
    <row r="7">
      <c r="A7" t="inlineStr">
        <is>
          <t>26-62488</t>
        </is>
      </c>
      <c r="B7" t="inlineStr">
        <is>
          <t>Prestation de nettoyage des locaux et de la vitrerie</t>
        </is>
      </c>
      <c r="C7" t="inlineStr">
        <is>
          <t>ECOLE NATIONALE DES CHARTES</t>
        </is>
      </c>
      <c r="D7" t="inlineStr"/>
      <c r="E7" t="inlineStr"/>
      <c r="F7" t="inlineStr">
        <is>
          <t>AUCUN_LIEN</t>
        </is>
      </c>
      <c r="G7" t="inlineStr">
        <is>
          <t>26-62488.pdf</t>
        </is>
      </c>
    </row>
    <row r="8">
      <c r="A8" t="inlineStr">
        <is>
          <t>26-61263</t>
        </is>
      </c>
      <c r="B8" t="inlineStr">
        <is>
          <t>NETTOYAGE ET ENTRETIEN DES BATIMENTS COMMUNAUX</t>
        </is>
      </c>
      <c r="C8" t="inlineStr">
        <is>
          <t>MAIRIE DE MERIEL</t>
        </is>
      </c>
      <c r="D8" t="inlineStr">
        <is>
          <t>https://www.maximilien.fr</t>
        </is>
      </c>
      <c r="E8" t="inlineStr">
        <is>
          <t>https://www.maximilien.fr</t>
        </is>
      </c>
      <c r="F8" t="inlineStr">
        <is>
          <t>LIEN_SEUL</t>
        </is>
      </c>
      <c r="G8" t="inlineStr">
        <is>
          <t>26-61263.pdf</t>
        </is>
      </c>
    </row>
    <row r="9">
      <c r="A9" t="inlineStr">
        <is>
          <t>26-60231</t>
        </is>
      </c>
      <c r="B9" t="inlineStr">
        <is>
          <t>Nettoyage des locaux communaux et des vitreries des bâtiments communaux</t>
        </is>
      </c>
      <c r="C9" t="inlineStr">
        <is>
          <t>Ville de Fontenay-aux-Roses</t>
        </is>
      </c>
      <c r="D9" t="inlineStr">
        <is>
          <t>https://www.marches-publics.info/accueil.htm</t>
        </is>
      </c>
      <c r="E9" t="inlineStr">
        <is>
          <t>https://www.marches-publics.info/accueil.htm</t>
        </is>
      </c>
      <c r="F9" t="inlineStr">
        <is>
          <t>LIEN_SEUL</t>
        </is>
      </c>
      <c r="G9" t="inlineStr">
        <is>
          <t>26-60231.pdf</t>
        </is>
      </c>
    </row>
    <row r="10">
      <c r="A10" t="inlineStr">
        <is>
          <t>26-55118</t>
        </is>
      </c>
      <c r="B10" t="inlineStr">
        <is>
          <t>Nettoyage des locaux des bâtiments de la commune de Châtillon (92320)</t>
        </is>
      </c>
      <c r="C10" t="inlineStr">
        <is>
          <t>Commune de CHATILLON</t>
        </is>
      </c>
      <c r="D10" t="inlineStr">
        <is>
          <t>https://www.marches-publics.info</t>
        </is>
      </c>
      <c r="E10" t="inlineStr">
        <is>
          <t>https://www.marches-publics.info</t>
        </is>
      </c>
      <c r="F10" t="inlineStr">
        <is>
          <t>LIEN_SEUL</t>
        </is>
      </c>
      <c r="G10" t="inlineStr">
        <is>
          <t>26-55118.pdf</t>
        </is>
      </c>
    </row>
    <row r="11">
      <c r="A11" t="inlineStr">
        <is>
          <t>26-54753</t>
        </is>
      </c>
      <c r="B11" t="inlineStr">
        <is>
          <t>PRESTATIONS DE NETTOYAGE DE LA MAISON DES JEUNES ET DE LA MAISON DE L'ENFANCE ET DE LA FAMILLE DE LA COMMUNE BOISSY-SAINT-LEGER</t>
        </is>
      </c>
      <c r="C11" t="inlineStr">
        <is>
          <t>Mairie Boissy Saint Léger</t>
        </is>
      </c>
      <c r="D11" t="inlineStr">
        <is>
          <t>https://www.achatpublic.com/sdm/ent/gen/ent_detail.do?PCSLID=CSL_2026_Q0MbHTHdpI</t>
        </is>
      </c>
      <c r="E11" t="inlineStr">
        <is>
          <t>https://www.achatpublic.com/sdm/ent/gen/ent_detail.do?PCSLID=CSL_2026_Q0MbHTHdpI</t>
        </is>
      </c>
      <c r="F11" t="inlineStr">
        <is>
          <t>LIEN_SEUL</t>
        </is>
      </c>
      <c r="G11" t="inlineStr">
        <is>
          <t>26-54753.pdf</t>
        </is>
      </c>
    </row>
    <row r="12">
      <c r="A12" t="inlineStr">
        <is>
          <t>26-63220</t>
        </is>
      </c>
      <c r="B12" t="inlineStr">
        <is>
          <t>Prestations de propreté urbaine de la Ville de Choisy-le-Roi</t>
        </is>
      </c>
      <c r="C12" t="inlineStr">
        <is>
          <t>Mairie de Choisy-le-Roi</t>
        </is>
      </c>
      <c r="D12" t="inlineStr">
        <is>
          <t>https://www.achatpublic.com/sdm/ent/gen/ent_detail.do?PCSLID=CSL_2026_IDV3YK-Eq_</t>
        </is>
      </c>
      <c r="E12" t="inlineStr">
        <is>
          <t>https://www.achatpublic.com/sdm/ent/gen/ent_detail.do?PCSLID=CSL_2026_IDV3YK-Eq_</t>
        </is>
      </c>
      <c r="F12" t="inlineStr">
        <is>
          <t>LIEN_SEUL</t>
        </is>
      </c>
      <c r="G12" t="inlineStr">
        <is>
          <t>26-63220.pdf</t>
        </is>
      </c>
    </row>
    <row r="13">
      <c r="A13" t="inlineStr">
        <is>
          <t>26-62559</t>
        </is>
      </c>
      <c r="B13" t="inlineStr">
        <is>
          <t>Achat et livraison de produits, matériels  et consommables d'entretien pour la ville  de Villeneuve Saint Georges</t>
        </is>
      </c>
      <c r="C13" t="inlineStr">
        <is>
          <t>MAIRIE DE VILLENEUVE-SAINT-GEORGES</t>
        </is>
      </c>
      <c r="D13" t="inlineStr">
        <is>
          <t>https://www.achatpublic.com/sdm/ent/gen/ent_detail.do?PCSLID=CSL_2026_hmulkPQYm7</t>
        </is>
      </c>
      <c r="E13" t="inlineStr">
        <is>
          <t>https://www.achatpublic.com/sdm/ent/gen/ent_detail.do?PCSLID=CSL_2026_hmulkPQYm7</t>
        </is>
      </c>
      <c r="F13" t="inlineStr">
        <is>
          <t>LIEN_SEUL</t>
        </is>
      </c>
      <c r="G13" t="inlineStr">
        <is>
          <t>26-62559.pdf</t>
        </is>
      </c>
    </row>
    <row r="14">
      <c r="A14" t="inlineStr">
        <is>
          <t>26-58404</t>
        </is>
      </c>
      <c r="B14" t="inlineStr">
        <is>
          <t>Concession de service public portant sur la gestion et l'exploitation du Marché Saint-Louis pour le compte de la ville de Fontainebleau</t>
        </is>
      </c>
      <c r="C14" t="inlineStr">
        <is>
          <t>Ville De Fontainebleau</t>
        </is>
      </c>
      <c r="D14" t="inlineStr">
        <is>
          <t>http://www.fontainebleau.fr</t>
        </is>
      </c>
      <c r="E14" t="inlineStr"/>
      <c r="F14" t="inlineStr">
        <is>
          <t>LIEN_SEUL</t>
        </is>
      </c>
      <c r="G14" t="inlineStr">
        <is>
          <t>26-58404.pdf</t>
        </is>
      </c>
    </row>
    <row r="15">
      <c r="A15" t="inlineStr">
        <is>
          <t>26-55484</t>
        </is>
      </c>
      <c r="B15" t="inlineStr">
        <is>
          <t>Nettoyage Courant Et Remise En Etat De Locaux Sociaux Et Administratifs (sur tout le territoire Sitreva : département 27, 28 et 78)</t>
        </is>
      </c>
      <c r="C15" t="inlineStr">
        <is>
          <t>Sitreva</t>
        </is>
      </c>
      <c r="D15" t="inlineStr">
        <is>
          <t>https://www.marches-publics.info/mpiaws/index.cfm?fuseaction=dematent.login&amp;type=Dce&amp;Idm=1831542</t>
        </is>
      </c>
      <c r="E15" t="inlineStr">
        <is>
          <t>https://www.marches-publics.info/mpiaws/index.cfm?fuseaction=dematent.login&amp;type=Dce&amp;Idm=1831542</t>
        </is>
      </c>
      <c r="F15" t="inlineStr">
        <is>
          <t>LIEN_SEUL</t>
        </is>
      </c>
      <c r="G15" t="inlineStr">
        <is>
          <t>26-55484.pdf</t>
        </is>
      </c>
    </row>
    <row r="16">
      <c r="A16" t="inlineStr">
        <is>
          <t>26-66211</t>
        </is>
      </c>
      <c r="B16" t="inlineStr">
        <is>
          <t>Accord-cadre de prestations de nettoyage des bâtiments du Département de la Seine-Saint-Denis</t>
        </is>
      </c>
      <c r="C16" t="inlineStr">
        <is>
          <t>Département de la Seine-Saint-Denis</t>
        </is>
      </c>
      <c r="D16" t="inlineStr">
        <is>
          <t>https://www.marches-publics.info/mpiaws/index.cfm?fuseaction=dematEnt.login&amp;amp;type=DCE&amp;amp;IDM=1845738</t>
        </is>
      </c>
      <c r="E16" t="inlineStr">
        <is>
          <t>https://www.marches-publics.info/mpiaws/index.cfm?fuseaction=dematEnt.login&amp;amp;type=DCE&amp;amp;IDM=1845738</t>
        </is>
      </c>
      <c r="F16" t="inlineStr">
        <is>
          <t>LIEN_SEUL</t>
        </is>
      </c>
      <c r="G16" t="inlineStr">
        <is>
          <t>26-66211.pdf</t>
        </is>
      </c>
    </row>
    <row r="17">
      <c r="A17" t="inlineStr">
        <is>
          <t>26-66164</t>
        </is>
      </c>
      <c r="B17" t="inlineStr">
        <is>
          <t>PRESTATIONS DE NETTOYAGE CAF77</t>
        </is>
      </c>
      <c r="C17" t="inlineStr">
        <is>
          <t>CAF77</t>
        </is>
      </c>
      <c r="D17" t="inlineStr">
        <is>
          <t>https://www.marches-publics.gouv.fr/entreprise</t>
        </is>
      </c>
      <c r="E17" t="inlineStr">
        <is>
          <t>https://www.marches-publics.gouv.fr/entreprise</t>
        </is>
      </c>
      <c r="F17" t="inlineStr">
        <is>
          <t>LIEN_SEUL</t>
        </is>
      </c>
      <c r="G17" t="inlineStr">
        <is>
          <t>26-66164.pdf</t>
        </is>
      </c>
    </row>
    <row r="18">
      <c r="A18" t="inlineStr">
        <is>
          <t>26-66494</t>
        </is>
      </c>
      <c r="B18" t="inlineStr">
        <is>
          <t>ENTRETIEN DES LOCAUX POUR LES BESOINS DE L’EPMS DE LA FONDATION HARDY</t>
        </is>
      </c>
      <c r="C18" t="inlineStr">
        <is>
          <t>EPMS FONDATION HARDY</t>
        </is>
      </c>
      <c r="D18" t="inlineStr">
        <is>
          <t>https://marches.maximilien.fr/entreprise/consultation/942574?orgAcronyme=a1i</t>
        </is>
      </c>
      <c r="E18" t="inlineStr">
        <is>
          <t>https://marches.maximilien.fr/entreprise/consultation/942574?orgAcronyme=a1i</t>
        </is>
      </c>
      <c r="F18" t="inlineStr">
        <is>
          <t>LIEN_SEUL</t>
        </is>
      </c>
      <c r="G18" t="inlineStr">
        <is>
          <t>26-66494.pdf</t>
        </is>
      </c>
    </row>
    <row r="19">
      <c r="A19" t="inlineStr">
        <is>
          <t>MX-7858fdfde0f2</t>
        </is>
      </c>
      <c r="B19" t="inlineStr">
        <is>
          <t>CHRUTH - 3 nouveaux AO nettoyage IDF =?utf-8?q?=28apr=C3=A8s-midi?=
 03/07)</t>
        </is>
      </c>
      <c r="C19" t="inlineStr">
        <is>
          <t>Ville De Paris - Dfa - Sda</t>
        </is>
      </c>
      <c r="D19" t="inlineStr">
        <is>
          <t>https://marches.maximilien.fr/entreprise/consultation/939575?orgAcronyme=r8t</t>
        </is>
      </c>
      <c r="E19" t="inlineStr"/>
      <c r="F19" t="inlineStr">
        <is>
          <t>LIEN_SEUL</t>
        </is>
      </c>
      <c r="G19" t="inlineStr">
        <is>
          <t>MX-7858fdfde0f2.pdf</t>
        </is>
      </c>
    </row>
    <row r="20">
      <c r="A20" t="inlineStr">
        <is>
          <t>26-64372</t>
        </is>
      </c>
      <c r="B20" t="inlineStr">
        <is>
          <t>Marché public de prestations de services relatif au nettoyage des locaux administratifs du SIAH.</t>
        </is>
      </c>
      <c r="C20" t="inlineStr">
        <is>
          <t>SIAH (Syndicat Mixte d’Aménagement Hydraulique du Croult et du Petit Rosne)</t>
        </is>
      </c>
      <c r="D20" t="inlineStr">
        <is>
          <t>https://www.achatpublic.com/sdm/ent/gen/ent_detail.do?PCSLID=CSL_2026_Pbs6BRZ3AV</t>
        </is>
      </c>
      <c r="E20" t="inlineStr">
        <is>
          <t>https://www.achatpublic.com/sdm/ent/gen/ent_detail.do?PCSLID=CSL_2026_Pbs6BRZ3AV</t>
        </is>
      </c>
      <c r="F20" t="inlineStr">
        <is>
          <t>LIEN_SEUL</t>
        </is>
      </c>
      <c r="G20" t="inlineStr">
        <is>
          <t>26-64372.pdf</t>
        </is>
      </c>
    </row>
    <row r="21">
      <c r="A21" t="inlineStr">
        <is>
          <t>26-63717</t>
        </is>
      </c>
      <c r="B21" t="inlineStr">
        <is>
          <t>Nettoyage des locaux et des vitres des sites de la délégation Nouvelle Aquitaine du CNFPT</t>
        </is>
      </c>
      <c r="C21" t="inlineStr">
        <is>
          <t>CNFPT - Direction de l'achat public</t>
        </is>
      </c>
      <c r="D21" t="inlineStr">
        <is>
          <t>https://cnfpt.marches-publics.info/</t>
        </is>
      </c>
      <c r="E21" t="inlineStr">
        <is>
          <t>https://cnfpt.marches-publics.info/</t>
        </is>
      </c>
      <c r="F21" t="inlineStr">
        <is>
          <t>LIEN_SEUL</t>
        </is>
      </c>
      <c r="G21" t="inlineStr">
        <is>
          <t>26-63717.pdf</t>
        </is>
      </c>
    </row>
    <row r="22">
      <c r="A22" t="inlineStr">
        <is>
          <t>26-59151</t>
        </is>
      </c>
      <c r="B22" t="inlineStr">
        <is>
          <t>Prestations de nettoyage des surfaces vitrées, vitrines, baies vitrées, verrières et éléments assimilés des bâtiments de l’Université Paris 8 ainsi que de ses sites rattachés</t>
        </is>
      </c>
      <c r="C22" t="inlineStr">
        <is>
          <t>UNIVERSITE PARIS 8</t>
        </is>
      </c>
      <c r="D22" t="inlineStr">
        <is>
          <t>https://www.marches-publics.gouv.fr/entreprise</t>
        </is>
      </c>
      <c r="E22" t="inlineStr">
        <is>
          <t>https://www.marches-publics.gouv.fr/entreprise</t>
        </is>
      </c>
      <c r="F22" t="inlineStr">
        <is>
          <t>LIEN_SEUL</t>
        </is>
      </c>
      <c r="G22" t="inlineStr">
        <is>
          <t>26-59151.pdf</t>
        </is>
      </c>
    </row>
    <row r="23">
      <c r="A23" t="inlineStr">
        <is>
          <t>26-57705</t>
        </is>
      </c>
      <c r="B23" t="inlineStr">
        <is>
          <t>MARCHE PUBLIC RELATIF AU NETTOYAGE DES LOCAUX DE LA MISSION LOCALE DE PARIS</t>
        </is>
      </c>
      <c r="C23" t="inlineStr">
        <is>
          <t>MISSION LOCALE DE PARIS</t>
        </is>
      </c>
      <c r="D23" t="inlineStr">
        <is>
          <t>https://www.achatpublic.com/sdm/ent/gen/ent_detail.do?PCSLID=CSL_2026_GODJdYpugJ</t>
        </is>
      </c>
      <c r="E23" t="inlineStr">
        <is>
          <t>https://www.achatpublic.com/sdm/ent/gen/ent_detail.do?PCSLID=CSL_2026_GODJdYpugJ</t>
        </is>
      </c>
      <c r="F23" t="inlineStr">
        <is>
          <t>LIEN_SEUL</t>
        </is>
      </c>
      <c r="G23" t="inlineStr">
        <is>
          <t>26-57705.pdf</t>
        </is>
      </c>
    </row>
    <row r="24">
      <c r="A24" t="inlineStr">
        <is>
          <t>26-57778</t>
        </is>
      </c>
      <c r="B24" t="inlineStr">
        <is>
          <t>Prestations de nettoyage des surfaces vitrées, vitrines, baies vitrées, verrières et éléments assimilés des bâtiments de l’Université Paris 8 ainsi que de ses sites rattachés</t>
        </is>
      </c>
      <c r="C24" t="inlineStr">
        <is>
          <t>UNIVERSITE PARIS 8</t>
        </is>
      </c>
      <c r="D24" t="inlineStr">
        <is>
          <t>https://www.marches-publics.gouv.fr/entreprise</t>
        </is>
      </c>
      <c r="E24" t="inlineStr">
        <is>
          <t>https://www.marches-publics.gouv.fr/entreprise</t>
        </is>
      </c>
      <c r="F24" t="inlineStr">
        <is>
          <t>LIEN_SEUL</t>
        </is>
      </c>
      <c r="G24" t="inlineStr">
        <is>
          <t>26-57778.pdf</t>
        </is>
      </c>
    </row>
    <row r="25">
      <c r="A25" t="inlineStr">
        <is>
          <t>26-57678</t>
        </is>
      </c>
      <c r="B25" t="inlineStr">
        <is>
          <t>Prestations d'entretien ménager, de fourniture de consommables pour sanitaires et de nettoyage des vitres des locaux de la délégation Auvergne Rhône-Alpes du CNFPT</t>
        </is>
      </c>
      <c r="C25" t="inlineStr">
        <is>
          <t>CNFPT - Direction de l'achat public</t>
        </is>
      </c>
      <c r="D25" t="inlineStr">
        <is>
          <t>https://cnfpt.marches-publics.info/</t>
        </is>
      </c>
      <c r="E25" t="inlineStr">
        <is>
          <t>https://cnfpt.marches-publics.info/</t>
        </is>
      </c>
      <c r="F25" t="inlineStr">
        <is>
          <t>LIEN_SEUL</t>
        </is>
      </c>
      <c r="G25" t="inlineStr">
        <is>
          <t>26-57678.pdf</t>
        </is>
      </c>
    </row>
    <row r="26">
      <c r="A26" t="inlineStr">
        <is>
          <t>26-57231</t>
        </is>
      </c>
      <c r="B26" t="inlineStr">
        <is>
          <t>Prestations de nettoyage des surfaces vitrées, vitrines, baies vitrées, verrières et éléments assimilés des bâtiments de l’Université Paris 8 ainsi que de ses sites rattachés</t>
        </is>
      </c>
      <c r="C26" t="inlineStr">
        <is>
          <t>UNIVERSITE PARIS 8</t>
        </is>
      </c>
      <c r="D26" t="inlineStr">
        <is>
          <t>https://www.marches-publics.gouv.fr/entreprise</t>
        </is>
      </c>
      <c r="E26" t="inlineStr">
        <is>
          <t>https://www.marches-publics.gouv.fr/entreprise</t>
        </is>
      </c>
      <c r="F26" t="inlineStr">
        <is>
          <t>LIEN_SEUL</t>
        </is>
      </c>
      <c r="G26" t="inlineStr">
        <is>
          <t>26-57231.pdf</t>
        </is>
      </c>
    </row>
    <row r="27">
      <c r="A27" t="inlineStr">
        <is>
          <t>26-62297</t>
        </is>
      </c>
      <c r="B27" t="inlineStr">
        <is>
          <t>Nettoyage des locaux du siège du SIAAP</t>
        </is>
      </c>
      <c r="C27" t="inlineStr">
        <is>
          <t>Syndicat interdépartemental pour l'assainissement de l'agglomération parisienne (SIAAP)</t>
        </is>
      </c>
      <c r="D27" t="inlineStr">
        <is>
          <t>https://www.marches-publics.info/mpiaws/index.cfm?fuseaction=dematEnt.login&amp;amp;type=DCE&amp;amp;IDM=1840671</t>
        </is>
      </c>
      <c r="E27" t="inlineStr">
        <is>
          <t>https://www.marches-publics.info/mpiaws/index.cfm?fuseaction=dematEnt.login&amp;amp;type=DCE&amp;amp;IDM=1840671</t>
        </is>
      </c>
      <c r="F27" t="inlineStr">
        <is>
          <t>LIEN_SEUL</t>
        </is>
      </c>
      <c r="G27" t="inlineStr">
        <is>
          <t>26-62297.pdf</t>
        </is>
      </c>
    </row>
    <row r="28">
      <c r="A28" t="inlineStr">
        <is>
          <t>26-61419</t>
        </is>
      </c>
      <c r="B28" t="inlineStr">
        <is>
          <t>Prestations de mise en propreté et la gestion des déchets du réseau routier national et de ses dépendances gérés par les 4 arrondissements de la DiRIF</t>
        </is>
      </c>
      <c r="C28" t="inlineStr">
        <is>
          <t>Direction régionale et interdépartementale de l'Environnement, de l'Aménagement et des Transports d'Ile-de-France (DRIEAT-IF)</t>
        </is>
      </c>
      <c r="D28" t="inlineStr">
        <is>
          <t>https://www.marches-publics.gouv.fr/entreprise</t>
        </is>
      </c>
      <c r="E28" t="inlineStr">
        <is>
          <t>https://www.marches-publics.gouv.fr/entreprise</t>
        </is>
      </c>
      <c r="F28" t="inlineStr">
        <is>
          <t>LIEN_SEUL</t>
        </is>
      </c>
      <c r="G28" t="inlineStr">
        <is>
          <t>26-61419.pdf</t>
        </is>
      </c>
    </row>
    <row r="29">
      <c r="A29" t="inlineStr">
        <is>
          <t>26-61287</t>
        </is>
      </c>
      <c r="B29" t="inlineStr">
        <is>
          <t>Gestion et entretien des trois aires d'accueil des gens du voyage communautaires</t>
        </is>
      </c>
      <c r="C29" t="inlineStr">
        <is>
          <t>Communauté d'agglomération Plaine Vallée</t>
        </is>
      </c>
      <c r="D29" t="inlineStr">
        <is>
          <t>https://www.achatpublic.com/sdm/ent/gen/ent_detail.do?PCSLID=CSL_2026_8zWAXknio-</t>
        </is>
      </c>
      <c r="E29" t="inlineStr">
        <is>
          <t>https://www.achatpublic.com/sdm/ent/gen/ent_detail.do?PCSLID=CSL_2026_8zWAXknio-</t>
        </is>
      </c>
      <c r="F29" t="inlineStr">
        <is>
          <t>LIEN_SEUL</t>
        </is>
      </c>
      <c r="G29" t="inlineStr">
        <is>
          <t>26-61287.pdf</t>
        </is>
      </c>
    </row>
    <row r="30">
      <c r="A30" t="inlineStr">
        <is>
          <t>26-57313</t>
        </is>
      </c>
      <c r="B30" t="inlineStr">
        <is>
          <t>Entretien des toitures et des terrasses des sites : H. MONDOR – A. CHENEVIER – E. ROUX – DUPUYTREN – G. CLEMENCEAU</t>
        </is>
      </c>
      <c r="C30" t="inlineStr">
        <is>
          <t>Hopitaux Universitaires Henri Mondor</t>
        </is>
      </c>
      <c r="D30" t="inlineStr">
        <is>
          <t>https://www.marches-publics.gouv.fr/?page=Entreprise.EntrepriseAdvancedSearch&amp;AllCons&amp;id=3014984&amp;orgAcronyme=x7c</t>
        </is>
      </c>
      <c r="E30" t="inlineStr">
        <is>
          <t>https://www.marches-publics.gouv.fr/?page=Entreprise.EntrepriseAdvancedSearch&amp;AllCons&amp;id=3014984&amp;orgAcronyme=x7c</t>
        </is>
      </c>
      <c r="F30" t="inlineStr">
        <is>
          <t>LIEN_SEUL</t>
        </is>
      </c>
      <c r="G30" t="inlineStr">
        <is>
          <t>26-57313.pdf</t>
        </is>
      </c>
    </row>
    <row r="31">
      <c r="A31" t="inlineStr">
        <is>
          <t>26-56245</t>
        </is>
      </c>
      <c r="B31" t="inlineStr">
        <is>
          <t>PRESTATION DE NETTOYAGE DES LOCAUX DU CREPS ÎLE-DE-FRANCE</t>
        </is>
      </c>
      <c r="C31" t="inlineStr">
        <is>
          <t>CREPS Île-de-France</t>
        </is>
      </c>
      <c r="D31" t="inlineStr">
        <is>
          <t>https://marches.maximilien.fr/entreprise/consultation/940630?orgAcronyme=a0t</t>
        </is>
      </c>
      <c r="E31" t="inlineStr">
        <is>
          <t>https://marches.maximilien.fr/entreprise/consultation/940630?orgAcronyme=a0t</t>
        </is>
      </c>
      <c r="F31" t="inlineStr">
        <is>
          <t>LIEN_SEUL</t>
        </is>
      </c>
      <c r="G31" t="inlineStr">
        <is>
          <t>26-56245.pdf</t>
        </is>
      </c>
    </row>
    <row r="32">
      <c r="A32" t="inlineStr">
        <is>
          <t>MX-b6801bdc5d3e</t>
        </is>
      </c>
      <c r="B32" t="inlineStr">
        <is>
          <t>CHRUTH - 1 nouveaux AO nettoyage IDF =?utf-8?q?=28apr=C3=A8s-midi?=
 05/07)</t>
        </is>
      </c>
      <c r="C32" t="inlineStr">
        <is>
          <t>Epms Fondation Hardy</t>
        </is>
      </c>
      <c r="D32" t="inlineStr">
        <is>
          <t>https://marches.maximilien.fr/entreprise/consultation/942574?orgAcronyme=a1i</t>
        </is>
      </c>
      <c r="E32" t="inlineStr"/>
      <c r="F32" t="inlineStr">
        <is>
          <t>LIEN_SEUL</t>
        </is>
      </c>
      <c r="G32" t="inlineStr">
        <is>
          <t>MX-b6801bdc5d3e.pdf</t>
        </is>
      </c>
    </row>
    <row r="33">
      <c r="A33" t="inlineStr">
        <is>
          <t>26-60829</t>
        </is>
      </c>
      <c r="B33" t="inlineStr">
        <is>
          <t>Prestation de propreté des espaces verts de la ville d'Alfortville</t>
        </is>
      </c>
      <c r="C33" t="inlineStr">
        <is>
          <t>Commune d'Alfortville</t>
        </is>
      </c>
      <c r="D33" t="inlineStr">
        <is>
          <t>https://www.maximilien.fr/</t>
        </is>
      </c>
      <c r="E33" t="inlineStr">
        <is>
          <t>https://www.maximilien.fr/</t>
        </is>
      </c>
      <c r="F33" t="inlineStr">
        <is>
          <t>LIEN_SEUL</t>
        </is>
      </c>
      <c r="G33" t="inlineStr">
        <is>
          <t>26-60829.pdf</t>
        </is>
      </c>
    </row>
    <row r="34">
      <c r="A34" t="inlineStr">
        <is>
          <t>MX-249ac2b2b557</t>
        </is>
      </c>
      <c r="B34" t="inlineStr">
        <is>
          <t>CHRUTH - 5 nouveaux AO nettoyage IDF (apres-midi 21/06)</t>
        </is>
      </c>
      <c r="C34" t="inlineStr"/>
      <c r="D34" t="inlineStr">
        <is>
          <t>https://marches.maximilien.fr/entreprise/consultation/941627?orgAcronyme=d7d</t>
        </is>
      </c>
      <c r="E34" t="inlineStr"/>
      <c r="F34" t="inlineStr">
        <is>
          <t>LIEN_SEUL</t>
        </is>
      </c>
      <c r="G34" t="inlineStr">
        <is>
          <t>MX-249ac2b2b557.pdf</t>
        </is>
      </c>
    </row>
    <row r="35">
      <c r="A35" t="inlineStr">
        <is>
          <t>MX-baa796e6137e</t>
        </is>
      </c>
      <c r="B35" t="inlineStr">
        <is>
          <t>CHRUTH - 4 nouveaux AO nettoyage IDF (apres-midi 17/06)</t>
        </is>
      </c>
      <c r="C35" t="inlineStr"/>
      <c r="D35" t="inlineStr">
        <is>
          <t>https://marches.maximilien.fr/entreprise/consultation/939069?orgAcronyme=d8e</t>
        </is>
      </c>
      <c r="E35" t="inlineStr"/>
      <c r="F35" t="inlineStr">
        <is>
          <t>LIEN_SEUL</t>
        </is>
      </c>
      <c r="G35" t="inlineStr">
        <is>
          <t>MX-baa796e6137e.pdf</t>
        </is>
      </c>
    </row>
  </sheetData>
  <pageMargins left="0.75" right="0.75" top="1" bottom="1" header="0.5" footer="0.5"/>
  <tableParts count="1">
    <tablePart xmlns:r="http://schemas.openxmlformats.org/officeDocument/2006/relationships" r:id="rId1"/>
  </tableParts>
</worksheet>
</file>

<file path=xl/worksheets/sheet10.xml><?xml version="1.0" encoding="utf-8"?>
<worksheet xmlns="http://schemas.openxmlformats.org/spreadsheetml/2006/main">
  <sheetPr>
    <outlinePr summaryBelow="1" summaryRight="1"/>
    <pageSetUpPr/>
  </sheetPr>
  <dimension ref="A1:BM50"/>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2" customWidth="1" min="1" max="1"/>
    <col width="17" customWidth="1" min="2" max="2"/>
    <col width="55" customWidth="1" min="3" max="3"/>
    <col width="55" customWidth="1" min="4" max="4"/>
    <col width="16" customWidth="1" min="5" max="5"/>
    <col width="16" customWidth="1" min="6" max="6"/>
    <col width="27" customWidth="1" min="7" max="7"/>
    <col width="16" customWidth="1" min="8" max="8"/>
    <col width="50" customWidth="1" min="9" max="9"/>
    <col width="16" customWidth="1" min="10" max="10"/>
    <col width="43" customWidth="1" min="11" max="11"/>
    <col width="13" customWidth="1" min="12" max="12"/>
    <col width="26" customWidth="1" min="13" max="13"/>
    <col width="25"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8" customWidth="1" min="23" max="23"/>
    <col width="10" customWidth="1" min="24" max="24"/>
    <col width="13" customWidth="1" min="25" max="25"/>
    <col width="19" customWidth="1" min="26" max="26"/>
    <col width="16" customWidth="1" min="27" max="27"/>
    <col width="55" customWidth="1" min="28" max="28"/>
    <col width="33" customWidth="1" min="29" max="29"/>
    <col width="55"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2" customWidth="1" min="38" max="38"/>
    <col width="21" customWidth="1" min="39" max="39"/>
    <col width="24" customWidth="1" min="40" max="40"/>
    <col width="23" customWidth="1" min="41" max="41"/>
    <col width="22" customWidth="1" min="42" max="42"/>
    <col width="24" customWidth="1" min="43" max="43"/>
    <col width="55" customWidth="1" min="44" max="44"/>
    <col width="49"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26-63741</t>
        </is>
      </c>
      <c r="C2" t="inlineStr">
        <is>
          <t>Accord cadre de missions de formation de lutte contre la discrimination et de lutte contre les violences sexistes et sexuelles à destination du tissu associatif en deux lots séparés.</t>
        </is>
      </c>
      <c r="D2" t="inlineStr">
        <is>
          <t>VILLE de PARIS - DFA - SDA</t>
        </is>
      </c>
      <c r="E2" t="inlineStr">
        <is>
          <t>21750001600019</t>
        </is>
      </c>
      <c r="F2" t="inlineStr">
        <is>
          <t>217500016</t>
        </is>
      </c>
      <c r="G2" t="inlineStr"/>
      <c r="H2" t="inlineStr"/>
      <c r="I2" t="inlineStr">
        <is>
          <t>dfa-csp1-it@paris.fr</t>
        </is>
      </c>
      <c r="J2" t="inlineStr">
        <is>
          <t>+33 171270257</t>
        </is>
      </c>
      <c r="K2" t="inlineStr"/>
      <c r="L2" t="inlineStr"/>
      <c r="M2" t="inlineStr"/>
      <c r="N2" t="inlineStr">
        <is>
          <t>75</t>
        </is>
      </c>
      <c r="O2" t="inlineStr"/>
      <c r="P2" t="inlineStr">
        <is>
          <t>Ile-de-France</t>
        </is>
      </c>
      <c r="Q2" s="15" t="n">
        <v>46201</v>
      </c>
      <c r="R2" s="15" t="n">
        <v>46280</v>
      </c>
      <c r="S2" s="14" t="n">
        <v>40000</v>
      </c>
      <c r="T2" t="inlineStr">
        <is>
          <t>BUDGET_SOUS_SEUIL</t>
        </is>
      </c>
      <c r="U2" t="inlineStr">
        <is>
          <t>40000</t>
        </is>
      </c>
      <c r="V2" t="inlineStr">
        <is>
          <t>oui</t>
        </is>
      </c>
      <c r="W2" t="inlineStr">
        <is>
          <t>Batiments</t>
        </is>
      </c>
      <c r="X2" t="inlineStr">
        <is>
          <t>Mairie</t>
        </is>
      </c>
      <c r="Y2" t="inlineStr">
        <is>
          <t>SERVICES</t>
        </is>
      </c>
      <c r="Z2" t="inlineStr">
        <is>
          <t>Procédure Ouverte</t>
        </is>
      </c>
      <c r="AA2" t="inlineStr">
        <is>
          <t>Avis de marché</t>
        </is>
      </c>
      <c r="AB2" t="inlineStr">
        <is>
          <t>Formation, Nettoyage de locaux</t>
        </is>
      </c>
      <c r="AC2" t="inlineStr"/>
      <c r="AD2" s="11" t="inlineStr">
        <is>
          <t>https://www.boamp.fr/pages/avis/?q=idweb:26-63741</t>
        </is>
      </c>
      <c r="AE2" t="inlineStr">
        <is>
          <t>https://marches.maximilien.fr/entreprise/consultation/939575?orgAcronyme=r8t</t>
        </is>
      </c>
      <c r="AF2" t="inlineStr">
        <is>
          <t>https://marches.maximilien.fr/entreprise/consultation/939575?orgAcronyme=r8t</t>
        </is>
      </c>
      <c r="AG2" t="inlineStr">
        <is>
          <t>nettoyage</t>
        </is>
      </c>
      <c r="AH2" t="inlineStr">
        <is>
          <t>3</t>
        </is>
      </c>
      <c r="AI2" t="inlineStr">
        <is>
          <t>68</t>
        </is>
      </c>
      <c r="AJ2" t="inlineStr">
        <is>
          <t>INFO_PARTIELLE</t>
        </is>
      </c>
      <c r="AK2" t="inlineStr">
        <is>
          <t>95</t>
        </is>
      </c>
      <c r="AL2" s="13" t="inlineStr">
        <is>
          <t>CHAUD</t>
        </is>
      </c>
      <c r="AM2" t="inlineStr"/>
      <c r="AN2" t="inlineStr"/>
      <c r="AO2" t="inlineStr"/>
      <c r="AP2" t="inlineStr"/>
      <c r="AQ2" t="inlineStr">
        <is>
          <t>IA_CONTACT_A_COMPLETER</t>
        </is>
      </c>
      <c r="AR2" t="inlineStr">
        <is>
          <t>Completer les champs manquants depuis l'avis source, le site acheteur ou le DCE.</t>
        </is>
      </c>
      <c r="AS2" t="inlineStr">
        <is>
          <t>adresse, ville</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26-63741. Objet: Accord cadre de missions de formation de lutte contre la discrimination et de lutte contre les violences sexistes et sexuelles à destination du tissu associatif en deux lots séparés.. Acheteur: VILLE de PARIS - DFA - SDA. Lien: https://www.boamp.fr/pages/avis/?q=idweb:26-63741.</t>
        </is>
      </c>
      <c r="AU2" t="inlineStr">
        <is>
          <t>Verifier url_avis et DCE si disponible</t>
        </is>
      </c>
      <c r="AV2" t="inlineStr"/>
      <c r="AW2" t="inlineStr"/>
      <c r="AX2" t="inlineStr"/>
      <c r="AY2" t="inlineStr"/>
      <c r="AZ2" t="inlineStr"/>
      <c r="BA2" t="inlineStr"/>
      <c r="BB2" t="inlineStr">
        <is>
          <t>+35 nettoyage + categorie claire | +25 budget annualise &lt;= 50 000 EUR | +15 procedure adaptee / MAPA / allotissement | +10 secteur cible Mairie | +10 delai confortable 71j</t>
        </is>
      </c>
      <c r="BC2" t="inlineStr">
        <is>
          <t>VILLE de PARIS - DFA - SDA publie un AO potentiellement pertinent pour CHRUTH : Accord cadre de missions de formation de lutte contre la discrimination et de lutte contre les violences sexistes et sexuelles à destination du tissu associatif en deux lots séparés.. Zone : 75. Budget detecte environ 40 000 EUR. Verifier le lien source avant contact.</t>
        </is>
      </c>
      <c r="BD2" t="inlineStr">
        <is>
          <t>Bonjour,
Je me permets de vous contacter au sujet de votre appel d'offres : Accord cadre de missions de formation de lutte contre la discrimination et de lutte contre les violences sexistes et sexuelles à destination du tissu associatif en deux lots séparés..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2"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2026-W26</t>
        </is>
      </c>
    </row>
    <row r="3">
      <c r="A3" t="inlineStr">
        <is>
          <t>BOAMP</t>
        </is>
      </c>
      <c r="B3" t="inlineStr">
        <is>
          <t>26-58680</t>
        </is>
      </c>
      <c r="C3" t="inlineStr">
        <is>
          <t>Nettoyage des vitres et entretien des bâtiments communaux (Administratifs, Culturels, Scolaires, Sportifs et Autres)</t>
        </is>
      </c>
      <c r="D3" t="inlineStr">
        <is>
          <t>MAIRIE DES LILAS</t>
        </is>
      </c>
      <c r="E3" t="inlineStr"/>
      <c r="F3" t="inlineStr"/>
      <c r="G3" t="inlineStr"/>
      <c r="H3" t="inlineStr"/>
      <c r="I3" t="inlineStr">
        <is>
          <t>publications-joue@aws-france.com</t>
        </is>
      </c>
      <c r="J3" t="inlineStr">
        <is>
          <t>+33480041260</t>
        </is>
      </c>
      <c r="K3" t="inlineStr"/>
      <c r="L3" t="inlineStr"/>
      <c r="M3" t="inlineStr"/>
      <c r="N3" t="inlineStr">
        <is>
          <t>93</t>
        </is>
      </c>
      <c r="O3" t="inlineStr"/>
      <c r="P3" t="inlineStr">
        <is>
          <t>Ile-de-France</t>
        </is>
      </c>
      <c r="Q3" s="15" t="n">
        <v>46187</v>
      </c>
      <c r="R3" s="15" t="n">
        <v>46216</v>
      </c>
      <c r="S3" s="14" t="n">
        <v>22000</v>
      </c>
      <c r="T3" t="inlineStr">
        <is>
          <t>BUDGET_SOUS_SEUIL</t>
        </is>
      </c>
      <c r="U3" t="inlineStr">
        <is>
          <t>5500</t>
        </is>
      </c>
      <c r="V3" t="inlineStr">
        <is>
          <t>oui</t>
        </is>
      </c>
      <c r="W3" t="inlineStr">
        <is>
          <t>Vitres</t>
        </is>
      </c>
      <c r="X3" t="inlineStr">
        <is>
          <t>Mairie</t>
        </is>
      </c>
      <c r="Y3" t="inlineStr">
        <is>
          <t>SERVICES</t>
        </is>
      </c>
      <c r="Z3" t="inlineStr">
        <is>
          <t>Procédure Ouverte</t>
        </is>
      </c>
      <c r="AA3" t="inlineStr">
        <is>
          <t>Avis de marché</t>
        </is>
      </c>
      <c r="AB3" t="inlineStr">
        <is>
          <t>Nettoyage de locaux, Vitrerie</t>
        </is>
      </c>
      <c r="AC3" t="inlineStr">
        <is>
          <t>['sociaux', 'environnementaux']</t>
        </is>
      </c>
      <c r="AD3" s="11" t="inlineStr">
        <is>
          <t>https://www.boamp.fr/pages/avis/?q=idweb:26-58680</t>
        </is>
      </c>
      <c r="AE3" t="inlineStr">
        <is>
          <t>http://agysoft.marches-publics.info/</t>
        </is>
      </c>
      <c r="AF3" t="inlineStr">
        <is>
          <t>http://agysoft.marches-publics.info/</t>
        </is>
      </c>
      <c r="AG3" t="inlineStr">
        <is>
          <t>nettoyage, nettoyage de vitres</t>
        </is>
      </c>
      <c r="AH3" t="inlineStr">
        <is>
          <t>2</t>
        </is>
      </c>
      <c r="AI3" t="inlineStr">
        <is>
          <t>66</t>
        </is>
      </c>
      <c r="AJ3" t="inlineStr">
        <is>
          <t>INFO_PARTIELLE</t>
        </is>
      </c>
      <c r="AK3" t="inlineStr">
        <is>
          <t>80</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SIRET, adresse, ville</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26-58680. Objet: Nettoyage des vitres et entretien des bâtiments communaux (Administratifs, Culturels, Scolaires, Sportifs et Autres). Acheteur: MAIRIE DES LILAS. Lien: https://www.boamp.fr/pages/avis/?q=idweb:26-58680.</t>
        </is>
      </c>
      <c r="AU3" t="inlineStr">
        <is>
          <t>Verifier url_avis et DCE si disponible</t>
        </is>
      </c>
      <c r="AV3" t="inlineStr"/>
      <c r="AW3" t="inlineStr"/>
      <c r="AX3" t="inlineStr"/>
      <c r="AY3" t="inlineStr"/>
      <c r="AZ3" t="inlineStr"/>
      <c r="BA3" t="inlineStr"/>
      <c r="BB3" t="inlineStr">
        <is>
          <t>+35 nettoyage + categorie claire | +25 budget annualise &lt;= 50 000 EUR | +10 secteur cible Mairie | +10 delai confortable 21j</t>
        </is>
      </c>
      <c r="BC3" t="inlineStr">
        <is>
          <t>MAIRIE DES LILAS publie un AO potentiellement pertinent pour CHRUTH : Nettoyage des vitres et entretien des bâtiments communaux (Administratifs, Culturels, Scolaires, Sportifs et Autres). Zone : 93. Budget detecte environ 22 000 EUR. Verifier le lien source avant contact.</t>
        </is>
      </c>
      <c r="BD3" t="inlineStr">
        <is>
          <t>Bonjour,
Je me permets de vous contacter au sujet de votre appel d'offres : Nettoyage des vitres et entretien des bâtiments communaux (Administratifs, Culturels, Scolaires, Sportifs et Autres).
CHRUTH accompagne les structures publiques et privees sur les besoins de nettoyage, d'entretien des locaux et d'organisation de prestations de service.
Serait-il possible d'echanger rapidement afin de verifier les modalites de reponse et les attentes de MAIRIE DES LILAS ?
Cordialement,</t>
        </is>
      </c>
      <c r="BE3" t="inlineStr">
        <is>
          <t>Bonjour, je vous appelle concernant un appel d'offres publie par MAIRIE DES LILAS. Je souhaite verifier les informations pratiques : perimetre des prestations, date limite, modalites de visite, contact technique et pieces attendues. Pouvez-vous m'indiquer la bonne personne a contacter ?</t>
        </is>
      </c>
      <c r="BF3" t="inlineStr"/>
      <c r="BG3" t="inlineStr"/>
      <c r="BH3" t="inlineStr"/>
      <c r="BI3" t="inlineStr"/>
      <c r="BJ3" t="inlineStr"/>
      <c r="BK3" t="inlineStr"/>
      <c r="BL3" t="inlineStr"/>
      <c r="BM3" t="inlineStr">
        <is>
          <t>2026-W24</t>
        </is>
      </c>
    </row>
    <row r="4">
      <c r="A4" t="inlineStr">
        <is>
          <t>BOAMP</t>
        </is>
      </c>
      <c r="B4" t="inlineStr">
        <is>
          <t>26-66091</t>
        </is>
      </c>
      <c r="C4" t="inlineStr">
        <is>
          <t>Restauration de monuments funéraires et de statues pour la ville d'Asnières-sur-Seine</t>
        </is>
      </c>
      <c r="D4" t="inlineStr">
        <is>
          <t>Mairie d'Asnières sur Seine</t>
        </is>
      </c>
      <c r="E4" t="inlineStr">
        <is>
          <t>21920004500017</t>
        </is>
      </c>
      <c r="F4" t="inlineStr">
        <is>
          <t>219200045</t>
        </is>
      </c>
      <c r="G4" t="inlineStr">
        <is>
          <t>marches@mairieasnieres.fr</t>
        </is>
      </c>
      <c r="H4" t="inlineStr"/>
      <c r="I4" t="inlineStr">
        <is>
          <t>marches@mairieasnieres.fr</t>
        </is>
      </c>
      <c r="J4" t="inlineStr">
        <is>
          <t>0141111494</t>
        </is>
      </c>
      <c r="K4" t="inlineStr">
        <is>
          <t>Hauts-de-Seine</t>
        </is>
      </c>
      <c r="L4" t="inlineStr">
        <is>
          <t>92600</t>
        </is>
      </c>
      <c r="M4" t="inlineStr">
        <is>
          <t>Asnières sur seine</t>
        </is>
      </c>
      <c r="N4" t="inlineStr">
        <is>
          <t>92</t>
        </is>
      </c>
      <c r="O4" t="inlineStr"/>
      <c r="P4" t="inlineStr">
        <is>
          <t>Ile-de-France</t>
        </is>
      </c>
      <c r="Q4" s="15" t="n">
        <v>46206</v>
      </c>
      <c r="R4" s="15" t="n">
        <v>46234</v>
      </c>
      <c r="S4" s="14" t="n">
        <v>92600</v>
      </c>
      <c r="T4" t="inlineStr">
        <is>
          <t>BUDGET_SOUS_SEUIL</t>
        </is>
      </c>
      <c r="U4" t="inlineStr">
        <is>
          <t>92600.0</t>
        </is>
      </c>
      <c r="V4" t="inlineStr">
        <is>
          <t>non</t>
        </is>
      </c>
      <c r="W4" t="inlineStr">
        <is>
          <t>Batiments</t>
        </is>
      </c>
      <c r="X4" t="inlineStr">
        <is>
          <t>Mairie</t>
        </is>
      </c>
      <c r="Y4" t="inlineStr">
        <is>
          <t>TRAVAUX</t>
        </is>
      </c>
      <c r="Z4" t="inlineStr">
        <is>
          <t>Procédure Ouverte</t>
        </is>
      </c>
      <c r="AA4" t="inlineStr">
        <is>
          <t>Avis de marché</t>
        </is>
      </c>
      <c r="AB4" t="inlineStr">
        <is>
          <t>Décoration (travaux)</t>
        </is>
      </c>
      <c r="AC4" t="inlineStr">
        <is>
          <t>['environnementaux']</t>
        </is>
      </c>
      <c r="AD4" s="11" t="inlineStr">
        <is>
          <t>https://www.boamp.fr/pages/avis/?q=idweb:26-66091</t>
        </is>
      </c>
      <c r="AE4" t="inlineStr">
        <is>
          <t>https://www.achatpublic.com/sdm/ent/gen/ent_detail.do?PCSLID=CSL_2026_a6SYMMMQ2m</t>
        </is>
      </c>
      <c r="AF4" t="inlineStr">
        <is>
          <t>https://www.achatpublic.com/sdm/ent/gen/ent_detail.do?PCSLID=CSL_2026_a6SYMMMQ2m</t>
        </is>
      </c>
      <c r="AG4" t="inlineStr">
        <is>
          <t>nettoyage</t>
        </is>
      </c>
      <c r="AH4" t="inlineStr">
        <is>
          <t>6</t>
        </is>
      </c>
      <c r="AI4" t="inlineStr">
        <is>
          <t>98</t>
        </is>
      </c>
      <c r="AJ4" t="inlineStr">
        <is>
          <t>INFO_PARTIELLE</t>
        </is>
      </c>
      <c r="AK4" t="inlineStr">
        <is>
          <t>75</t>
        </is>
      </c>
      <c r="AL4" s="13" t="inlineStr">
        <is>
          <t>CHAUD</t>
        </is>
      </c>
      <c r="AM4" t="inlineStr"/>
      <c r="AN4" t="inlineStr"/>
      <c r="AO4" t="inlineStr"/>
      <c r="AP4" t="inlineStr"/>
      <c r="AQ4" t="inlineStr">
        <is>
          <t>IA_CONTROLE_SOURCE</t>
        </is>
      </c>
      <c r="AR4" t="inlineStr">
        <is>
          <t>Verifier rapidement la source avant contact.</t>
        </is>
      </c>
      <c r="AS4" t="inlineStr">
        <is>
          <t>Aucun champ critique manquant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26-66091. Objet: Restauration de monuments funéraires et de statues pour la ville d'Asnières-sur-Seine. Acheteur: Mairie d'Asnières sur Seine. Lien: https://www.boamp.fr/pages/avis/?q=idweb:26-66091.</t>
        </is>
      </c>
      <c r="AU4" t="inlineStr">
        <is>
          <t>Verifier url_avis et DCE si disponible</t>
        </is>
      </c>
      <c r="AV4" t="inlineStr"/>
      <c r="AW4" t="inlineStr"/>
      <c r="AX4" t="inlineStr"/>
      <c r="AY4" t="inlineStr"/>
      <c r="AZ4" t="inlineStr"/>
      <c r="BA4" t="inlineStr"/>
      <c r="BB4" t="inlineStr">
        <is>
          <t>+35 nettoyage + categorie claire | +20 budget annualise &lt;= 100 000 EUR | +10 secteur cible Mairie | +10 delai confortable 25j</t>
        </is>
      </c>
      <c r="BC4" t="inlineStr">
        <is>
          <t>Mairie d'Asnières sur Seine publie un AO potentiellement pertinent pour CHRUTH : Restauration de monuments funéraires et de statues pour la ville d'Asnières-sur-Seine. Zone : Asnières sur seine. Budget detecte environ 92 600 EUR. Verifier le lien source avant contact.</t>
        </is>
      </c>
      <c r="BD4" t="inlineStr">
        <is>
          <t>Bonjour,
Je me permets de vous contacter au sujet de votre appel d'offres : Restauration de monuments funéraires et de statues pour la ville d'Asnières-sur-Seine.
CHRUTH accompagne les structures publiques et privées sur les besoins de nettoyage, d'entretien des locaux et d'organisation de prestations de service.
Serait-il possible d'échanger rapidement afin de vérifier les modalités de réponse et les attentes de Mairie d'Asnières sur Seine ?
Cordialement,</t>
        </is>
      </c>
      <c r="BE4" t="inlineStr">
        <is>
          <t>Bonjour, je vous appelle concernant un appel d'offres publié par Mairie d'Asnières sur Seine.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2026-W27</t>
        </is>
      </c>
    </row>
    <row r="5">
      <c r="A5" t="inlineStr">
        <is>
          <t>BOAMP</t>
        </is>
      </c>
      <c r="B5" t="inlineStr">
        <is>
          <t>26-60739</t>
        </is>
      </c>
      <c r="C5" t="inlineStr">
        <is>
          <t>FOURNITURE D'EQUIPEMENTS, PRODUITS D'ENTRETIEN ET HACCP AU PROFIT DE LA VILLE ET DU CCAS DE LONGJUMEAU (2ème procédure)</t>
        </is>
      </c>
      <c r="D5" t="inlineStr">
        <is>
          <t>Ville de Longjumeau</t>
        </is>
      </c>
      <c r="E5" t="inlineStr">
        <is>
          <t>21910345400225</t>
        </is>
      </c>
      <c r="F5" t="inlineStr">
        <is>
          <t>219103454</t>
        </is>
      </c>
      <c r="G5" t="inlineStr"/>
      <c r="H5" t="inlineStr"/>
      <c r="I5" t="inlineStr">
        <is>
          <t>achatpublic@longjumeau.fr</t>
        </is>
      </c>
      <c r="J5" t="inlineStr">
        <is>
          <t>0345400225</t>
        </is>
      </c>
      <c r="K5" t="inlineStr"/>
      <c r="L5" t="inlineStr"/>
      <c r="M5" t="inlineStr"/>
      <c r="N5" t="inlineStr">
        <is>
          <t>91</t>
        </is>
      </c>
      <c r="O5" t="inlineStr"/>
      <c r="P5" t="inlineStr">
        <is>
          <t>Ile-de-France</t>
        </is>
      </c>
      <c r="Q5" s="15" t="n">
        <v>46193</v>
      </c>
      <c r="R5" s="15" t="n">
        <v>46231</v>
      </c>
      <c r="S5" s="14" t="n">
        <v>280000</v>
      </c>
      <c r="T5" t="inlineStr">
        <is>
          <t>BUDGET_EXPLICITE_OK</t>
        </is>
      </c>
      <c r="U5" t="inlineStr">
        <is>
          <t>70000</t>
        </is>
      </c>
      <c r="V5" t="inlineStr">
        <is>
          <t>oui</t>
        </is>
      </c>
      <c r="W5" t="inlineStr">
        <is>
          <t>Batiments</t>
        </is>
      </c>
      <c r="X5" t="inlineStr">
        <is>
          <t>Mairie</t>
        </is>
      </c>
      <c r="Y5" t="inlineStr">
        <is>
          <t>FOURNITURES</t>
        </is>
      </c>
      <c r="Z5" t="inlineStr">
        <is>
          <t>Procédure Ouverte</t>
        </is>
      </c>
      <c r="AA5" t="inlineStr">
        <is>
          <t>Avis de marché</t>
        </is>
      </c>
      <c r="AB5" t="inlineStr">
        <is>
          <t>Hygiène (articles), Produits d'entretien</t>
        </is>
      </c>
      <c r="AC5" t="inlineStr"/>
      <c r="AD5" s="11" t="inlineStr">
        <is>
          <t>https://www.boamp.fr/pages/avis/?q=idweb:26-60739</t>
        </is>
      </c>
      <c r="AE5" t="inlineStr">
        <is>
          <t>http://longjumeau.e-marchespublics.com</t>
        </is>
      </c>
      <c r="AF5" t="inlineStr">
        <is>
          <t>http://longjumeau.e-marchespublics.com</t>
        </is>
      </c>
      <c r="AG5" t="inlineStr">
        <is>
          <t>entretien des locaux</t>
        </is>
      </c>
      <c r="AH5" t="inlineStr">
        <is>
          <t>3</t>
        </is>
      </c>
      <c r="AI5" t="inlineStr">
        <is>
          <t>68</t>
        </is>
      </c>
      <c r="AJ5" t="inlineStr">
        <is>
          <t>INFO_PARTIELLE</t>
        </is>
      </c>
      <c r="AK5" t="inlineStr">
        <is>
          <t>75</t>
        </is>
      </c>
      <c r="AL5" s="13" t="inlineStr">
        <is>
          <t>CHAUD</t>
        </is>
      </c>
      <c r="AM5" t="inlineStr"/>
      <c r="AN5" t="inlineStr"/>
      <c r="AO5" t="inlineStr"/>
      <c r="AP5" t="inlineStr"/>
      <c r="AQ5" t="inlineStr">
        <is>
          <t>IA_CONTACT_A_COMPLETER</t>
        </is>
      </c>
      <c r="AR5" t="inlineStr">
        <is>
          <t>Completer les champs manquants depuis l'avis source, le site acheteur ou le DCE.</t>
        </is>
      </c>
      <c r="AS5" t="inlineStr">
        <is>
          <t>adresse, ville</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26-60739. Objet: FOURNITURE D'EQUIPEMENTS, PRODUITS D'ENTRETIEN ET HACCP AU PROFIT DE LA VILLE ET DU CCAS DE LONGJUMEAU (2ème procédure). Acheteur: Ville de Longjumeau. Lien: https://www.boamp.fr/pages/avis/?q=idweb:26-60739.</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24j</t>
        </is>
      </c>
      <c r="BC5" t="inlineStr">
        <is>
          <t>Ville de Longjumeau publie un AO potentiellement pertinent pour CHRUTH : FOURNITURE D'EQUIPEMENTS, PRODUITS D'ENTRETIEN ET HACCP AU PROFIT DE LA VILLE ET DU CCAS DE LONGJUMEAU (2ème procédure). Zone : 91. Budget detecte environ 280 000 EUR. Verifier le lien source avant contact.</t>
        </is>
      </c>
      <c r="BD5" t="inlineStr">
        <is>
          <t>Bonjour,
Je me permets de vous contacter au sujet de votre appel d'offres : FOURNITURE D'EQUIPEMENTS, PRODUITS D'ENTRETIEN ET HACCP AU PROFIT DE LA VILLE ET DU CCAS DE LONGJUMEAU (2ème procédure).
CHRUTH accompagne les structures publiques et privées sur les besoins de nettoyage, d'entretien des locaux et d'organisation de prestations de service.
Serait-il possible d'échanger rapidement afin de vérifier les modalités de réponse et les attentes de Ville de Longjumeau ?
Cordialement,</t>
        </is>
      </c>
      <c r="BE5" t="inlineStr">
        <is>
          <t>Bonjour, je vous appelle concernant un appel d'offres publié par Ville de Longjumeau.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2026-W25</t>
        </is>
      </c>
    </row>
    <row r="6">
      <c r="A6" t="inlineStr">
        <is>
          <t>BOAMP</t>
        </is>
      </c>
      <c r="B6" t="inlineStr">
        <is>
          <t>26-57399</t>
        </is>
      </c>
      <c r="C6" t="inlineStr">
        <is>
          <t>Prestations de nettoyage de certains équipements de protection individuelle (EPI) et vêtements de travail professionnels</t>
        </is>
      </c>
      <c r="D6" t="inlineStr">
        <is>
          <t>MAIRIE DE ROMAINVILLE</t>
        </is>
      </c>
      <c r="E6" t="inlineStr">
        <is>
          <t>21930063900016</t>
        </is>
      </c>
      <c r="F6" t="inlineStr">
        <is>
          <t>219300639</t>
        </is>
      </c>
      <c r="G6" t="inlineStr">
        <is>
          <t>Adrien VELLA</t>
        </is>
      </c>
      <c r="H6" t="inlineStr"/>
      <c r="I6" t="inlineStr"/>
      <c r="J6" t="inlineStr">
        <is>
          <t>06-10 2026-07</t>
        </is>
      </c>
      <c r="K6" t="inlineStr">
        <is>
          <t>Seine-Saint-Denis</t>
        </is>
      </c>
      <c r="L6" t="inlineStr">
        <is>
          <t>93230</t>
        </is>
      </c>
      <c r="M6" t="inlineStr">
        <is>
          <t>Romainville</t>
        </is>
      </c>
      <c r="N6" t="inlineStr">
        <is>
          <t>93</t>
        </is>
      </c>
      <c r="O6" t="inlineStr"/>
      <c r="P6" t="inlineStr">
        <is>
          <t>Ile-de-France</t>
        </is>
      </c>
      <c r="Q6" s="15" t="n">
        <v>46183</v>
      </c>
      <c r="R6" s="15" t="n">
        <v>46213</v>
      </c>
      <c r="S6" s="14" t="n">
        <v>93230</v>
      </c>
      <c r="T6" t="inlineStr">
        <is>
          <t>BUDGET_SOUS_SEUIL</t>
        </is>
      </c>
      <c r="U6" t="inlineStr">
        <is>
          <t>93230.0</t>
        </is>
      </c>
      <c r="V6" t="inlineStr">
        <is>
          <t>non</t>
        </is>
      </c>
      <c r="W6" t="inlineStr">
        <is>
          <t>Mixte/Autre</t>
        </is>
      </c>
      <c r="X6" t="inlineStr">
        <is>
          <t>Mairie</t>
        </is>
      </c>
      <c r="Y6" t="inlineStr">
        <is>
          <t>SERVICES</t>
        </is>
      </c>
      <c r="Z6" t="inlineStr">
        <is>
          <t>Procédure Ouverte</t>
        </is>
      </c>
      <c r="AA6" t="inlineStr">
        <is>
          <t>Avis de marché</t>
        </is>
      </c>
      <c r="AB6" t="inlineStr">
        <is>
          <t>Blanchissage</t>
        </is>
      </c>
      <c r="AC6" t="inlineStr">
        <is>
          <t>['sociaux', 'environnementaux']</t>
        </is>
      </c>
      <c r="AD6" s="11" t="inlineStr">
        <is>
          <t>https://www.boamp.fr/pages/avis/?q=idweb:26-57399</t>
        </is>
      </c>
      <c r="AE6" t="inlineStr">
        <is>
          <t>https://www.achatpublic.com/sdm/ent/gen/ent_detail.do?PCSLID=CSL_2026_XmI0UKhCKV</t>
        </is>
      </c>
      <c r="AF6" t="inlineStr">
        <is>
          <t>https://www.achatpublic.com/sdm/ent/gen/ent_detail.do?PCSLID=CSL_2026_XmI0UKhCKV</t>
        </is>
      </c>
      <c r="AG6" t="inlineStr">
        <is>
          <t>nettoyage</t>
        </is>
      </c>
      <c r="AH6" t="inlineStr">
        <is>
          <t>5</t>
        </is>
      </c>
      <c r="AI6" t="inlineStr">
        <is>
          <t>88</t>
        </is>
      </c>
      <c r="AJ6" t="inlineStr">
        <is>
          <t>INFO_PARTIELLE</t>
        </is>
      </c>
      <c r="AK6" t="inlineStr">
        <is>
          <t>70</t>
        </is>
      </c>
      <c r="AL6" s="13" t="inlineStr">
        <is>
          <t>CHAUD</t>
        </is>
      </c>
      <c r="AM6" t="inlineStr"/>
      <c r="AN6" t="inlineStr"/>
      <c r="AO6" t="inlineStr"/>
      <c r="AP6" t="inlineStr"/>
      <c r="AQ6" t="inlineStr">
        <is>
          <t>IA_CONTACT_A_COMPLETER</t>
        </is>
      </c>
      <c r="AR6" t="inlineStr">
        <is>
          <t>Completer les champs manquants depuis l'avis source, le site acheteur ou le DCE.</t>
        </is>
      </c>
      <c r="AS6" t="inlineStr">
        <is>
          <t>email</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26-57399. Objet: Prestations de nettoyage de certains équipements de protection individuelle (EPI) et vêtements de travail professionnels. Acheteur: MAIRIE DE ROMAINVILLE. Lien: https://www.boamp.fr/pages/avis/?q=idweb:26-57399.</t>
        </is>
      </c>
      <c r="AU6" t="inlineStr">
        <is>
          <t>Verifier url_avis et DCE si disponible</t>
        </is>
      </c>
      <c r="AV6" t="inlineStr">
        <is>
          <t>LIEN_SEUL</t>
        </is>
      </c>
      <c r="AW6" t="inlineStr"/>
      <c r="AX6" t="inlineStr"/>
      <c r="AY6" t="inlineStr"/>
      <c r="AZ6" t="inlineStr"/>
      <c r="BA6" t="inlineStr"/>
      <c r="BB6" t="inlineStr">
        <is>
          <t>+30 mots-cles nettoyage forts | +20 budget annualise &lt;= 100 000 EUR | +10 secteur cible Mairie | +10 delai confortable 18j</t>
        </is>
      </c>
      <c r="BC6" t="inlineStr">
        <is>
          <t>MAIRIE DE ROMAINVILLE publie un AO potentiellement pertinent pour CHRUTH : Prestations de nettoyage de certains équipements de protection individuelle (EPI) et vêtements de travail professionnels. Zone : Romainville. Budget detecte environ 93 230 EUR. Verifier le lien source avant contact.</t>
        </is>
      </c>
      <c r="BD6" t="inlineStr">
        <is>
          <t>Bonjour,
Je me permets de vous contacter au sujet de votre appel d'offres : Prestations de nettoyage de certains équipements de protection individuelle (EPI) et vêtements de travail professionnels.
CHRUTH accompagne les structures publiques et privees sur les besoins de nettoyage, d'entretien des locaux et d'organisation de prestations de service.
Serait-il possible d'echanger rapidement afin de verifier les modalites de reponse et les attentes de MAIRIE DE ROMAINVILLE ?
Cordialement,</t>
        </is>
      </c>
      <c r="BE6" t="inlineStr">
        <is>
          <t>Bonjour, je vous appelle concernant un appel d'offres publie par MAIRIE DE ROMAINVILLE. Je souhaite verifier les informations pratiques : perimetre des prestations, date limite, modalites de visite, contact technique et pieces attendues. Pouvez-vous m'indiquer la bonne personne a contacter ?</t>
        </is>
      </c>
      <c r="BF6" t="inlineStr"/>
      <c r="BG6" t="inlineStr"/>
      <c r="BH6" t="inlineStr"/>
      <c r="BI6" t="inlineStr"/>
      <c r="BJ6" t="inlineStr"/>
      <c r="BK6" t="inlineStr"/>
      <c r="BL6" t="inlineStr"/>
      <c r="BM6" t="inlineStr">
        <is>
          <t>2026-W24</t>
        </is>
      </c>
    </row>
    <row r="7">
      <c r="A7" t="inlineStr">
        <is>
          <t>BOAMP</t>
        </is>
      </c>
      <c r="B7" t="inlineStr">
        <is>
          <t>26-56654</t>
        </is>
      </c>
      <c r="C7" t="inlineStr">
        <is>
          <t>Prestations de bio-nettoyage, mise à blanc et mise à gris des zones à atmosphère contrôlée au profit du CTSA et de l'UMTI</t>
        </is>
      </c>
      <c r="D7" t="inlineStr">
        <is>
          <t>DAPSA/PFAF-S</t>
        </is>
      </c>
      <c r="E7" t="inlineStr"/>
      <c r="F7" t="inlineStr"/>
      <c r="G7" t="inlineStr">
        <is>
          <t>BARDIEU</t>
        </is>
      </c>
      <c r="H7" t="inlineStr"/>
      <c r="I7" t="inlineStr">
        <is>
          <t>melisande.bardieu@intradef.gouv.fr</t>
        </is>
      </c>
      <c r="J7" t="inlineStr">
        <is>
          <t>0238607455</t>
        </is>
      </c>
      <c r="K7" t="inlineStr"/>
      <c r="L7" t="inlineStr">
        <is>
          <t>45404</t>
        </is>
      </c>
      <c r="M7" t="inlineStr">
        <is>
          <t>FLEURY-LES-AUBRAIS CEDEX</t>
        </is>
      </c>
      <c r="N7" t="inlineStr">
        <is>
          <t>92</t>
        </is>
      </c>
      <c r="O7" t="inlineStr"/>
      <c r="P7" t="inlineStr">
        <is>
          <t>Ile-de-France</t>
        </is>
      </c>
      <c r="Q7" s="15" t="n">
        <v>46182</v>
      </c>
      <c r="R7" s="15" t="n">
        <v>46231</v>
      </c>
      <c r="S7" t="inlineStr"/>
      <c r="T7" t="inlineStr">
        <is>
          <t>A_VERIFIER_BUDGET</t>
        </is>
      </c>
      <c r="U7" t="inlineStr"/>
      <c r="V7" t="inlineStr">
        <is>
          <t>non</t>
        </is>
      </c>
      <c r="W7" t="inlineStr">
        <is>
          <t>Batiments</t>
        </is>
      </c>
      <c r="X7" t="inlineStr">
        <is>
          <t>Autre</t>
        </is>
      </c>
      <c r="Y7" t="inlineStr">
        <is>
          <t>SERVICES</t>
        </is>
      </c>
      <c r="Z7" t="inlineStr">
        <is>
          <t>Procédure Adaptée</t>
        </is>
      </c>
      <c r="AA7" t="inlineStr">
        <is>
          <t>Avis de marché</t>
        </is>
      </c>
      <c r="AB7" t="inlineStr">
        <is>
          <t>Nettoyage de locaux</t>
        </is>
      </c>
      <c r="AC7" t="inlineStr">
        <is>
          <t>['sociaux', 'environnementaux']</t>
        </is>
      </c>
      <c r="AD7" s="11" t="inlineStr">
        <is>
          <t>https://www.boamp.fr/pages/avis/?q=idweb:26-56654</t>
        </is>
      </c>
      <c r="AE7" t="inlineStr">
        <is>
          <t>https://www.marches-publics.gouv.fr/entreprise</t>
        </is>
      </c>
      <c r="AF7" t="inlineStr">
        <is>
          <t>https://www.marches-publics.gouv.fr/entreprise</t>
        </is>
      </c>
      <c r="AG7" t="inlineStr">
        <is>
          <t>nettoyage</t>
        </is>
      </c>
      <c r="AH7" t="inlineStr">
        <is>
          <t>4</t>
        </is>
      </c>
      <c r="AI7" t="inlineStr">
        <is>
          <t>78</t>
        </is>
      </c>
      <c r="AJ7" t="inlineStr">
        <is>
          <t>INFO_PARTIELLE</t>
        </is>
      </c>
      <c r="AK7" t="inlineStr">
        <is>
          <t>70</t>
        </is>
      </c>
      <c r="AL7" s="13" t="inlineStr">
        <is>
          <t>CHAUD</t>
        </is>
      </c>
      <c r="AM7" t="inlineStr"/>
      <c r="AN7" t="inlineStr"/>
      <c r="AO7" t="inlineStr"/>
      <c r="AP7" t="inlineStr"/>
      <c r="AQ7" t="inlineStr">
        <is>
          <t>IA_BUDGET_A_VERIFIER</t>
        </is>
      </c>
      <c r="AR7" t="inlineStr">
        <is>
          <t>Verifier le budget dans l'avis source ou le DCE avant decision commerciale.</t>
        </is>
      </c>
      <c r="AS7" t="inlineStr">
        <is>
          <t>SIRET, adresse, budget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26-56654. Objet: Prestations de bio-nettoyage, mise à blanc et mise à gris des zones à atmosphère contrôlée au profit du CTSA et de l'UMTI. Acheteur: DAPSA/PFAF-S. Lien: https://www.boamp.fr/pages/avis/?q=idweb:26-56654.</t>
        </is>
      </c>
      <c r="AU7" t="inlineStr">
        <is>
          <t>Verifier url_avis et DCE si disponible</t>
        </is>
      </c>
      <c r="AV7" t="inlineStr">
        <is>
          <t>LIEN_SEUL</t>
        </is>
      </c>
      <c r="AW7" t="inlineStr"/>
      <c r="AX7" t="inlineStr"/>
      <c r="AY7" t="inlineStr"/>
      <c r="AZ7" t="inlineStr"/>
      <c r="BA7" t="inlineStr"/>
      <c r="BB7" t="inlineStr">
        <is>
          <t>+35 nettoyage + categorie claire | +10 budget non affiche (a verifier) | +15 procedure adaptee / MAPA / allotissement | +10 delai confortable 36j</t>
        </is>
      </c>
      <c r="BC7" t="inlineStr">
        <is>
          <t>DAPSA/PFAF-S publie un AO potentiellement pertinent pour CHRUTH : Prestations de bio-nettoyage, mise à blanc et mise à gris des zones à atmosphère contrôlée au profit du CTSA et de l'UMTI. Zone : FLEURY-LES-AUBRAIS CEDEX. Budget a verifier. Verifier le lien source avant contact.</t>
        </is>
      </c>
      <c r="BD7" t="inlineStr">
        <is>
          <t>Bonjour,
Je me permets de vous contacter au sujet de votre appel d'offres : Prestations de bio-nettoyage, mise à blanc et mise à gris des zones à atmosphère contrôlée au profit du CTSA et de l'UMTI.
CHRUTH accompagne les structures publiques et privees sur les besoins de nettoyage, d'entretien des locaux et d'organisation de prestations de service.
Serait-il possible d'echanger rapidement afin de verifier les modalites de reponse et les attentes de DAPSA/PFAF-S ?
Cordialement,</t>
        </is>
      </c>
      <c r="BE7" t="inlineStr">
        <is>
          <t>Bonjour, je vous appelle concernant un appel d'offres publie par DAPSA/PFAF-S. Je souhaite verifier les informations pratiques : perimetre des prestations, date limite, modalites de visite, contact technique et pieces attendues. Pouvez-vous m'indiquer la bonne personne a contacter ?</t>
        </is>
      </c>
      <c r="BF7" t="inlineStr"/>
      <c r="BG7" t="inlineStr"/>
      <c r="BH7" t="inlineStr"/>
      <c r="BI7" t="inlineStr"/>
      <c r="BJ7" t="inlineStr"/>
      <c r="BK7" t="inlineStr"/>
      <c r="BL7" t="inlineStr"/>
      <c r="BM7" t="inlineStr">
        <is>
          <t>2026-W24</t>
        </is>
      </c>
    </row>
    <row r="8">
      <c r="A8" t="inlineStr">
        <is>
          <t>BOAMP</t>
        </is>
      </c>
      <c r="B8" t="inlineStr">
        <is>
          <t>26-54018</t>
        </is>
      </c>
      <c r="C8" t="inlineStr">
        <is>
          <t>Accord-cadre relatif à la maintenance préventive et corrective des aires de jeux de la Ville</t>
        </is>
      </c>
      <c r="D8" t="inlineStr">
        <is>
          <t>Mairie de Mantes La Jolie</t>
        </is>
      </c>
      <c r="E8" t="inlineStr">
        <is>
          <t>21780361800016</t>
        </is>
      </c>
      <c r="F8" t="inlineStr">
        <is>
          <t>217803618</t>
        </is>
      </c>
      <c r="G8" t="inlineStr"/>
      <c r="H8" t="inlineStr"/>
      <c r="I8" t="inlineStr">
        <is>
          <t>marchespublics@manteslajolie.fr</t>
        </is>
      </c>
      <c r="J8" t="inlineStr">
        <is>
          <t>0361800016</t>
        </is>
      </c>
      <c r="K8" t="inlineStr"/>
      <c r="L8" t="inlineStr"/>
      <c r="M8" t="inlineStr"/>
      <c r="N8" t="inlineStr">
        <is>
          <t>78,27</t>
        </is>
      </c>
      <c r="O8" t="inlineStr"/>
      <c r="P8" t="inlineStr">
        <is>
          <t>Ile-de-France</t>
        </is>
      </c>
      <c r="Q8" s="15" t="n">
        <v>46176</v>
      </c>
      <c r="R8" s="15" t="n">
        <v>46211</v>
      </c>
      <c r="S8" s="14" t="n">
        <v>100000</v>
      </c>
      <c r="T8" t="inlineStr">
        <is>
          <t>BUDGET_EXPLICITE_OK</t>
        </is>
      </c>
      <c r="U8" t="inlineStr">
        <is>
          <t>100000.0</t>
        </is>
      </c>
      <c r="V8" t="inlineStr">
        <is>
          <t>non</t>
        </is>
      </c>
      <c r="W8" t="inlineStr">
        <is>
          <t>Mixte/Autre</t>
        </is>
      </c>
      <c r="X8" t="inlineStr">
        <is>
          <t>Mairie</t>
        </is>
      </c>
      <c r="Y8" t="inlineStr">
        <is>
          <t>SERVICES</t>
        </is>
      </c>
      <c r="Z8" t="inlineStr">
        <is>
          <t>Procédure Ouverte</t>
        </is>
      </c>
      <c r="AA8" t="inlineStr">
        <is>
          <t>Avis de marché</t>
        </is>
      </c>
      <c r="AB8" t="inlineStr">
        <is>
          <t>Maintenance, Aire de jeux</t>
        </is>
      </c>
      <c r="AC8" t="inlineStr">
        <is>
          <t>['environnementaux']</t>
        </is>
      </c>
      <c r="AD8" s="11" t="inlineStr">
        <is>
          <t>https://www.boamp.fr/pages/avis/?q=idweb:26-54018</t>
        </is>
      </c>
      <c r="AE8" t="inlineStr">
        <is>
          <t>https://www.achatpublic.com/sdm/ent/gen/ent_detail.do?PCSLID=CSL_2026_yXczYwEh1y</t>
        </is>
      </c>
      <c r="AF8" t="inlineStr">
        <is>
          <t>https://www.achatpublic.com/sdm/ent/gen/ent_detail.do?PCSLID=CSL_2026_yXczYwEh1y</t>
        </is>
      </c>
      <c r="AG8" t="inlineStr">
        <is>
          <t>nettoyage</t>
        </is>
      </c>
      <c r="AH8" t="inlineStr">
        <is>
          <t>3</t>
        </is>
      </c>
      <c r="AI8" t="inlineStr">
        <is>
          <t>68</t>
        </is>
      </c>
      <c r="AJ8" t="inlineStr">
        <is>
          <t>INFO_PARTIELLE</t>
        </is>
      </c>
      <c r="AK8" t="inlineStr">
        <is>
          <t>70</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adresse, ville</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26-54018. Objet: Accord-cadre relatif à la maintenance préventive et corrective des aires de jeux de la Ville. Acheteur: Mairie de Mantes La Jolie. Lien: https://www.boamp.fr/pages/avis/?q=idweb:26-54018.</t>
        </is>
      </c>
      <c r="AU8" t="inlineStr">
        <is>
          <t>Verifier url_avis et DCE si disponible</t>
        </is>
      </c>
      <c r="AV8" t="inlineStr"/>
      <c r="AW8" t="inlineStr"/>
      <c r="AX8" t="inlineStr"/>
      <c r="AY8" t="inlineStr"/>
      <c r="AZ8" t="inlineStr"/>
      <c r="BA8" t="inlineStr"/>
      <c r="BB8" t="inlineStr">
        <is>
          <t>+30 mots-cles nettoyage forts | +20 budget annualise &lt;= 100 000 EUR | +10 secteur cible Mairie | +10 delai confortable 21j</t>
        </is>
      </c>
      <c r="BC8" t="inlineStr">
        <is>
          <t>Mairie de Mantes La Jolie publie un AO potentiellement pertinent pour CHRUTH : Accord-cadre relatif à la maintenance préventive et corrective des aires de jeux de la Ville. Zone : 78,27. Budget detecte environ 100 000 EUR. Verifier le lien source avant contact.</t>
        </is>
      </c>
      <c r="BD8" t="inlineStr">
        <is>
          <t>Bonjour,
Je me permets de vous contacter au sujet de votre appel d'offres : Accord-cadre relatif à la maintenance préventive et corrective des aires de jeux de la Ville.
CHRUTH accompagne les structures publiques et privees sur les besoins de nettoyage, d'entretien des locaux et d'organisation de prestations de service.
Serait-il possible d'echanger rapidement afin de verifier les modalites de reponse et les attentes de Mairie de Mantes La Jolie ?
Cordialement,</t>
        </is>
      </c>
      <c r="BE8" t="inlineStr">
        <is>
          <t>Bonjour, je vous appelle concernant un appel d'offres publie par Mairie de Mantes La Jolie. Je souhaite verifier les informations pratiques : perimetre des prestations, date limite, modalites de visite, contact technique et pieces attendues. Pouvez-vous m'indiquer la bonne personne a contacter ?</t>
        </is>
      </c>
      <c r="BF8" t="inlineStr"/>
      <c r="BG8" t="inlineStr"/>
      <c r="BH8" t="inlineStr"/>
      <c r="BI8" t="inlineStr"/>
      <c r="BJ8" t="inlineStr"/>
      <c r="BK8" t="inlineStr"/>
      <c r="BL8" t="inlineStr"/>
      <c r="BM8" t="inlineStr">
        <is>
          <t>2026-W23</t>
        </is>
      </c>
    </row>
    <row r="9">
      <c r="A9" t="inlineStr">
        <is>
          <t>BOAMP</t>
        </is>
      </c>
      <c r="B9" t="inlineStr">
        <is>
          <t>26-64286</t>
        </is>
      </c>
      <c r="C9" t="inlineStr">
        <is>
          <t>Prestations de nettoyage des locaux</t>
        </is>
      </c>
      <c r="D9" t="inlineStr">
        <is>
          <t>Commune de Montfermeil</t>
        </is>
      </c>
      <c r="E9" t="inlineStr">
        <is>
          <t>21930047200194</t>
        </is>
      </c>
      <c r="F9" t="inlineStr">
        <is>
          <t>219300472</t>
        </is>
      </c>
      <c r="G9" t="inlineStr"/>
      <c r="H9" t="inlineStr"/>
      <c r="I9" t="inlineStr">
        <is>
          <t>service.marches@ville-montfermeil.fr</t>
        </is>
      </c>
      <c r="J9" t="inlineStr">
        <is>
          <t>0194 014170</t>
        </is>
      </c>
      <c r="K9" t="inlineStr"/>
      <c r="L9" t="inlineStr"/>
      <c r="M9" t="inlineStr"/>
      <c r="N9" t="inlineStr">
        <is>
          <t>93</t>
        </is>
      </c>
      <c r="O9" t="inlineStr"/>
      <c r="P9" t="inlineStr">
        <is>
          <t>Ile-de-France</t>
        </is>
      </c>
      <c r="Q9" s="15" t="n">
        <v>46204</v>
      </c>
      <c r="R9" s="15" t="n">
        <v>46237</v>
      </c>
      <c r="S9" t="inlineStr"/>
      <c r="T9" t="inlineStr">
        <is>
          <t>A_VERIFIER_BUDGET</t>
        </is>
      </c>
      <c r="U9" t="inlineStr"/>
      <c r="V9" t="inlineStr">
        <is>
          <t>non</t>
        </is>
      </c>
      <c r="W9" t="inlineStr">
        <is>
          <t>Batiments</t>
        </is>
      </c>
      <c r="X9" t="inlineStr">
        <is>
          <t>Mairie</t>
        </is>
      </c>
      <c r="Y9" t="inlineStr">
        <is>
          <t>SERVICES</t>
        </is>
      </c>
      <c r="Z9" t="inlineStr">
        <is>
          <t>Procédure Ouverte</t>
        </is>
      </c>
      <c r="AA9" t="inlineStr">
        <is>
          <t>Avis de marché</t>
        </is>
      </c>
      <c r="AB9" t="inlineStr">
        <is>
          <t>Nettoyage de locaux</t>
        </is>
      </c>
      <c r="AC9" t="inlineStr"/>
      <c r="AD9" s="11" t="inlineStr">
        <is>
          <t>https://www.boamp.fr/pages/avis/?q=idweb:26-64286</t>
        </is>
      </c>
      <c r="AE9" t="inlineStr">
        <is>
          <t>https://marches.maximilien.fr/?page=Entreprise.EntrepriseAdvancedSearch&amp;AllCons&amp;id=933515&amp;orgAcronyme=y0w</t>
        </is>
      </c>
      <c r="AF9" t="inlineStr">
        <is>
          <t>https://marches.maximilien.fr/?page=Entreprise.EntrepriseAdvancedSearch&amp;AllCons&amp;id=933515&amp;orgAcronyme=y0w</t>
        </is>
      </c>
      <c r="AG9" t="inlineStr">
        <is>
          <t>nettoyage</t>
        </is>
      </c>
      <c r="AH9" t="inlineStr">
        <is>
          <t>3</t>
        </is>
      </c>
      <c r="AI9" t="inlineStr">
        <is>
          <t>68</t>
        </is>
      </c>
      <c r="AJ9" t="inlineStr">
        <is>
          <t>INFO_PARTIELLE</t>
        </is>
      </c>
      <c r="AK9" t="inlineStr">
        <is>
          <t>65</t>
        </is>
      </c>
      <c r="AL9" s="13" t="inlineStr">
        <is>
          <t>CHAUD</t>
        </is>
      </c>
      <c r="AM9" t="inlineStr"/>
      <c r="AN9" t="inlineStr"/>
      <c r="AO9" t="inlineStr"/>
      <c r="AP9" t="inlineStr"/>
      <c r="AQ9" t="inlineStr">
        <is>
          <t>IA_BUDGET_A_VERIFIER</t>
        </is>
      </c>
      <c r="AR9" t="inlineStr">
        <is>
          <t>Verifier le budget dans l'avis source ou le DCE avant decision commerciale.</t>
        </is>
      </c>
      <c r="AS9" t="inlineStr">
        <is>
          <t>adresse, ville,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26-64286. Objet: Prestations de nettoyage des locaux. Acheteur: Commune de Montfermeil. Lien: https://www.boamp.fr/pages/avis/?q=idweb:26-64286.</t>
        </is>
      </c>
      <c r="AU9" t="inlineStr">
        <is>
          <t>Verifier url_avis et DCE si disponible</t>
        </is>
      </c>
      <c r="AV9" t="inlineStr"/>
      <c r="AW9" t="inlineStr"/>
      <c r="AX9" t="inlineStr"/>
      <c r="AY9" t="inlineStr"/>
      <c r="AZ9" t="inlineStr"/>
      <c r="BA9" t="inlineStr"/>
      <c r="BB9" t="inlineStr">
        <is>
          <t>+35 nettoyage + categorie claire | +10 budget non affiche (a verifier) | +10 secteur cible Mairie | +10 delai confortable 28j</t>
        </is>
      </c>
      <c r="BC9" t="inlineStr">
        <is>
          <t>Commune de Montfermeil publie un AO potentiellement pertinent pour CHRUTH : Prestations de nettoyage des locaux. Zone : 93. Budget a verifier. Verifier le lien source avant contact.</t>
        </is>
      </c>
      <c r="BD9" t="inlineStr">
        <is>
          <t>Bonjour,
Je me permets de vous contacter au sujet de votre appel d'offres : Prestations de nettoyage des locaux.
CHRUTH accompagne les structures publiques et privées sur les besoins de nettoyage, d'entretien des locaux et d'organisation de prestations de service.
Serait-il possible d'échanger rapidement afin de vérifier les modalités de réponse et les attentes de Commune de Montfermeil ?
Cordialement,</t>
        </is>
      </c>
      <c r="BE9" t="inlineStr">
        <is>
          <t>Bonjour, je vous appelle concernant un appel d'offres publié par Commune de Montfermeil.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2026-W27</t>
        </is>
      </c>
    </row>
    <row r="10">
      <c r="A10" t="inlineStr">
        <is>
          <t>BOAMP</t>
        </is>
      </c>
      <c r="B10" t="inlineStr">
        <is>
          <t>26-63518</t>
        </is>
      </c>
      <c r="C10" t="inlineStr">
        <is>
          <t>NETTOYAGE DES BÂTIMENTS COMMUNAUX</t>
        </is>
      </c>
      <c r="D10" t="inlineStr">
        <is>
          <t>MAIRIE DE SAINT-CLAIR-SUR6epte</t>
        </is>
      </c>
      <c r="E10" t="inlineStr">
        <is>
          <t>21950541900016</t>
        </is>
      </c>
      <c r="F10" t="inlineStr">
        <is>
          <t>219505419</t>
        </is>
      </c>
      <c r="G10" t="inlineStr"/>
      <c r="H10" t="inlineStr"/>
      <c r="I10" t="inlineStr">
        <is>
          <t>charlotte.stclair@outlook.fr</t>
        </is>
      </c>
      <c r="J10" t="inlineStr">
        <is>
          <t>0541900016</t>
        </is>
      </c>
      <c r="K10" t="inlineStr"/>
      <c r="L10" t="inlineStr"/>
      <c r="M10" t="inlineStr"/>
      <c r="N10" t="inlineStr">
        <is>
          <t>95</t>
        </is>
      </c>
      <c r="O10" t="inlineStr"/>
      <c r="P10" t="inlineStr">
        <is>
          <t>Ile-de-France</t>
        </is>
      </c>
      <c r="Q10" s="15" t="n">
        <v>46201</v>
      </c>
      <c r="R10" s="15" t="n">
        <v>46276</v>
      </c>
      <c r="S10" t="inlineStr"/>
      <c r="T10" t="inlineStr">
        <is>
          <t>A_VERIFIER_BUDGET</t>
        </is>
      </c>
      <c r="U10" t="inlineStr"/>
      <c r="V10" t="inlineStr">
        <is>
          <t>non</t>
        </is>
      </c>
      <c r="W10" t="inlineStr">
        <is>
          <t>Batiments</t>
        </is>
      </c>
      <c r="X10" t="inlineStr">
        <is>
          <t>Mairie</t>
        </is>
      </c>
      <c r="Y10" t="inlineStr">
        <is>
          <t>SERVICES</t>
        </is>
      </c>
      <c r="Z10" t="inlineStr">
        <is>
          <t>Procédure Ouverte</t>
        </is>
      </c>
      <c r="AA10" t="inlineStr">
        <is>
          <t>Avis de marché</t>
        </is>
      </c>
      <c r="AB10" t="inlineStr">
        <is>
          <t>Nettoyage de locaux, Bâtiment</t>
        </is>
      </c>
      <c r="AC10" t="inlineStr"/>
      <c r="AD10" s="11" t="inlineStr">
        <is>
          <t>https://www.boamp.fr/pages/avis/?q=idweb:26-63518</t>
        </is>
      </c>
      <c r="AE10" t="inlineStr">
        <is>
          <t>https://marches.maximilien.fr/entreprise/consultation/942071?orgAcronyme=d8o</t>
        </is>
      </c>
      <c r="AF10" t="inlineStr">
        <is>
          <t>https://marches.maximilien.fr/entreprise/consultation/942071?orgAcronyme=d8o</t>
        </is>
      </c>
      <c r="AG10" t="inlineStr">
        <is>
          <t>nettoyage, menage</t>
        </is>
      </c>
      <c r="AH10" t="inlineStr">
        <is>
          <t>3</t>
        </is>
      </c>
      <c r="AI10" t="inlineStr">
        <is>
          <t>76</t>
        </is>
      </c>
      <c r="AJ10" t="inlineStr">
        <is>
          <t>INFO_PARTIELLE</t>
        </is>
      </c>
      <c r="AK10" t="inlineStr">
        <is>
          <t>65</t>
        </is>
      </c>
      <c r="AL10" s="13" t="inlineStr">
        <is>
          <t>CHAUD</t>
        </is>
      </c>
      <c r="AM10" t="inlineStr"/>
      <c r="AN10" t="inlineStr"/>
      <c r="AO10" t="inlineStr"/>
      <c r="AP10" t="inlineStr"/>
      <c r="AQ10" t="inlineStr">
        <is>
          <t>IA_BUDGET_A_VERIFIER</t>
        </is>
      </c>
      <c r="AR10" t="inlineStr">
        <is>
          <t>Verifier le budget dans l'avis source ou le DCE avant decision commerciale.</t>
        </is>
      </c>
      <c r="AS10" t="inlineStr">
        <is>
          <t>adresse, ville,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26-63518. Objet: NETTOYAGE DES BÂTIMENTS COMMUNAUX. Acheteur: MAIRIE DE SAINT-CLAIR-SUR6epte. Lien: https://www.boamp.fr/pages/avis/?q=idweb:26-63518.</t>
        </is>
      </c>
      <c r="AU10" t="inlineStr">
        <is>
          <t>Verifier url_avis et DCE si disponible</t>
        </is>
      </c>
      <c r="AV10" t="inlineStr"/>
      <c r="AW10" t="inlineStr"/>
      <c r="AX10" t="inlineStr"/>
      <c r="AY10" t="inlineStr"/>
      <c r="AZ10" t="inlineStr"/>
      <c r="BA10" t="inlineStr"/>
      <c r="BB10" t="inlineStr">
        <is>
          <t>+35 nettoyage + categorie claire | +10 budget non affiche (a verifier) | +10 secteur cible Mairie | +10 delai confortable 67j</t>
        </is>
      </c>
      <c r="BC10" t="inlineStr">
        <is>
          <t>MAIRIE DE SAINT-CLAIR-SUR6epte publie un AO potentiellement pertinent pour CHRUTH : NETTOYAGE DES BÂTIMENTS COMMUNAUX. Zone : 95. Budget a verifier. Verifier le lien source avant contact.</t>
        </is>
      </c>
      <c r="BD10" t="inlineStr">
        <is>
          <t>Bonjour,
Je me permets de vous contacter au sujet de votre appel d'offres : NETTOYAGE DES BÂTIMENTS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SAINT-CLAIR-SUR6epte ?
Cordialement,</t>
        </is>
      </c>
      <c r="BE10" t="inlineStr">
        <is>
          <t>Bonjour, je vous appelle concernant un appel d'offres publié par MAIRIE DE SAINT-CLAIR-SUR6epte.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2026-W26</t>
        </is>
      </c>
    </row>
    <row r="11">
      <c r="A11" t="inlineStr">
        <is>
          <t>BOAMP</t>
        </is>
      </c>
      <c r="B11" t="inlineStr">
        <is>
          <t>26-63201</t>
        </is>
      </c>
      <c r="C11" t="inlineStr">
        <is>
          <t>PRESTATION DE NETTOYAGE ET D'ENTRETIEN DES LOCAUX COMMUNAUX</t>
        </is>
      </c>
      <c r="D11" t="inlineStr">
        <is>
          <t>Commune de Saulx Les Chartreux</t>
        </is>
      </c>
      <c r="E11" t="inlineStr">
        <is>
          <t>21910587100012</t>
        </is>
      </c>
      <c r="F11" t="inlineStr">
        <is>
          <t>219105871</t>
        </is>
      </c>
      <c r="G11" t="inlineStr"/>
      <c r="H11" t="inlineStr"/>
      <c r="I11" t="inlineStr">
        <is>
          <t>finances@saulx.org</t>
        </is>
      </c>
      <c r="J11" t="inlineStr">
        <is>
          <t>0587100012</t>
        </is>
      </c>
      <c r="K11" t="inlineStr"/>
      <c r="L11" t="inlineStr"/>
      <c r="M11" t="inlineStr"/>
      <c r="N11" t="inlineStr">
        <is>
          <t>91,92,93,94</t>
        </is>
      </c>
      <c r="O11" t="inlineStr"/>
      <c r="P11" t="inlineStr">
        <is>
          <t>Ile-de-France</t>
        </is>
      </c>
      <c r="Q11" s="15" t="n">
        <v>46200</v>
      </c>
      <c r="R11" s="15" t="n">
        <v>46234</v>
      </c>
      <c r="S11" t="inlineStr"/>
      <c r="T11" t="inlineStr">
        <is>
          <t>A_VERIFIER_BUDGET</t>
        </is>
      </c>
      <c r="U11" t="inlineStr"/>
      <c r="V11" t="inlineStr">
        <is>
          <t>non</t>
        </is>
      </c>
      <c r="W11" t="inlineStr">
        <is>
          <t>Batiments</t>
        </is>
      </c>
      <c r="X11" t="inlineStr">
        <is>
          <t>Mairie</t>
        </is>
      </c>
      <c r="Y11" t="inlineStr">
        <is>
          <t>SERVICES</t>
        </is>
      </c>
      <c r="Z11" t="inlineStr">
        <is>
          <t>Procédure Ouverte</t>
        </is>
      </c>
      <c r="AA11" t="inlineStr">
        <is>
          <t>Avis de marché</t>
        </is>
      </c>
      <c r="AB11" t="inlineStr">
        <is>
          <t>Nettoyage de locaux</t>
        </is>
      </c>
      <c r="AC11" t="inlineStr">
        <is>
          <t>['environnementaux']</t>
        </is>
      </c>
      <c r="AD11" s="11" t="inlineStr">
        <is>
          <t>https://www.boamp.fr/pages/avis/?q=idweb:26-63201</t>
        </is>
      </c>
      <c r="AE11" t="inlineStr">
        <is>
          <t>https://www.achatpublic.com/sdm/ent/gen/ent_detail.do?PCSLID=CSL_2026_-rboFCvnvk</t>
        </is>
      </c>
      <c r="AF11" t="inlineStr">
        <is>
          <t>https://www.achatpublic.com/sdm/ent/gen/ent_detail.do?PCSLID=CSL_2026_-rboFCvnvk</t>
        </is>
      </c>
      <c r="AG11" t="inlineStr">
        <is>
          <t>nettoyage, entretien des locaux</t>
        </is>
      </c>
      <c r="AH11" t="inlineStr">
        <is>
          <t>3</t>
        </is>
      </c>
      <c r="AI11" t="inlineStr">
        <is>
          <t>76</t>
        </is>
      </c>
      <c r="AJ11" t="inlineStr">
        <is>
          <t>INFO_PARTIELLE</t>
        </is>
      </c>
      <c r="AK11" t="inlineStr">
        <is>
          <t>65</t>
        </is>
      </c>
      <c r="AL11" s="13" t="inlineStr">
        <is>
          <t>CHAUD</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26-63201. Objet: PRESTATION DE NETTOYAGE ET D'ENTRETIEN DES LOCAUX COMMUNAUX. Acheteur: Commune de Saulx Les Chartreux. Lien: https://www.boamp.fr/pages/avis/?q=idweb:26-63201.</t>
        </is>
      </c>
      <c r="AU11" t="inlineStr">
        <is>
          <t>Verifier url_avis et DCE si disponible</t>
        </is>
      </c>
      <c r="AV11" t="inlineStr"/>
      <c r="AW11" t="inlineStr"/>
      <c r="AX11" t="inlineStr"/>
      <c r="AY11" t="inlineStr"/>
      <c r="AZ11" t="inlineStr"/>
      <c r="BA11" t="inlineStr"/>
      <c r="BB11" t="inlineStr">
        <is>
          <t>+35 nettoyage + categorie claire | +10 budget non affiche (a verifier) | +10 secteur cible Mairie | +10 delai confortable 25j</t>
        </is>
      </c>
      <c r="BC11" t="inlineStr">
        <is>
          <t>Commune de Saulx Les Chartreux publie un AO potentiellement pertinent pour CHRUTH : PRESTATION DE NETTOYAGE ET D'ENTRETIEN DES LOCAUX COMMUNAUX. Zone : 91,92,93,94. Budget a verifier. Verifier le lien source avant contact.</t>
        </is>
      </c>
      <c r="BD11" t="inlineStr">
        <is>
          <t>Bonjour,
Je me permets de vous contacter au sujet de votre appel d'offres : PRESTATION DE NETTOYAGE ET D'ENTRETIEN DES LOCAUX COMMUNAUX.
CHRUTH accompagne les structures publiques et privées sur les besoins de nettoyage, d'entretien des locaux et d'organisation de prestations de service.
Serait-il possible d'échanger rapidement afin de vérifier les modalités de réponse et les attentes de Commune de Saulx Les Chartreux ?
Cordialement,</t>
        </is>
      </c>
      <c r="BE11" t="inlineStr">
        <is>
          <t>Bonjour, je vous appelle concernant un appel d'offres publié par Commune de Saulx Les Chartreux.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2026-W26</t>
        </is>
      </c>
    </row>
    <row r="12">
      <c r="A12" t="inlineStr">
        <is>
          <t>BOAMP</t>
        </is>
      </c>
      <c r="B12" t="inlineStr">
        <is>
          <t>26-62837</t>
        </is>
      </c>
      <c r="C12" t="inlineStr">
        <is>
          <t>PRESTATION DE NETTOYAGE DES LOCAUX ET DE LA VITRERIE</t>
        </is>
      </c>
      <c r="D12" t="inlineStr">
        <is>
          <t>ENC-PSL</t>
        </is>
      </c>
      <c r="E12" t="inlineStr">
        <is>
          <t>19753478700043</t>
        </is>
      </c>
      <c r="F12" t="inlineStr">
        <is>
          <t>197534787</t>
        </is>
      </c>
      <c r="G12" t="inlineStr">
        <is>
          <t>ZAKARIA</t>
        </is>
      </c>
      <c r="H12" t="inlineStr"/>
      <c r="I12" t="inlineStr">
        <is>
          <t>yvan.zakaria@chartes.psl.eu</t>
        </is>
      </c>
      <c r="J12" t="inlineStr">
        <is>
          <t>+33 155422161</t>
        </is>
      </c>
      <c r="K12" t="inlineStr">
        <is>
          <t>PARIS</t>
        </is>
      </c>
      <c r="L12" t="inlineStr">
        <is>
          <t>75002</t>
        </is>
      </c>
      <c r="M12" t="inlineStr">
        <is>
          <t>Paris</t>
        </is>
      </c>
      <c r="N12" t="inlineStr">
        <is>
          <t>75</t>
        </is>
      </c>
      <c r="O12" t="inlineStr"/>
      <c r="P12" t="inlineStr">
        <is>
          <t>Ile-de-France</t>
        </is>
      </c>
      <c r="Q12" s="15" t="n">
        <v>46198</v>
      </c>
      <c r="R12" s="15" t="n">
        <v>46227</v>
      </c>
      <c r="S12" s="14" t="n">
        <v>75002</v>
      </c>
      <c r="T12" t="inlineStr">
        <is>
          <t>BUDGET_SOUS_SEUIL</t>
        </is>
      </c>
      <c r="U12" t="inlineStr">
        <is>
          <t>75002.0</t>
        </is>
      </c>
      <c r="V12" t="inlineStr">
        <is>
          <t>non</t>
        </is>
      </c>
      <c r="W12" t="inlineStr">
        <is>
          <t>Vitres</t>
        </is>
      </c>
      <c r="X12" t="inlineStr">
        <is>
          <t>Autre</t>
        </is>
      </c>
      <c r="Y12" t="inlineStr">
        <is>
          <t>SERVICES</t>
        </is>
      </c>
      <c r="Z12" t="inlineStr">
        <is>
          <t>Procédure Ouverte</t>
        </is>
      </c>
      <c r="AA12" t="inlineStr">
        <is>
          <t>Avis de marché</t>
        </is>
      </c>
      <c r="AB12" t="inlineStr">
        <is>
          <t>Nettoyage de locaux</t>
        </is>
      </c>
      <c r="AC12" t="inlineStr">
        <is>
          <t>['environnementaux']</t>
        </is>
      </c>
      <c r="AD12" s="11" t="inlineStr">
        <is>
          <t>https://www.boamp.fr/pages/avis/?q=idweb:26-62837</t>
        </is>
      </c>
      <c r="AE12" t="inlineStr">
        <is>
          <t>https://www.marches-publics.gouv.fr/entreprise/consultation/3025739?orgAcronyme=f2h</t>
        </is>
      </c>
      <c r="AF12" t="inlineStr">
        <is>
          <t>https://www.marches-publics.gouv.fr/entreprise/consultation/3025739?orgAcronyme=f2h</t>
        </is>
      </c>
      <c r="AG12" t="inlineStr">
        <is>
          <t>nettoyage</t>
        </is>
      </c>
      <c r="AH12" t="inlineStr">
        <is>
          <t>6</t>
        </is>
      </c>
      <c r="AI12" t="inlineStr">
        <is>
          <t>98</t>
        </is>
      </c>
      <c r="AJ12" t="inlineStr">
        <is>
          <t>INFO_PARTIELLE</t>
        </is>
      </c>
      <c r="AK12" t="inlineStr">
        <is>
          <t>65</t>
        </is>
      </c>
      <c r="AL12" s="13" t="inlineStr">
        <is>
          <t>CHAUD</t>
        </is>
      </c>
      <c r="AM12" t="inlineStr"/>
      <c r="AN12" t="inlineStr"/>
      <c r="AO12" t="inlineStr"/>
      <c r="AP12" t="inlineStr"/>
      <c r="AQ12" t="inlineStr">
        <is>
          <t>IA_CONTROLE_SOURCE</t>
        </is>
      </c>
      <c r="AR12" t="inlineStr">
        <is>
          <t>Verifier rapidement la source avant contact.</t>
        </is>
      </c>
      <c r="AS12" t="inlineStr">
        <is>
          <t>Aucun champ critique manquant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26-62837. Objet: PRESTATION DE NETTOYAGE DES LOCAUX ET DE LA VITRERIE. Acheteur: ENC-PSL. Lien: https://www.boamp.fr/pages/avis/?q=idweb:26-62837.</t>
        </is>
      </c>
      <c r="AU12" t="inlineStr">
        <is>
          <t>Verifier url_avis et DCE si disponible</t>
        </is>
      </c>
      <c r="AV12" t="inlineStr"/>
      <c r="AW12" t="inlineStr"/>
      <c r="AX12" t="inlineStr"/>
      <c r="AY12" t="inlineStr"/>
      <c r="AZ12" t="inlineStr"/>
      <c r="BA12" t="inlineStr"/>
      <c r="BB12" t="inlineStr">
        <is>
          <t>+35 nettoyage + categorie claire | +20 budget annualise &lt;= 100 000 EUR | +10 delai confortable 18j</t>
        </is>
      </c>
      <c r="BC12" t="inlineStr">
        <is>
          <t>ENC-PSL publie un AO potentiellement pertinent pour CHRUTH : PRESTATION DE NETTOYAGE DES LOCAUX ET DE LA VITRERIE. Zone : Paris. Budget detecte environ 75 002 EUR. Verifier le lien source avant contact.</t>
        </is>
      </c>
      <c r="BD12"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ENC-PSL ?
Cordialement,</t>
        </is>
      </c>
      <c r="BE12" t="inlineStr">
        <is>
          <t>Bonjour, je vous appelle concernant un appel d'offres publié par ENC-PSL.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2026-W26</t>
        </is>
      </c>
    </row>
    <row r="13">
      <c r="A13" t="inlineStr">
        <is>
          <t>BOAMP</t>
        </is>
      </c>
      <c r="B13" t="inlineStr">
        <is>
          <t>26-62488</t>
        </is>
      </c>
      <c r="C13" t="inlineStr">
        <is>
          <t>Prestation de nettoyage des locaux et de la vitrerie</t>
        </is>
      </c>
      <c r="D13" t="inlineStr">
        <is>
          <t>ECOLE NATIONALE DES CHARTES</t>
        </is>
      </c>
      <c r="E13" t="inlineStr">
        <is>
          <t>19753478700043</t>
        </is>
      </c>
      <c r="F13" t="inlineStr">
        <is>
          <t>197534787</t>
        </is>
      </c>
      <c r="G13" t="inlineStr">
        <is>
          <t>service logistique</t>
        </is>
      </c>
      <c r="H13" t="inlineStr"/>
      <c r="I13" t="inlineStr">
        <is>
          <t>daf@chartes.psl.eu</t>
        </is>
      </c>
      <c r="J13" t="inlineStr">
        <is>
          <t>06-24 2026-07</t>
        </is>
      </c>
      <c r="K13" t="inlineStr">
        <is>
          <t>Paris 75002</t>
        </is>
      </c>
      <c r="L13" t="inlineStr">
        <is>
          <t>75002</t>
        </is>
      </c>
      <c r="M13" t="inlineStr">
        <is>
          <t>Paris</t>
        </is>
      </c>
      <c r="N13" t="inlineStr">
        <is>
          <t>75,77,78,91,92,93,94,95</t>
        </is>
      </c>
      <c r="O13" t="inlineStr"/>
      <c r="P13" t="inlineStr">
        <is>
          <t>Ile-de-France</t>
        </is>
      </c>
      <c r="Q13" s="15" t="n">
        <v>46197</v>
      </c>
      <c r="R13" s="15" t="n">
        <v>46227</v>
      </c>
      <c r="S13" t="inlineStr"/>
      <c r="T13" t="inlineStr">
        <is>
          <t>A_VERIFIER_BUDGET</t>
        </is>
      </c>
      <c r="U13" t="inlineStr"/>
      <c r="V13" t="inlineStr">
        <is>
          <t>non</t>
        </is>
      </c>
      <c r="W13" t="inlineStr">
        <is>
          <t>Vitres</t>
        </is>
      </c>
      <c r="X13" t="inlineStr">
        <is>
          <t>Ecole</t>
        </is>
      </c>
      <c r="Y13" t="inlineStr">
        <is>
          <t>SERVICES</t>
        </is>
      </c>
      <c r="Z13" t="inlineStr">
        <is>
          <t>Procédure Ouverte</t>
        </is>
      </c>
      <c r="AA13" t="inlineStr">
        <is>
          <t>Avis de marché</t>
        </is>
      </c>
      <c r="AB13" t="inlineStr">
        <is>
          <t>Nettoyage de locaux</t>
        </is>
      </c>
      <c r="AC13" t="inlineStr">
        <is>
          <t>['environnementaux']</t>
        </is>
      </c>
      <c r="AD13" s="11" t="inlineStr">
        <is>
          <t>https://www.boamp.fr/pages/avis/?q=idweb:26-62488</t>
        </is>
      </c>
      <c r="AE13" t="inlineStr"/>
      <c r="AF13" t="inlineStr"/>
      <c r="AG13" t="inlineStr">
        <is>
          <t>nettoyage</t>
        </is>
      </c>
      <c r="AH13" t="inlineStr">
        <is>
          <t>6</t>
        </is>
      </c>
      <c r="AI13" t="inlineStr">
        <is>
          <t>98</t>
        </is>
      </c>
      <c r="AJ13" t="inlineStr">
        <is>
          <t>INFO_PARTIELLE</t>
        </is>
      </c>
      <c r="AK13" t="inlineStr">
        <is>
          <t>65</t>
        </is>
      </c>
      <c r="AL13" s="13" t="inlineStr">
        <is>
          <t>CHAUD</t>
        </is>
      </c>
      <c r="AM13" t="inlineStr"/>
      <c r="AN13" t="inlineStr"/>
      <c r="AO13" t="inlineStr"/>
      <c r="AP13" t="inlineStr"/>
      <c r="AQ13" t="inlineStr">
        <is>
          <t>IA_BUDGET_A_VERIFIER</t>
        </is>
      </c>
      <c r="AR13" t="inlineStr">
        <is>
          <t>Verifier le budget dans l'avis source ou le DCE avant decision commerciale.</t>
        </is>
      </c>
      <c r="AS13" t="inlineStr">
        <is>
          <t>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26-62488. Objet: Prestation de nettoyage des locaux et de la vitrerie. Acheteur: ECOLE NATIONALE DES CHARTES. Lien: https://www.boamp.fr/pages/avis/?q=idweb:26-62488.</t>
        </is>
      </c>
      <c r="AU13" t="inlineStr">
        <is>
          <t>Verifier url_avis et DCE si disponible</t>
        </is>
      </c>
      <c r="AV13" t="inlineStr"/>
      <c r="AW13" t="inlineStr"/>
      <c r="AX13" t="inlineStr"/>
      <c r="AY13" t="inlineStr"/>
      <c r="AZ13" t="inlineStr"/>
      <c r="BA13" t="inlineStr"/>
      <c r="BB13" t="inlineStr">
        <is>
          <t>+35 nettoyage + categorie claire | +10 budget non affiche (a verifier) | +10 secteur cible Ecole | +10 delai confortable 18j</t>
        </is>
      </c>
      <c r="BC13" t="inlineStr">
        <is>
          <t>ECOLE NATIONALE DES CHARTES publie un AO potentiellement pertinent pour CHRUTH : Prestation de nettoyage des locaux et de la vitrerie. Zone : Paris. Budget a verifier. Verifier le lien source avant contact.</t>
        </is>
      </c>
      <c r="BD13" t="inlineStr">
        <is>
          <t>Bonjour,
Je me permets de vous contacter au sujet de votre appel d'offres : Prestation de nettoyage des locaux et de la vitrerie.
CHRUTH accompagne les structures publiques et privées sur les besoins de nettoyage, d'entretien des locaux et d'organisation de prestations de service.
Serait-il possible d'échanger rapidement afin de vérifier les modalités de réponse et les attentes de ECOLE NATIONALE DES CHARTES ?
Cordialement,</t>
        </is>
      </c>
      <c r="BE13" t="inlineStr">
        <is>
          <t>Bonjour, je vous appelle concernant un appel d'offres publié par ECOLE NATIONALE DES CHARTES.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2026-W26</t>
        </is>
      </c>
    </row>
    <row r="14">
      <c r="A14" t="inlineStr">
        <is>
          <t>BOAMP</t>
        </is>
      </c>
      <c r="B14" t="inlineStr">
        <is>
          <t>26-61263</t>
        </is>
      </c>
      <c r="C14" t="inlineStr">
        <is>
          <t>NETTOYAGE ET ENTRETIEN DES BATIMENTS COMMUNAUX</t>
        </is>
      </c>
      <c r="D14" t="inlineStr">
        <is>
          <t>MAIRIE DE MERIEL</t>
        </is>
      </c>
      <c r="E14" t="inlineStr">
        <is>
          <t>21950392700010</t>
        </is>
      </c>
      <c r="F14" t="inlineStr">
        <is>
          <t>219503927</t>
        </is>
      </c>
      <c r="G14" t="inlineStr"/>
      <c r="H14" t="inlineStr"/>
      <c r="I14" t="inlineStr">
        <is>
          <t>dgs@meriel.fr</t>
        </is>
      </c>
      <c r="J14" t="inlineStr">
        <is>
          <t>0392700010</t>
        </is>
      </c>
      <c r="K14" t="inlineStr"/>
      <c r="L14" t="inlineStr"/>
      <c r="M14" t="inlineStr"/>
      <c r="N14" t="inlineStr">
        <is>
          <t>95</t>
        </is>
      </c>
      <c r="O14" t="inlineStr"/>
      <c r="P14" t="inlineStr">
        <is>
          <t>Ile-de-France</t>
        </is>
      </c>
      <c r="Q14" s="15" t="n">
        <v>46194</v>
      </c>
      <c r="R14" s="15" t="n">
        <v>46227</v>
      </c>
      <c r="S14" t="inlineStr"/>
      <c r="T14" t="inlineStr">
        <is>
          <t>A_VERIFIER_BUDGET</t>
        </is>
      </c>
      <c r="U14" t="inlineStr"/>
      <c r="V14" t="inlineStr">
        <is>
          <t>non</t>
        </is>
      </c>
      <c r="W14" t="inlineStr">
        <is>
          <t>Vitres</t>
        </is>
      </c>
      <c r="X14" t="inlineStr">
        <is>
          <t>Mairie</t>
        </is>
      </c>
      <c r="Y14" t="inlineStr">
        <is>
          <t>SERVICES</t>
        </is>
      </c>
      <c r="Z14" t="inlineStr">
        <is>
          <t>Procédure Ouverte</t>
        </is>
      </c>
      <c r="AA14" t="inlineStr">
        <is>
          <t>Avis de marché</t>
        </is>
      </c>
      <c r="AB14" t="inlineStr">
        <is>
          <t>Nettoyage de locaux</t>
        </is>
      </c>
      <c r="AC14" t="inlineStr"/>
      <c r="AD14" s="11" t="inlineStr">
        <is>
          <t>https://www.boamp.fr/pages/avis/?q=idweb:26-61263</t>
        </is>
      </c>
      <c r="AE14" t="inlineStr">
        <is>
          <t>https://www.maximilien.fr</t>
        </is>
      </c>
      <c r="AF14" t="inlineStr">
        <is>
          <t>https://www.maximilien.fr</t>
        </is>
      </c>
      <c r="AG14" t="inlineStr">
        <is>
          <t>nettoyage</t>
        </is>
      </c>
      <c r="AH14" t="inlineStr">
        <is>
          <t>3</t>
        </is>
      </c>
      <c r="AI14" t="inlineStr">
        <is>
          <t>68</t>
        </is>
      </c>
      <c r="AJ14" t="inlineStr">
        <is>
          <t>INFO_PARTIELLE</t>
        </is>
      </c>
      <c r="AK14" t="inlineStr">
        <is>
          <t>65</t>
        </is>
      </c>
      <c r="AL14" s="13" t="inlineStr">
        <is>
          <t>CHAUD</t>
        </is>
      </c>
      <c r="AM14" t="inlineStr"/>
      <c r="AN14" t="inlineStr"/>
      <c r="AO14" t="inlineStr"/>
      <c r="AP14" t="inlineStr"/>
      <c r="AQ14" t="inlineStr">
        <is>
          <t>IA_BUDGET_A_VERIFIER</t>
        </is>
      </c>
      <c r="AR14" t="inlineStr">
        <is>
          <t>Verifier le budget dans l'avis source ou le DCE avant decision commerciale.</t>
        </is>
      </c>
      <c r="AS14" t="inlineStr">
        <is>
          <t>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26-61263. Objet: NETTOYAGE ET ENTRETIEN DES BATIMENTS COMMUNAUX. Acheteur: MAIRIE DE MERIEL. Lien: https://www.boamp.fr/pages/avis/?q=idweb:26-61263.</t>
        </is>
      </c>
      <c r="AU14" t="inlineStr">
        <is>
          <t>Verifier url_avis et DCE si disponible</t>
        </is>
      </c>
      <c r="AV14" t="inlineStr">
        <is>
          <t>LIEN_SEUL</t>
        </is>
      </c>
      <c r="AW14" t="inlineStr"/>
      <c r="AX14" t="inlineStr"/>
      <c r="AY14" t="inlineStr"/>
      <c r="AZ14" t="inlineStr"/>
      <c r="BA14" t="inlineStr"/>
      <c r="BB14" t="inlineStr">
        <is>
          <t>+35 nettoyage + categorie claire | +10 budget non affiche (a verifier) | +10 secteur cible Mairie | +10 delai confortable 19j</t>
        </is>
      </c>
      <c r="BC14" t="inlineStr">
        <is>
          <t>MAIRIE DE MERIEL publie un AO potentiellement pertinent pour CHRUTH : NETTOYAGE ET ENTRETIEN DES BATIMENTS COMMUNAUX. Zone : 95. Budget a verifier. Verifier le lien source avant contact.</t>
        </is>
      </c>
      <c r="BD14" t="inlineStr">
        <is>
          <t>Bonjour,
Je me permets de vous contacter au sujet de votre appel d'offres : NETTOYAGE ET ENTRETIEN DES BATIMENTS COMMUNAUX.
CHRUTH accompagne les structures publiques et privées sur les besoins de nettoyage, d'entretien des locaux et d'organisation de prestations de service.
Serait-il possible d'échanger rapidement afin de vérifier les modalités de réponse et les attentes de MAIRIE DE MERIEL ?
Cordialement,</t>
        </is>
      </c>
      <c r="BE14" t="inlineStr">
        <is>
          <t>Bonjour, je vous appelle concernant un appel d'offres publié par MAIRIE DE MERIEL.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2026-W25</t>
        </is>
      </c>
    </row>
    <row r="15">
      <c r="A15" t="inlineStr">
        <is>
          <t>BOAMP</t>
        </is>
      </c>
      <c r="B15" t="inlineStr">
        <is>
          <t>26-60231</t>
        </is>
      </c>
      <c r="C15" t="inlineStr">
        <is>
          <t>Nettoyage des locaux communaux et des vitreries des bâtiments communaux</t>
        </is>
      </c>
      <c r="D15" t="inlineStr">
        <is>
          <t>Ville de Fontenay-aux-Roses</t>
        </is>
      </c>
      <c r="E15" t="inlineStr"/>
      <c r="F15" t="inlineStr"/>
      <c r="G15" t="inlineStr"/>
      <c r="H15" t="inlineStr"/>
      <c r="I15" t="inlineStr">
        <is>
          <t>publications-joue@aws-france.com</t>
        </is>
      </c>
      <c r="J15" t="inlineStr">
        <is>
          <t>+33480041260</t>
        </is>
      </c>
      <c r="K15" t="inlineStr"/>
      <c r="L15" t="inlineStr"/>
      <c r="M15" t="inlineStr"/>
      <c r="N15" t="inlineStr">
        <is>
          <t>92</t>
        </is>
      </c>
      <c r="O15" t="inlineStr"/>
      <c r="P15" t="inlineStr">
        <is>
          <t>Ile-de-France</t>
        </is>
      </c>
      <c r="Q15" s="15" t="n">
        <v>46192</v>
      </c>
      <c r="R15" s="15" t="n">
        <v>46232</v>
      </c>
      <c r="S15" t="inlineStr"/>
      <c r="T15" t="inlineStr">
        <is>
          <t>A_VERIFIER_BUDGET</t>
        </is>
      </c>
      <c r="U15" t="inlineStr"/>
      <c r="V15" t="inlineStr">
        <is>
          <t>non</t>
        </is>
      </c>
      <c r="W15" t="inlineStr">
        <is>
          <t>Vitres</t>
        </is>
      </c>
      <c r="X15" t="inlineStr">
        <is>
          <t>Mairie</t>
        </is>
      </c>
      <c r="Y15" t="inlineStr">
        <is>
          <t>SERVICES</t>
        </is>
      </c>
      <c r="Z15" t="inlineStr">
        <is>
          <t>Procédure Ouverte</t>
        </is>
      </c>
      <c r="AA15" t="inlineStr">
        <is>
          <t>Avis de marché</t>
        </is>
      </c>
      <c r="AB15" t="inlineStr">
        <is>
          <t>Nettoyage de locaux, Vitrerie</t>
        </is>
      </c>
      <c r="AC15" t="inlineStr">
        <is>
          <t>['environnementaux']</t>
        </is>
      </c>
      <c r="AD15" s="11" t="inlineStr">
        <is>
          <t>https://www.boamp.fr/pages/avis/?q=idweb:26-60231</t>
        </is>
      </c>
      <c r="AE15" t="inlineStr">
        <is>
          <t>https://www.marches-publics.info/accueil.htm</t>
        </is>
      </c>
      <c r="AF15" t="inlineStr">
        <is>
          <t>https://www.marches-publics.info/accueil.htm</t>
        </is>
      </c>
      <c r="AG15" t="inlineStr">
        <is>
          <t>nettoyage</t>
        </is>
      </c>
      <c r="AH15" t="inlineStr">
        <is>
          <t>2</t>
        </is>
      </c>
      <c r="AI15" t="inlineStr">
        <is>
          <t>58</t>
        </is>
      </c>
      <c r="AJ15" t="inlineStr">
        <is>
          <t>INFO_PARTIELLE</t>
        </is>
      </c>
      <c r="AK15" t="inlineStr">
        <is>
          <t>65</t>
        </is>
      </c>
      <c r="AL15" s="13" t="inlineStr">
        <is>
          <t>CHAUD</t>
        </is>
      </c>
      <c r="AM15" t="inlineStr"/>
      <c r="AN15" t="inlineStr"/>
      <c r="AO15" t="inlineStr"/>
      <c r="AP15" t="inlineStr"/>
      <c r="AQ15" t="inlineStr">
        <is>
          <t>IA_BUDGET_A_VERIFIER</t>
        </is>
      </c>
      <c r="AR15" t="inlineStr">
        <is>
          <t>Verifier le budget dans l'avis source ou le DCE avant decision commerciale.</t>
        </is>
      </c>
      <c r="AS15" t="inlineStr">
        <is>
          <t>SIRET, 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26-60231. Objet: Nettoyage des locaux communaux et des vitreries des bâtiments communaux. Acheteur: Ville de Fontenay-aux-Roses. Lien: https://www.boamp.fr/pages/avis/?q=idweb:26-60231.</t>
        </is>
      </c>
      <c r="AU15" t="inlineStr">
        <is>
          <t>Verifier url_avis et DCE si disponible</t>
        </is>
      </c>
      <c r="AV15" t="inlineStr">
        <is>
          <t>LIEN_SEUL</t>
        </is>
      </c>
      <c r="AW15" t="inlineStr"/>
      <c r="AX15" t="inlineStr"/>
      <c r="AY15" t="inlineStr"/>
      <c r="AZ15" t="inlineStr"/>
      <c r="BA15" t="inlineStr"/>
      <c r="BB15" t="inlineStr">
        <is>
          <t>+35 nettoyage + categorie claire | +10 budget non affiche (a verifier) | +10 secteur cible Mairie | +10 delai confortable 26j</t>
        </is>
      </c>
      <c r="BC15" t="inlineStr">
        <is>
          <t>Ville de Fontenay-aux-Roses publie un AO potentiellement pertinent pour CHRUTH : Nettoyage des locaux communaux et des vitreries des bâtiments communaux. Zone : 92. Budget a verifier. Verifier le lien source avant contact.</t>
        </is>
      </c>
      <c r="BD15"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5"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2026-W25</t>
        </is>
      </c>
    </row>
    <row r="16">
      <c r="A16" t="inlineStr">
        <is>
          <t>BOAMP</t>
        </is>
      </c>
      <c r="B16" t="inlineStr">
        <is>
          <t>26-59493</t>
        </is>
      </c>
      <c r="C16" t="inlineStr">
        <is>
          <t>Prestations de nettoyage des locaux administratifs et des espaces ouverts au public des tours de la Cathédrale Notre-Dame de Paris</t>
        </is>
      </c>
      <c r="D16" t="inlineStr">
        <is>
          <t>Centre des Monuments Nationaux</t>
        </is>
      </c>
      <c r="E16" t="inlineStr">
        <is>
          <t>18004601300017</t>
        </is>
      </c>
      <c r="F16" t="inlineStr">
        <is>
          <t>180046013</t>
        </is>
      </c>
      <c r="G16" t="inlineStr"/>
      <c r="H16" t="inlineStr"/>
      <c r="I16" t="inlineStr">
        <is>
          <t>marches-publics@monuments-nationaux.fr</t>
        </is>
      </c>
      <c r="J16" t="inlineStr">
        <is>
          <t>0460130001</t>
        </is>
      </c>
      <c r="K16" t="inlineStr"/>
      <c r="L16" t="inlineStr"/>
      <c r="M16" t="inlineStr"/>
      <c r="N16" t="inlineStr">
        <is>
          <t>75</t>
        </is>
      </c>
      <c r="O16" t="inlineStr"/>
      <c r="P16" t="inlineStr">
        <is>
          <t>Ile-de-France</t>
        </is>
      </c>
      <c r="Q16" s="15" t="n">
        <v>46190</v>
      </c>
      <c r="R16" s="15" t="n">
        <v>46220</v>
      </c>
      <c r="S16" s="14" t="n">
        <v>85000</v>
      </c>
      <c r="T16" t="inlineStr">
        <is>
          <t>BUDGET_SOUS_SEUIL</t>
        </is>
      </c>
      <c r="U16" t="inlineStr">
        <is>
          <t>85000</t>
        </is>
      </c>
      <c r="V16" t="inlineStr">
        <is>
          <t>oui</t>
        </is>
      </c>
      <c r="W16" t="inlineStr">
        <is>
          <t>Batiments</t>
        </is>
      </c>
      <c r="X16" t="inlineStr">
        <is>
          <t>Autre</t>
        </is>
      </c>
      <c r="Y16" t="inlineStr">
        <is>
          <t>SERVICES</t>
        </is>
      </c>
      <c r="Z16" t="inlineStr">
        <is>
          <t>Procédure Ouverte</t>
        </is>
      </c>
      <c r="AA16" t="inlineStr">
        <is>
          <t>Avis de marché</t>
        </is>
      </c>
      <c r="AB16" t="inlineStr">
        <is>
          <t>Nettoyage de locaux, Monuments historiques</t>
        </is>
      </c>
      <c r="AC16" t="inlineStr"/>
      <c r="AD16" s="11" t="inlineStr">
        <is>
          <t>https://www.boamp.fr/pages/avis/?q=idweb:26-59493</t>
        </is>
      </c>
      <c r="AE16" t="inlineStr">
        <is>
          <t>https://www.marches-publics.gouv.fr/?page=Entreprise.EntrepriseAdvancedSearch&amp;AllCons&amp;id=2577066&amp;orgAcronyme=f5j</t>
        </is>
      </c>
      <c r="AF16" t="inlineStr">
        <is>
          <t>https://www.marches-publics.gouv.fr/?page=Entreprise.EntrepriseAdvancedSearch&amp;AllCons&amp;id=2577066&amp;orgAcronyme=f5j</t>
        </is>
      </c>
      <c r="AG16" t="inlineStr">
        <is>
          <t>nettoyage</t>
        </is>
      </c>
      <c r="AH16" t="inlineStr">
        <is>
          <t>3</t>
        </is>
      </c>
      <c r="AI16" t="inlineStr">
        <is>
          <t>68</t>
        </is>
      </c>
      <c r="AJ16" t="inlineStr">
        <is>
          <t>INFO_PARTIELLE</t>
        </is>
      </c>
      <c r="AK16" t="inlineStr">
        <is>
          <t>65</t>
        </is>
      </c>
      <c r="AL16" s="13" t="inlineStr">
        <is>
          <t>CHAUD</t>
        </is>
      </c>
      <c r="AM16" t="inlineStr"/>
      <c r="AN16" t="inlineStr"/>
      <c r="AO16" t="inlineStr"/>
      <c r="AP16" t="inlineStr"/>
      <c r="AQ16" t="inlineStr">
        <is>
          <t>IA_CONTACT_A_COMPLETER</t>
        </is>
      </c>
      <c r="AR16" t="inlineStr">
        <is>
          <t>Completer les champs manquants depuis l'avis source, le site acheteur ou le DCE.</t>
        </is>
      </c>
      <c r="AS16" t="inlineStr">
        <is>
          <t>adresse, ville</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26-59493. Objet: Prestations de nettoyage des locaux administratifs et des espaces ouverts au public des tours de la Cathédrale Notre-Dame de Paris. Acheteur: Centre des Monuments Nationaux. Lien: https://www.boamp.fr/pages/avis/?q=idweb:26-59493.</t>
        </is>
      </c>
      <c r="AU16" t="inlineStr">
        <is>
          <t>Verifier url_avis et DCE si disponible</t>
        </is>
      </c>
      <c r="AV16" t="inlineStr"/>
      <c r="AW16" t="inlineStr"/>
      <c r="AX16" t="inlineStr"/>
      <c r="AY16" t="inlineStr"/>
      <c r="AZ16" t="inlineStr"/>
      <c r="BA16" t="inlineStr"/>
      <c r="BB16" t="inlineStr">
        <is>
          <t>+35 nettoyage + categorie claire | +20 budget annualise &lt;= 100 000 EUR | +10 delai confortable 25j</t>
        </is>
      </c>
      <c r="BC16" t="inlineStr">
        <is>
          <t>Centre des Monuments Nationaux publie un AO potentiellement pertinent pour CHRUTH : Prestations de nettoyage des locaux administratifs et des espaces ouverts au public des tours de la Cathédrale Notre-Dame de Paris. Zone : 75. Budget detecte environ 85 000 EUR. Verifier le lien source avant contact.</t>
        </is>
      </c>
      <c r="BD16" t="inlineStr">
        <is>
          <t>Bonjour,
Je me permets de vous contacter au sujet de votre appel d'offres : Prestations de nettoyage des locaux administratifs et des espaces ouverts au public des tours de la Cathédrale Notre-Dame de Paris.
CHRUTH accompagne les structures publiques et privees sur les besoins de nettoyage, d'entretien des locaux et d'organisation de prestations de service.
Serait-il possible d'echanger rapidement afin de verifier les modalites de reponse et les attentes de Centre des Monuments Nationaux ?
Cordialement,</t>
        </is>
      </c>
      <c r="BE16" t="inlineStr">
        <is>
          <t>Bonjour, je vous appelle concernant un appel d'offres publie par Centre des Monuments Nationaux. Je souhaite verifier les informations pratiques : perimetre des prestations, date limite, modalites de visite, contact technique et pieces attendues. Pouvez-vous m'indiquer la bonne personne a contacter ?</t>
        </is>
      </c>
      <c r="BF16" t="inlineStr"/>
      <c r="BG16" t="inlineStr"/>
      <c r="BH16" t="inlineStr"/>
      <c r="BI16" t="inlineStr"/>
      <c r="BJ16" t="inlineStr"/>
      <c r="BK16" t="inlineStr"/>
      <c r="BL16" t="inlineStr"/>
      <c r="BM16" t="inlineStr">
        <is>
          <t>2026-W25</t>
        </is>
      </c>
    </row>
    <row r="17">
      <c r="A17" t="inlineStr">
        <is>
          <t>BOAMP</t>
        </is>
      </c>
      <c r="B17" t="inlineStr">
        <is>
          <t>26-56367</t>
        </is>
      </c>
      <c r="C17" t="inlineStr">
        <is>
          <t>Prestations de nettoyage courant des locaux administratifs de Pantin Habitat</t>
        </is>
      </c>
      <c r="D17" t="inlineStr">
        <is>
          <t>Pantin Habitat</t>
        </is>
      </c>
      <c r="E17" t="inlineStr">
        <is>
          <t>31162223700049</t>
        </is>
      </c>
      <c r="F17" t="inlineStr">
        <is>
          <t>311622237</t>
        </is>
      </c>
      <c r="G17" t="inlineStr">
        <is>
          <t>PANTIN HABITAT</t>
        </is>
      </c>
      <c r="H17" t="inlineStr"/>
      <c r="I17" t="inlineStr">
        <is>
          <t>servicedesmarches@pantinhabitat.fr</t>
        </is>
      </c>
      <c r="J17" t="inlineStr">
        <is>
          <t>01 48 44 73 03</t>
        </is>
      </c>
      <c r="K17" t="inlineStr">
        <is>
          <t>Seine-Saint-Denis</t>
        </is>
      </c>
      <c r="L17" t="inlineStr">
        <is>
          <t>93697</t>
        </is>
      </c>
      <c r="M17" t="inlineStr">
        <is>
          <t>Pantin cedex</t>
        </is>
      </c>
      <c r="N17" t="inlineStr">
        <is>
          <t>93,75,92,94</t>
        </is>
      </c>
      <c r="O17" t="inlineStr"/>
      <c r="P17" t="inlineStr">
        <is>
          <t>Ile-de-France</t>
        </is>
      </c>
      <c r="Q17" s="15" t="n">
        <v>46181</v>
      </c>
      <c r="R17" s="15" t="n">
        <v>46211</v>
      </c>
      <c r="S17" s="14" t="n">
        <v>93697</v>
      </c>
      <c r="T17" t="inlineStr">
        <is>
          <t>BUDGET_SOUS_SEUIL</t>
        </is>
      </c>
      <c r="U17" t="inlineStr">
        <is>
          <t>93697.0</t>
        </is>
      </c>
      <c r="V17" t="inlineStr">
        <is>
          <t>non</t>
        </is>
      </c>
      <c r="W17" t="inlineStr">
        <is>
          <t>Vitres</t>
        </is>
      </c>
      <c r="X17" t="inlineStr">
        <is>
          <t>Autre</t>
        </is>
      </c>
      <c r="Y17" t="inlineStr">
        <is>
          <t>SERVICES</t>
        </is>
      </c>
      <c r="Z17" t="inlineStr">
        <is>
          <t>Procédure Ouverte</t>
        </is>
      </c>
      <c r="AA17" t="inlineStr">
        <is>
          <t>Avis de marché</t>
        </is>
      </c>
      <c r="AB17" t="inlineStr">
        <is>
          <t>Nettoyage de locaux</t>
        </is>
      </c>
      <c r="AC17" t="inlineStr">
        <is>
          <t>['sociaux', 'environnementaux']</t>
        </is>
      </c>
      <c r="AD17" s="11" t="inlineStr">
        <is>
          <t>https://www.boamp.fr/pages/avis/?q=idweb:26-56367</t>
        </is>
      </c>
      <c r="AE17" t="inlineStr">
        <is>
          <t>https://www.achatpublic.com/sdm/ent/gen/ent_detail.do?PCSLID=CSL_2026_KUKPQ4kzgA</t>
        </is>
      </c>
      <c r="AF17" t="inlineStr">
        <is>
          <t>https://www.achatpublic.com/sdm/ent/gen/ent_detail.do?PCSLID=CSL_2026_KUKPQ4kzgA</t>
        </is>
      </c>
      <c r="AG17" t="inlineStr">
        <is>
          <t>nettoyage</t>
        </is>
      </c>
      <c r="AH17" t="inlineStr">
        <is>
          <t>6</t>
        </is>
      </c>
      <c r="AI17" t="inlineStr">
        <is>
          <t>98</t>
        </is>
      </c>
      <c r="AJ17" t="inlineStr">
        <is>
          <t>INFO_PARTIELLE</t>
        </is>
      </c>
      <c r="AK17" t="inlineStr">
        <is>
          <t>65</t>
        </is>
      </c>
      <c r="AL17" s="13" t="inlineStr">
        <is>
          <t>CHAUD</t>
        </is>
      </c>
      <c r="AM17" t="inlineStr"/>
      <c r="AN17" t="inlineStr"/>
      <c r="AO17" t="inlineStr"/>
      <c r="AP17" t="inlineStr"/>
      <c r="AQ17" t="inlineStr">
        <is>
          <t>IA_CONTROLE_SOURCE</t>
        </is>
      </c>
      <c r="AR17" t="inlineStr">
        <is>
          <t>Verifier rapidement la source avant contact.</t>
        </is>
      </c>
      <c r="AS17" t="inlineStr">
        <is>
          <t>Aucun champ critique manquant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26-56367. Objet: Prestations de nettoyage courant des locaux administratifs de Pantin Habitat. Acheteur: Pantin Habitat. Lien: https://www.boamp.fr/pages/avis/?q=idweb:26-56367.</t>
        </is>
      </c>
      <c r="AU17" t="inlineStr">
        <is>
          <t>Verifier url_avis et DCE si disponible</t>
        </is>
      </c>
      <c r="AV17" t="inlineStr"/>
      <c r="AW17" t="inlineStr"/>
      <c r="AX17" t="inlineStr"/>
      <c r="AY17" t="inlineStr"/>
      <c r="AZ17" t="inlineStr"/>
      <c r="BA17" t="inlineStr"/>
      <c r="BB17" t="inlineStr">
        <is>
          <t>+35 nettoyage + categorie claire | +20 budget annualise &lt;= 100 000 EUR | +10 delai confortable 16j</t>
        </is>
      </c>
      <c r="BC17" t="inlineStr">
        <is>
          <t>Pantin Habitat publie un AO potentiellement pertinent pour CHRUTH : Prestations de nettoyage courant des locaux administratifs de Pantin Habitat. Zone : Pantin cedex. Budget detecte environ 93 697 EUR. Verifier le lien source avant contact.</t>
        </is>
      </c>
      <c r="BD17" t="inlineStr">
        <is>
          <t>Bonjour,
Je me permets de vous contacter au sujet de votre appel d'offres : Prestations de nettoyage courant des locaux administratifs de Pantin Habitat.
CHRUTH accompagne les structures publiques et privees sur les besoins de nettoyage, d'entretien des locaux et d'organisation de prestations de service.
Serait-il possible d'echanger rapidement afin de verifier les modalites de reponse et les attentes de Pantin Habitat ?
Cordialement,</t>
        </is>
      </c>
      <c r="BE17" t="inlineStr">
        <is>
          <t>Bonjour, je vous appelle concernant un appel d'offres publie par Pantin Habitat. Je souhaite verifier les informations pratiques : perimetre des prestations, date limite, modalites de visite, contact technique et pieces attendues. Pouvez-vous m'indiquer la bonne personne a contacter ?</t>
        </is>
      </c>
      <c r="BF17" t="inlineStr"/>
      <c r="BG17" t="inlineStr"/>
      <c r="BH17" t="inlineStr"/>
      <c r="BI17" t="inlineStr"/>
      <c r="BJ17" t="inlineStr"/>
      <c r="BK17" t="inlineStr"/>
      <c r="BL17" t="inlineStr"/>
      <c r="BM17" t="inlineStr">
        <is>
          <t>2026-W24</t>
        </is>
      </c>
    </row>
    <row r="18">
      <c r="A18" t="inlineStr">
        <is>
          <t>BOAMP</t>
        </is>
      </c>
      <c r="B18" t="inlineStr">
        <is>
          <t>26-55118</t>
        </is>
      </c>
      <c r="C18" t="inlineStr">
        <is>
          <t>Nettoyage des locaux des bâtiments de la commune de Châtillon (92320)</t>
        </is>
      </c>
      <c r="D18" t="inlineStr">
        <is>
          <t>Commune de CHATILLON</t>
        </is>
      </c>
      <c r="E18" t="inlineStr"/>
      <c r="F18" t="inlineStr"/>
      <c r="G18" t="inlineStr"/>
      <c r="H18" t="inlineStr"/>
      <c r="I18" t="inlineStr">
        <is>
          <t>publications-joue@aws-france.com</t>
        </is>
      </c>
      <c r="J18" t="inlineStr">
        <is>
          <t>+33480041260</t>
        </is>
      </c>
      <c r="K18" t="inlineStr"/>
      <c r="L18" t="inlineStr"/>
      <c r="M18" t="inlineStr"/>
      <c r="N18" t="inlineStr">
        <is>
          <t>92</t>
        </is>
      </c>
      <c r="O18" t="inlineStr"/>
      <c r="P18" t="inlineStr">
        <is>
          <t>Ile-de-France</t>
        </is>
      </c>
      <c r="Q18" s="15" t="n">
        <v>46179</v>
      </c>
      <c r="R18" s="15" t="n">
        <v>46213</v>
      </c>
      <c r="S18" t="inlineStr"/>
      <c r="T18" t="inlineStr">
        <is>
          <t>A_VERIFIER_BUDGET</t>
        </is>
      </c>
      <c r="U18" t="inlineStr"/>
      <c r="V18" t="inlineStr">
        <is>
          <t>non</t>
        </is>
      </c>
      <c r="W18" t="inlineStr">
        <is>
          <t>Batiments</t>
        </is>
      </c>
      <c r="X18" t="inlineStr">
        <is>
          <t>Mairie</t>
        </is>
      </c>
      <c r="Y18" t="inlineStr">
        <is>
          <t>SERVICES</t>
        </is>
      </c>
      <c r="Z18" t="inlineStr">
        <is>
          <t>Procédure Ouverte</t>
        </is>
      </c>
      <c r="AA18" t="inlineStr">
        <is>
          <t>Avis de marché</t>
        </is>
      </c>
      <c r="AB18" t="inlineStr">
        <is>
          <t>Nettoyage de locaux</t>
        </is>
      </c>
      <c r="AC18" t="inlineStr">
        <is>
          <t>['environnementaux']</t>
        </is>
      </c>
      <c r="AD18" s="11" t="inlineStr">
        <is>
          <t>https://www.boamp.fr/pages/avis/?q=idweb:26-55118</t>
        </is>
      </c>
      <c r="AE18" t="inlineStr">
        <is>
          <t>https://www.marches-publics.info</t>
        </is>
      </c>
      <c r="AF18" t="inlineStr">
        <is>
          <t>https://www.marches-publics.info</t>
        </is>
      </c>
      <c r="AG18" t="inlineStr">
        <is>
          <t>nettoyage</t>
        </is>
      </c>
      <c r="AH18" t="inlineStr">
        <is>
          <t>2</t>
        </is>
      </c>
      <c r="AI18" t="inlineStr">
        <is>
          <t>58</t>
        </is>
      </c>
      <c r="AJ18" t="inlineStr">
        <is>
          <t>INFO_PARTIELLE</t>
        </is>
      </c>
      <c r="AK18" t="inlineStr">
        <is>
          <t>65</t>
        </is>
      </c>
      <c r="AL18" s="13" t="inlineStr">
        <is>
          <t>CHAUD</t>
        </is>
      </c>
      <c r="AM18" t="inlineStr"/>
      <c r="AN18" t="inlineStr"/>
      <c r="AO18" t="inlineStr"/>
      <c r="AP18" t="inlineStr"/>
      <c r="AQ18" t="inlineStr">
        <is>
          <t>IA_BUDGET_A_VERIFIER</t>
        </is>
      </c>
      <c r="AR18" t="inlineStr">
        <is>
          <t>Verifier le budget dans l'avis source ou le DCE avant decision commerciale.</t>
        </is>
      </c>
      <c r="AS18" t="inlineStr">
        <is>
          <t>SIRET, 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26-55118. Objet: Nettoyage des locaux des bâtiments de la commune de Châtillon (92320). Acheteur: Commune de CHATILLON. Lien: https://www.boamp.fr/pages/avis/?q=idweb:26-55118.</t>
        </is>
      </c>
      <c r="AU18" t="inlineStr">
        <is>
          <t>Verifier url_avis et DCE si disponible</t>
        </is>
      </c>
      <c r="AV18" t="inlineStr">
        <is>
          <t>LIEN_SEUL</t>
        </is>
      </c>
      <c r="AW18" t="inlineStr"/>
      <c r="AX18" t="inlineStr"/>
      <c r="AY18" t="inlineStr"/>
      <c r="AZ18" t="inlineStr"/>
      <c r="BA18" t="inlineStr"/>
      <c r="BB18" t="inlineStr">
        <is>
          <t>+35 nettoyage + categorie claire | +10 budget non affiche (a verifier) | +10 secteur cible Mairie | +10 delai confortable 20j</t>
        </is>
      </c>
      <c r="BC18" t="inlineStr">
        <is>
          <t>Commune de CHATILLON publie un AO potentiellement pertinent pour CHRUTH : Nettoyage des locaux des bâtiments de la commune de Châtillon (92320). Zone : 92. Budget a verifier. Verifier le lien source avant contact.</t>
        </is>
      </c>
      <c r="BD18" t="inlineStr">
        <is>
          <t>Bonjour,
Je me permets de vous contacter au sujet de votre appel d'offres : Nettoyage des locaux des bâtiments de la commune de Châtillon (92320).
CHRUTH accompagne les structures publiques et privees sur les besoins de nettoyage, d'entretien des locaux et d'organisation de prestations de service.
Serait-il possible d'echanger rapidement afin de verifier les modalites de reponse et les attentes de Commune de CHATILLON ?
Cordialement,</t>
        </is>
      </c>
      <c r="BE18" t="inlineStr">
        <is>
          <t>Bonjour, je vous appelle concernant un appel d'offres publie par Commune de CHATILLON. Je souhaite verifier les informations pratiques : perimetre des prestations, date limite, modalites de visite, contact technique et pieces attendues. Pouvez-vous m'indiquer la bonne personne a contacter ?</t>
        </is>
      </c>
      <c r="BF18" t="inlineStr"/>
      <c r="BG18" t="inlineStr"/>
      <c r="BH18" t="inlineStr"/>
      <c r="BI18" t="inlineStr"/>
      <c r="BJ18" t="inlineStr"/>
      <c r="BK18" t="inlineStr"/>
      <c r="BL18" t="inlineStr"/>
      <c r="BM18" t="inlineStr">
        <is>
          <t>2026-W23</t>
        </is>
      </c>
    </row>
    <row r="19">
      <c r="A19" t="inlineStr">
        <is>
          <t>BOAMP</t>
        </is>
      </c>
      <c r="B19" t="inlineStr">
        <is>
          <t>26-54753</t>
        </is>
      </c>
      <c r="C19" t="inlineStr">
        <is>
          <t>PRESTATIONS DE NETTOYAGE DE LA MAISON DES JEUNES ET DE LA MAISON DE L'ENFANCE ET DE LA FAMILLE DE LA COMMUNE BOISSY-SAINT-LEGER</t>
        </is>
      </c>
      <c r="D19" t="inlineStr">
        <is>
          <t>Mairie Boissy Saint Léger</t>
        </is>
      </c>
      <c r="E19" t="inlineStr">
        <is>
          <t>21940004100014</t>
        </is>
      </c>
      <c r="F19" t="inlineStr">
        <is>
          <t>219400041</t>
        </is>
      </c>
      <c r="G19" t="inlineStr"/>
      <c r="H19" t="inlineStr"/>
      <c r="I19" t="inlineStr">
        <is>
          <t>marches.publics@ville-boissy.fr</t>
        </is>
      </c>
      <c r="J19" t="inlineStr">
        <is>
          <t>04100014 01</t>
        </is>
      </c>
      <c r="K19" t="inlineStr"/>
      <c r="L19" t="inlineStr"/>
      <c r="M19" t="inlineStr"/>
      <c r="N19" t="inlineStr">
        <is>
          <t>94,95</t>
        </is>
      </c>
      <c r="O19" t="inlineStr"/>
      <c r="P19" t="inlineStr">
        <is>
          <t>Ile-de-France</t>
        </is>
      </c>
      <c r="Q19" s="15" t="n">
        <v>46178</v>
      </c>
      <c r="R19" s="15" t="n">
        <v>46213</v>
      </c>
      <c r="S19" t="inlineStr"/>
      <c r="T19" t="inlineStr">
        <is>
          <t>A_VERIFIER_BUDGET</t>
        </is>
      </c>
      <c r="U19" t="inlineStr"/>
      <c r="V19" t="inlineStr">
        <is>
          <t>non</t>
        </is>
      </c>
      <c r="W19" t="inlineStr">
        <is>
          <t>Batiments</t>
        </is>
      </c>
      <c r="X19" t="inlineStr">
        <is>
          <t>Mairie</t>
        </is>
      </c>
      <c r="Y19" t="inlineStr">
        <is>
          <t>SERVICES</t>
        </is>
      </c>
      <c r="Z19" t="inlineStr">
        <is>
          <t>Procédure Ouverte</t>
        </is>
      </c>
      <c r="AA19" t="inlineStr">
        <is>
          <t>Avis de marché</t>
        </is>
      </c>
      <c r="AB19" t="inlineStr">
        <is>
          <t>Nettoyage de locaux</t>
        </is>
      </c>
      <c r="AC19" t="inlineStr">
        <is>
          <t>['sociaux', 'environnementaux']</t>
        </is>
      </c>
      <c r="AD19" s="11" t="inlineStr">
        <is>
          <t>https://www.boamp.fr/pages/avis/?q=idweb:26-54753</t>
        </is>
      </c>
      <c r="AE19" t="inlineStr">
        <is>
          <t>https://www.achatpublic.com/sdm/ent/gen/ent_detail.do?PCSLID=CSL_2026_Q0MbHTHdpI</t>
        </is>
      </c>
      <c r="AF19" t="inlineStr">
        <is>
          <t>https://www.achatpublic.com/sdm/ent/gen/ent_detail.do?PCSLID=CSL_2026_Q0MbHTHdpI</t>
        </is>
      </c>
      <c r="AG19" t="inlineStr">
        <is>
          <t>nettoyage</t>
        </is>
      </c>
      <c r="AH19" t="inlineStr">
        <is>
          <t>3</t>
        </is>
      </c>
      <c r="AI19" t="inlineStr">
        <is>
          <t>68</t>
        </is>
      </c>
      <c r="AJ19" t="inlineStr">
        <is>
          <t>INFO_PARTIELLE</t>
        </is>
      </c>
      <c r="AK19" t="inlineStr">
        <is>
          <t>65</t>
        </is>
      </c>
      <c r="AL19" s="13" t="inlineStr">
        <is>
          <t>CHAUD</t>
        </is>
      </c>
      <c r="AM19" t="inlineStr"/>
      <c r="AN19" t="inlineStr"/>
      <c r="AO19" t="inlineStr"/>
      <c r="AP19" t="inlineStr"/>
      <c r="AQ19" t="inlineStr">
        <is>
          <t>IA_BUDGET_A_VERIFIER</t>
        </is>
      </c>
      <c r="AR19" t="inlineStr">
        <is>
          <t>Verifier le budget dans l'avis source ou le DCE avant decision commerciale.</t>
        </is>
      </c>
      <c r="AS19" t="inlineStr">
        <is>
          <t>adresse, ville, budget</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26-54753. Objet: PRESTATIONS DE NETTOYAGE DE LA MAISON DES JEUNES ET DE LA MAISON DE L'ENFANCE ET DE LA FAMILLE DE LA COMMUNE BOISSY-SAINT-LEGER. Acheteur: Mairie Boissy Saint Léger. Lien: https://www.boamp.fr/pages/avis/?q=idweb:26-54753.</t>
        </is>
      </c>
      <c r="AU19" t="inlineStr">
        <is>
          <t>Verifier url_avis et DCE si disponible</t>
        </is>
      </c>
      <c r="AV19" t="inlineStr">
        <is>
          <t>LIEN_SEUL</t>
        </is>
      </c>
      <c r="AW19" t="inlineStr"/>
      <c r="AX19" t="inlineStr"/>
      <c r="AY19" t="inlineStr"/>
      <c r="AZ19" t="inlineStr"/>
      <c r="BA19" t="inlineStr"/>
      <c r="BB19" t="inlineStr">
        <is>
          <t>+35 nettoyage + categorie claire | +10 budget non affiche (a verifier) | +10 secteur cible Mairie | +10 delai confortable 21j</t>
        </is>
      </c>
      <c r="BC19" t="inlineStr">
        <is>
          <t>Mairie Boissy Saint Léger publie un AO potentiellement pertinent pour CHRUTH : PRESTATIONS DE NETTOYAGE DE LA MAISON DES JEUNES ET DE LA MAISON DE L'ENFANCE ET DE LA FAMILLE DE LA COMMUNE BOISSY-SAINT-LEGER. Zone : 94,95. Budget a verifier. Verifier le lien source avant contact.</t>
        </is>
      </c>
      <c r="BD19" t="inlineStr">
        <is>
          <t>Bonjour,
Je me permets de vous contacter au sujet de votre appel d'offres : PRESTATIONS DE NETTOYAGE DE LA MAISON DES JEUNES ET DE LA MAISON DE L'ENFANCE ET DE LA FAMILLE DE LA COMMUNE BOISSY-SAINT-LEGER.
CHRUTH accompagne les structures publiques et privees sur les besoins de nettoyage, d'entretien des locaux et d'organisation de prestations de service.
Serait-il possible d'echanger rapidement afin de verifier les modalites de reponse et les attentes de Mairie Boissy Saint Léger ?
Cordialement,</t>
        </is>
      </c>
      <c r="BE19" t="inlineStr">
        <is>
          <t>Bonjour, je vous appelle concernant un appel d'offres publie par Mairie Boissy Saint Léger. Je souhaite verifier les informations pratiques : perimetre des prestations, date limite, modalites de visite, contact technique et pieces attendues. Pouvez-vous m'indiquer la bonne personne a contacter ?</t>
        </is>
      </c>
      <c r="BF19" t="inlineStr"/>
      <c r="BG19" t="inlineStr"/>
      <c r="BH19" t="inlineStr"/>
      <c r="BI19" t="inlineStr"/>
      <c r="BJ19" t="inlineStr"/>
      <c r="BK19" t="inlineStr"/>
      <c r="BL19" t="inlineStr"/>
      <c r="BM19" t="inlineStr">
        <is>
          <t>2026-W23</t>
        </is>
      </c>
    </row>
    <row r="20">
      <c r="A20" t="inlineStr">
        <is>
          <t>BOAMP</t>
        </is>
      </c>
      <c r="B20" t="inlineStr">
        <is>
          <t>26-53819</t>
        </is>
      </c>
      <c r="C20" t="inlineStr">
        <is>
          <t>ACCORD-CADRE DE PRESTATIONS D'ENTRETIEN DES INSTALLATIONS D'ASSAINISSSMENT DES PARCS DE STATIONNEMENT DE LA SPL LEVAPARC A LEVALLOIS-PERRET</t>
        </is>
      </c>
      <c r="D20" t="inlineStr">
        <is>
          <t>SPL LEVAPARC</t>
        </is>
      </c>
      <c r="E20" t="inlineStr"/>
      <c r="F20" t="inlineStr"/>
      <c r="G20" t="inlineStr"/>
      <c r="H20" t="inlineStr"/>
      <c r="I20" t="inlineStr">
        <is>
          <t>publications-joue@aws-france.com</t>
        </is>
      </c>
      <c r="J20" t="inlineStr">
        <is>
          <t>+33480041260</t>
        </is>
      </c>
      <c r="K20" t="inlineStr"/>
      <c r="L20" t="inlineStr"/>
      <c r="M20" t="inlineStr"/>
      <c r="N20" t="inlineStr">
        <is>
          <t>92</t>
        </is>
      </c>
      <c r="O20" t="inlineStr"/>
      <c r="P20" t="inlineStr">
        <is>
          <t>Ile-de-France</t>
        </is>
      </c>
      <c r="Q20" s="15" t="n">
        <v>46176</v>
      </c>
      <c r="R20" s="15" t="n">
        <v>46206</v>
      </c>
      <c r="S20" s="14" t="n">
        <v>100000</v>
      </c>
      <c r="T20" t="inlineStr">
        <is>
          <t>BUDGET_EXPLICITE_OK</t>
        </is>
      </c>
      <c r="U20" t="inlineStr">
        <is>
          <t>100000.0</t>
        </is>
      </c>
      <c r="V20" t="inlineStr">
        <is>
          <t>non</t>
        </is>
      </c>
      <c r="W20" t="inlineStr">
        <is>
          <t>Batiments</t>
        </is>
      </c>
      <c r="X20" t="inlineStr">
        <is>
          <t>Autre</t>
        </is>
      </c>
      <c r="Y20" t="inlineStr">
        <is>
          <t>SERVICES</t>
        </is>
      </c>
      <c r="Z20" t="inlineStr">
        <is>
          <t>Procédure Ouverte</t>
        </is>
      </c>
      <c r="AA20" t="inlineStr">
        <is>
          <t>Avis de marché</t>
        </is>
      </c>
      <c r="AB20" t="inlineStr">
        <is>
          <t>Assainissement</t>
        </is>
      </c>
      <c r="AC20" t="inlineStr">
        <is>
          <t>['environnementaux']</t>
        </is>
      </c>
      <c r="AD20" s="11" t="inlineStr">
        <is>
          <t>https://www.boamp.fr/pages/avis/?q=idweb:26-53819</t>
        </is>
      </c>
      <c r="AE20" t="inlineStr">
        <is>
          <t>https://www.marches-publics.info</t>
        </is>
      </c>
      <c r="AF20" t="inlineStr">
        <is>
          <t>https://www.marches-publics.info</t>
        </is>
      </c>
      <c r="AG20" t="inlineStr">
        <is>
          <t>nettoyage</t>
        </is>
      </c>
      <c r="AH20" t="inlineStr">
        <is>
          <t>2</t>
        </is>
      </c>
      <c r="AI20" t="inlineStr">
        <is>
          <t>58</t>
        </is>
      </c>
      <c r="AJ20" t="inlineStr">
        <is>
          <t>INFO_PARTIELLE</t>
        </is>
      </c>
      <c r="AK20" t="inlineStr">
        <is>
          <t>65</t>
        </is>
      </c>
      <c r="AL20" s="13" t="inlineStr">
        <is>
          <t>CHAUD</t>
        </is>
      </c>
      <c r="AM20" t="inlineStr"/>
      <c r="AN20" t="inlineStr"/>
      <c r="AO20" t="inlineStr"/>
      <c r="AP20" t="inlineStr"/>
      <c r="AQ20" t="inlineStr">
        <is>
          <t>IA_CONTACT_A_COMPLETER</t>
        </is>
      </c>
      <c r="AR20" t="inlineStr">
        <is>
          <t>Completer les champs manquants depuis l'avis source, le site acheteur ou le DCE.</t>
        </is>
      </c>
      <c r="AS20" t="inlineStr">
        <is>
          <t>SIRET, adresse, ville</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26-53819. Objet: ACCORD-CADRE DE PRESTATIONS D'ENTRETIEN DES INSTALLATIONS D'ASSAINISSSMENT DES PARCS DE STATIONNEMENT DE LA SPL LEVAPARC A LEVALLOIS-PERRET. Acheteur: SPL LEVAPARC. Lien: https://www.boamp.fr/pages/avis/?q=idweb:26-53819.</t>
        </is>
      </c>
      <c r="AU20" t="inlineStr">
        <is>
          <t>Verifier url_avis et DCE si disponible</t>
        </is>
      </c>
      <c r="AV20" t="inlineStr"/>
      <c r="AW20" t="inlineStr"/>
      <c r="AX20" t="inlineStr"/>
      <c r="AY20" t="inlineStr"/>
      <c r="AZ20" t="inlineStr"/>
      <c r="BA20" t="inlineStr"/>
      <c r="BB20" t="inlineStr">
        <is>
          <t>+35 nettoyage + categorie claire | +20 budget annualise &lt;= 100 000 EUR | +10 delai confortable 16j</t>
        </is>
      </c>
      <c r="BC20" t="inlineStr">
        <is>
          <t>SPL LEVAPARC publie un AO potentiellement pertinent pour CHRUTH : ACCORD-CADRE DE PRESTATIONS D'ENTRETIEN DES INSTALLATIONS D'ASSAINISSSMENT DES PARCS DE STATIONNEMENT DE LA SPL LEVAPARC A LEVALLOIS-PERRET. Zone : 92. Budget detecte environ 100 000 EUR. Verifier le lien source avant contact.</t>
        </is>
      </c>
      <c r="BD20" t="inlineStr">
        <is>
          <t>Bonjour,
Je me permets de vous contacter au sujet de votre appel d'offres : ACCORD-CADRE DE PRESTATIONS D'ENTRETIEN DES INSTALLATIONS D'ASSAINISSSMENT DES PARCS DE STATIONNEMENT DE LA SPL LEVAPARC A LEVALLOIS-PERRET.
CHRUTH accompagne les structures publiques et privees sur les besoins de nettoyage, d'entretien des locaux et d'organisation de prestations de service.
Serait-il possible d'echanger rapidement afin de verifier les modalites de reponse et les attentes de SPL LEVAPARC ?
Cordialement,</t>
        </is>
      </c>
      <c r="BE20" t="inlineStr">
        <is>
          <t>Bonjour, je vous appelle concernant un appel d'offres publie par SPL LEVAPARC. Je souhaite verifier les informations pratiques : perimetre des prestations, date limite, modalites de visite, contact technique et pieces attendues. Pouvez-vous m'indiquer la bonne personne a contacter ?</t>
        </is>
      </c>
      <c r="BF20" t="inlineStr"/>
      <c r="BG20" t="inlineStr"/>
      <c r="BH20" t="inlineStr"/>
      <c r="BI20" t="inlineStr"/>
      <c r="BJ20" t="inlineStr"/>
      <c r="BK20" t="inlineStr"/>
      <c r="BL20" t="inlineStr"/>
      <c r="BM20" t="inlineStr">
        <is>
          <t>2026-W23</t>
        </is>
      </c>
    </row>
    <row r="21">
      <c r="A21" t="inlineStr">
        <is>
          <t>BOAMP</t>
        </is>
      </c>
      <c r="B21" t="inlineStr">
        <is>
          <t>26-64633</t>
        </is>
      </c>
      <c r="C21" t="inlineStr">
        <is>
          <t>Entretien des locaux municipaux de Villenoy</t>
        </is>
      </c>
      <c r="D21" t="inlineStr">
        <is>
          <t>Commune de Villenoy</t>
        </is>
      </c>
      <c r="E21" t="inlineStr">
        <is>
          <t>21770513600109</t>
        </is>
      </c>
      <c r="F21" t="inlineStr">
        <is>
          <t>217705136</t>
        </is>
      </c>
      <c r="G21" t="inlineStr"/>
      <c r="H21" t="inlineStr"/>
      <c r="I21" t="inlineStr">
        <is>
          <t>mairie@villenoy.fr</t>
        </is>
      </c>
      <c r="J21" t="inlineStr">
        <is>
          <t>0513600109</t>
        </is>
      </c>
      <c r="K21" t="inlineStr"/>
      <c r="L21" t="inlineStr"/>
      <c r="M21" t="inlineStr"/>
      <c r="N21" t="inlineStr">
        <is>
          <t>77</t>
        </is>
      </c>
      <c r="O21" t="inlineStr"/>
      <c r="P21" t="inlineStr">
        <is>
          <t>Ile-de-France</t>
        </is>
      </c>
      <c r="Q21" s="15" t="n">
        <v>46204</v>
      </c>
      <c r="R21" s="15" t="n">
        <v>46234</v>
      </c>
      <c r="S21" s="14" t="n">
        <v>200000</v>
      </c>
      <c r="T21" t="inlineStr">
        <is>
          <t>BUDGET_EXPLICITE_OK</t>
        </is>
      </c>
      <c r="U21" t="inlineStr">
        <is>
          <t>200000.0</t>
        </is>
      </c>
      <c r="V21" t="inlineStr">
        <is>
          <t>non</t>
        </is>
      </c>
      <c r="W21" t="inlineStr">
        <is>
          <t>Batiments</t>
        </is>
      </c>
      <c r="X21" t="inlineStr">
        <is>
          <t>Mairie</t>
        </is>
      </c>
      <c r="Y21" t="inlineStr">
        <is>
          <t>SERVICES</t>
        </is>
      </c>
      <c r="Z21" t="inlineStr">
        <is>
          <t>Procédure Ouverte</t>
        </is>
      </c>
      <c r="AA21" t="inlineStr">
        <is>
          <t>Avis de marché</t>
        </is>
      </c>
      <c r="AB21" t="inlineStr">
        <is>
          <t>Nettoyage de locaux</t>
        </is>
      </c>
      <c r="AC21" t="inlineStr"/>
      <c r="AD21" s="11" t="inlineStr">
        <is>
          <t>https://www.boamp.fr/pages/avis/?q=idweb:26-64633</t>
        </is>
      </c>
      <c r="AE21" t="inlineStr">
        <is>
          <t>https://marches.maximilien.fr/entreprise/consultation/942278?orgAcronyme=a4n</t>
        </is>
      </c>
      <c r="AF21" t="inlineStr">
        <is>
          <t>https://marches.maximilien.fr/entreprise/consultation/942278?orgAcronyme=a4n</t>
        </is>
      </c>
      <c r="AG21" t="inlineStr">
        <is>
          <t>nettoyage, entretien des locaux, menage</t>
        </is>
      </c>
      <c r="AH21" t="inlineStr">
        <is>
          <t>3</t>
        </is>
      </c>
      <c r="AI21" t="inlineStr">
        <is>
          <t>84</t>
        </is>
      </c>
      <c r="AJ21" t="inlineStr">
        <is>
          <t>INFO_PARTIELLE</t>
        </is>
      </c>
      <c r="AK21" t="inlineStr">
        <is>
          <t>60</t>
        </is>
      </c>
      <c r="AL21" t="inlineStr">
        <is>
          <t>TIEDE</t>
        </is>
      </c>
      <c r="AM21" t="inlineStr"/>
      <c r="AN21" t="inlineStr"/>
      <c r="AO21" t="inlineStr"/>
      <c r="AP21" t="inlineStr"/>
      <c r="AQ21" t="inlineStr">
        <is>
          <t>IA_CONTACT_A_COMPLETER</t>
        </is>
      </c>
      <c r="AR21" t="inlineStr">
        <is>
          <t>Completer les champs manquants depuis l'avis source, le site acheteur ou le DCE.</t>
        </is>
      </c>
      <c r="AS21" t="inlineStr">
        <is>
          <t>adresse, ville</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26-64633. Objet: Entretien des locaux municipaux de Villenoy. Acheteur: Commune de Villenoy. Lien: https://www.boamp.fr/pages/avis/?q=idweb:26-64633.</t>
        </is>
      </c>
      <c r="AU21" t="inlineStr">
        <is>
          <t>Verifier url_avis et DCE si disponible</t>
        </is>
      </c>
      <c r="AV21" t="inlineStr"/>
      <c r="AW21" t="inlineStr"/>
      <c r="AX21" t="inlineStr"/>
      <c r="AY21" t="inlineStr"/>
      <c r="AZ21" t="inlineStr"/>
      <c r="BA21" t="inlineStr"/>
      <c r="BB21" t="inlineStr">
        <is>
          <t>+35 nettoyage + categorie claire | +5 budget annualise &lt;= 200 000 EUR | +10 secteur cible Mairie | +10 delai confortable 28j</t>
        </is>
      </c>
      <c r="BC21" t="inlineStr">
        <is>
          <t>Commune de Villenoy publie un AO potentiellement pertinent pour CHRUTH : Entretien des locaux municipaux de Villenoy. Zone : 77. Budget detecte environ 200 000 EUR. Verifier le lien source avant contact.</t>
        </is>
      </c>
      <c r="BD21" t="inlineStr">
        <is>
          <t>Bonjour,
Je me permets de vous contacter au sujet de votre appel d'offres : Entretien des locaux municipaux de Villenoy.
CHRUTH accompagne les structures publiques et privées sur les besoins de nettoyage, d'entretien des locaux et d'organisation de prestations de service.
Serait-il possible d'échanger rapidement afin de vérifier les modalités de réponse et les attentes de Commune de Villenoy ?
Cordialement,</t>
        </is>
      </c>
      <c r="BE21" t="inlineStr">
        <is>
          <t>Bonjour, je vous appelle concernant un appel d'offres publié par Commune de Villenoy.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2026-W27</t>
        </is>
      </c>
    </row>
    <row r="22">
      <c r="A22" t="inlineStr">
        <is>
          <t>BOAMP</t>
        </is>
      </c>
      <c r="B22" t="inlineStr">
        <is>
          <t>26-63220</t>
        </is>
      </c>
      <c r="C22" t="inlineStr">
        <is>
          <t>Prestations de propreté urbaine de la Ville de Choisy-le-Roi</t>
        </is>
      </c>
      <c r="D22" t="inlineStr">
        <is>
          <t>Mairie de Choisy-le-Roi</t>
        </is>
      </c>
      <c r="E22" t="inlineStr">
        <is>
          <t>21940022300018</t>
        </is>
      </c>
      <c r="F22" t="inlineStr">
        <is>
          <t>219400223</t>
        </is>
      </c>
      <c r="G22" t="inlineStr"/>
      <c r="H22" t="inlineStr"/>
      <c r="I22" t="inlineStr">
        <is>
          <t>marches.publics@choisyleroi.fr</t>
        </is>
      </c>
      <c r="J22" t="inlineStr">
        <is>
          <t>0148924444</t>
        </is>
      </c>
      <c r="K22" t="inlineStr"/>
      <c r="L22" t="inlineStr"/>
      <c r="M22" t="inlineStr"/>
      <c r="N22" t="inlineStr">
        <is>
          <t>94,91</t>
        </is>
      </c>
      <c r="O22" t="inlineStr"/>
      <c r="P22" t="inlineStr">
        <is>
          <t>Ile-de-France</t>
        </is>
      </c>
      <c r="Q22" s="15" t="n">
        <v>46200</v>
      </c>
      <c r="R22" s="15" t="n">
        <v>46237</v>
      </c>
      <c r="S22" t="inlineStr"/>
      <c r="T22" t="inlineStr">
        <is>
          <t>A_VERIFIER_BUDGET</t>
        </is>
      </c>
      <c r="U22" t="inlineStr"/>
      <c r="V22" t="inlineStr">
        <is>
          <t>non</t>
        </is>
      </c>
      <c r="W22" t="inlineStr">
        <is>
          <t>Mixte/Autre</t>
        </is>
      </c>
      <c r="X22" t="inlineStr">
        <is>
          <t>Mairie</t>
        </is>
      </c>
      <c r="Y22" t="inlineStr">
        <is>
          <t>SERVICES</t>
        </is>
      </c>
      <c r="Z22" t="inlineStr">
        <is>
          <t>Procédure Ouverte</t>
        </is>
      </c>
      <c r="AA22" t="inlineStr">
        <is>
          <t>Avis de marché</t>
        </is>
      </c>
      <c r="AB22" t="inlineStr">
        <is>
          <t>Nettoyage urbain</t>
        </is>
      </c>
      <c r="AC22" t="inlineStr">
        <is>
          <t>['sociaux', 'environnementaux']</t>
        </is>
      </c>
      <c r="AD22" s="11" t="inlineStr">
        <is>
          <t>https://www.boamp.fr/pages/avis/?q=idweb:26-63220</t>
        </is>
      </c>
      <c r="AE22" t="inlineStr">
        <is>
          <t>https://www.achatpublic.com/sdm/ent/gen/ent_detail.do?PCSLID=CSL_2026_IDV3YK-Eq_</t>
        </is>
      </c>
      <c r="AF22" t="inlineStr">
        <is>
          <t>https://www.achatpublic.com/sdm/ent/gen/ent_detail.do?PCSLID=CSL_2026_IDV3YK-Eq_</t>
        </is>
      </c>
      <c r="AG22" t="inlineStr">
        <is>
          <t>nettoyage, proprete</t>
        </is>
      </c>
      <c r="AH22" t="inlineStr">
        <is>
          <t>3</t>
        </is>
      </c>
      <c r="AI22" t="inlineStr">
        <is>
          <t>76</t>
        </is>
      </c>
      <c r="AJ22" t="inlineStr">
        <is>
          <t>INFO_PARTIELLE</t>
        </is>
      </c>
      <c r="AK22" t="inlineStr">
        <is>
          <t>60</t>
        </is>
      </c>
      <c r="AL22" t="inlineStr">
        <is>
          <t>TIEDE</t>
        </is>
      </c>
      <c r="AM22" t="inlineStr"/>
      <c r="AN22" t="inlineStr"/>
      <c r="AO22" t="inlineStr"/>
      <c r="AP22" t="inlineStr"/>
      <c r="AQ22" t="inlineStr">
        <is>
          <t>IA_BUDGET_A_VERIFIER</t>
        </is>
      </c>
      <c r="AR22" t="inlineStr">
        <is>
          <t>Verifier le budget dans l'avis source ou le DCE avant decision commerciale.</t>
        </is>
      </c>
      <c r="AS22" t="inlineStr">
        <is>
          <t>adresse, ville, budget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26-63220. Objet: Prestations de propreté urbaine de la Ville de Choisy-le-Roi. Acheteur: Mairie de Choisy-le-Roi. Lien: https://www.boamp.fr/pages/avis/?q=idweb:26-63220.</t>
        </is>
      </c>
      <c r="AU22" t="inlineStr">
        <is>
          <t>Verifier url_avis et DCE si disponible</t>
        </is>
      </c>
      <c r="AV22" t="inlineStr"/>
      <c r="AW22" t="inlineStr"/>
      <c r="AX22" t="inlineStr"/>
      <c r="AY22" t="inlineStr"/>
      <c r="AZ22" t="inlineStr"/>
      <c r="BA22" t="inlineStr"/>
      <c r="BB22" t="inlineStr">
        <is>
          <t>+30 mots-cles nettoyage forts | +10 budget non affiche (a verifier) | +10 secteur cible Mairie | +10 delai confortable 28j</t>
        </is>
      </c>
      <c r="BC22" t="inlineStr">
        <is>
          <t>Mairie de Choisy-le-Roi publie un AO potentiellement pertinent pour CHRUTH : Prestations de propreté urbaine de la Ville de Choisy-le-Roi. Zone : 94,91. Budget a verifier. Verifier le lien source avant contact.</t>
        </is>
      </c>
      <c r="BD22" t="inlineStr">
        <is>
          <t>Bonjour,
Je me permets de vous contacter au sujet de votre appel d'offres : Prestations de propreté urbaine de la Ville de Choisy-le-Roi.
CHRUTH accompagne les structures publiques et privées sur les besoins de nettoyage, d'entretien des locaux et d'organisation de prestations de service.
Serait-il possible d'échanger rapidement afin de vérifier les modalités de réponse et les attentes de Mairie de Choisy-le-Roi ?
Cordialement,</t>
        </is>
      </c>
      <c r="BE22" t="inlineStr">
        <is>
          <t>Bonjour, je vous appelle concernant un appel d'offres publié par Mairie de Choisy-le-Roi.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2026-W26</t>
        </is>
      </c>
    </row>
    <row r="23">
      <c r="A23" t="inlineStr">
        <is>
          <t>BOAMP</t>
        </is>
      </c>
      <c r="B23" t="inlineStr">
        <is>
          <t>26-62559</t>
        </is>
      </c>
      <c r="C23" t="inlineStr">
        <is>
          <t>Achat et livraison de produits, matériels  et consommables d'entretien pour la ville  de Villeneuve Saint Georges</t>
        </is>
      </c>
      <c r="D23" t="inlineStr">
        <is>
          <t>MAIRIE DE VILLENEUVE-SAINT-GEORGES</t>
        </is>
      </c>
      <c r="E23" t="inlineStr">
        <is>
          <t>21940078500016</t>
        </is>
      </c>
      <c r="F23" t="inlineStr">
        <is>
          <t>219400785</t>
        </is>
      </c>
      <c r="G23" t="inlineStr"/>
      <c r="H23" t="inlineStr"/>
      <c r="I23" t="inlineStr">
        <is>
          <t>jlassoued@villeneuve-saint-georges.fr</t>
        </is>
      </c>
      <c r="J23" t="inlineStr">
        <is>
          <t>0171346029</t>
        </is>
      </c>
      <c r="K23" t="inlineStr"/>
      <c r="L23" t="inlineStr"/>
      <c r="M23" t="inlineStr"/>
      <c r="N23" t="inlineStr">
        <is>
          <t>94,75,91</t>
        </is>
      </c>
      <c r="O23" t="inlineStr"/>
      <c r="P23" t="inlineStr">
        <is>
          <t>Ile-de-France</t>
        </is>
      </c>
      <c r="Q23" s="15" t="n">
        <v>46198</v>
      </c>
      <c r="R23" s="15" t="n">
        <v>46233</v>
      </c>
      <c r="S23" t="inlineStr"/>
      <c r="T23" t="inlineStr">
        <is>
          <t>A_VERIFIER_BUDGET</t>
        </is>
      </c>
      <c r="U23" t="inlineStr"/>
      <c r="V23" t="inlineStr">
        <is>
          <t>non</t>
        </is>
      </c>
      <c r="W23" t="inlineStr">
        <is>
          <t>Mixte/Autre</t>
        </is>
      </c>
      <c r="X23" t="inlineStr">
        <is>
          <t>Mairie</t>
        </is>
      </c>
      <c r="Y23" t="inlineStr">
        <is>
          <t>FOURNITURES</t>
        </is>
      </c>
      <c r="Z23" t="inlineStr">
        <is>
          <t>Procédure Ouverte</t>
        </is>
      </c>
      <c r="AA23" t="inlineStr">
        <is>
          <t>Avis de marché</t>
        </is>
      </c>
      <c r="AB23" t="inlineStr">
        <is>
          <t>Produits d'entretien</t>
        </is>
      </c>
      <c r="AC23" t="inlineStr">
        <is>
          <t>['environnementaux']</t>
        </is>
      </c>
      <c r="AD23" s="11" t="inlineStr">
        <is>
          <t>https://www.boamp.fr/pages/avis/?q=idweb:26-62559</t>
        </is>
      </c>
      <c r="AE23" t="inlineStr">
        <is>
          <t>https://www.achatpublic.com/sdm/ent/gen/ent_detail.do?PCSLID=CSL_2026_hmulkPQYm7</t>
        </is>
      </c>
      <c r="AF23" t="inlineStr">
        <is>
          <t>https://www.achatpublic.com/sdm/ent/gen/ent_detail.do?PCSLID=CSL_2026_hmulkPQYm7</t>
        </is>
      </c>
      <c r="AG23" t="inlineStr">
        <is>
          <t>menage</t>
        </is>
      </c>
      <c r="AH23" t="inlineStr">
        <is>
          <t>3</t>
        </is>
      </c>
      <c r="AI23" t="inlineStr">
        <is>
          <t>68</t>
        </is>
      </c>
      <c r="AJ23" t="inlineStr">
        <is>
          <t>INFO_PARTIELLE</t>
        </is>
      </c>
      <c r="AK23" t="inlineStr">
        <is>
          <t>60</t>
        </is>
      </c>
      <c r="AL23" t="inlineStr">
        <is>
          <t>TIEDE</t>
        </is>
      </c>
      <c r="AM23" t="inlineStr"/>
      <c r="AN23" t="inlineStr"/>
      <c r="AO23" t="inlineStr"/>
      <c r="AP23" t="inlineStr"/>
      <c r="AQ23" t="inlineStr">
        <is>
          <t>IA_BUDGET_A_VERIFIER</t>
        </is>
      </c>
      <c r="AR23" t="inlineStr">
        <is>
          <t>Verifier le budget dans l'avis source ou le DCE avant decision commerciale.</t>
        </is>
      </c>
      <c r="AS23" t="inlineStr">
        <is>
          <t>adresse, ville, budget</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26-62559. Objet: Achat et livraison de produits, matériels  et consommables d'entretien pour la ville  de Villeneuve Saint Georges. Acheteur: MAIRIE DE VILLENEUVE-SAINT-GEORGES. Lien: https://www.boamp.fr/pages/avis/?q=idweb:26-62559.</t>
        </is>
      </c>
      <c r="AU23" t="inlineStr">
        <is>
          <t>Verifier url_avis et DCE si disponible</t>
        </is>
      </c>
      <c r="AV23" t="inlineStr"/>
      <c r="AW23" t="inlineStr"/>
      <c r="AX23" t="inlineStr"/>
      <c r="AY23" t="inlineStr"/>
      <c r="AZ23" t="inlineStr"/>
      <c r="BA23" t="inlineStr"/>
      <c r="BB23" t="inlineStr">
        <is>
          <t>+30 mots-cles nettoyage forts | +10 budget non affiche (a verifier) | +10 secteur cible Mairie | +10 delai confortable 24j</t>
        </is>
      </c>
      <c r="BC23" t="inlineStr">
        <is>
          <t>MAIRIE DE VILLENEUVE-SAINT-GEORGES publie un AO potentiellement pertinent pour CHRUTH : Achat et livraison de produits, matériels  et consommables d'entretien pour la ville  de Villeneuve Saint Georges. Zone : 94,75,91. Budget a verifier. Verifier le lien source avant contact.</t>
        </is>
      </c>
      <c r="BD23" t="inlineStr">
        <is>
          <t>Bonjour,
Je me permets de vous contacter au sujet de votre appel d'offres : Achat et livraison de produits, matériels  et consommables d'entretien pour la ville  de Villeneuve Saint Georges.
CHRUTH accompagne les structures publiques et privées sur les besoins de nettoyage, d'entretien des locaux et d'organisation de prestations de service.
Serait-il possible d'échanger rapidement afin de vérifier les modalités de réponse et les attentes de MAIRIE DE VILLENEUVE-SAINT-GEORGES ?
Cordialement,</t>
        </is>
      </c>
      <c r="BE23" t="inlineStr">
        <is>
          <t>Bonjour, je vous appelle concernant un appel d'offres publié par MAIRIE DE VILLENEUVE-SAINT-GEORGES.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2026-W26</t>
        </is>
      </c>
    </row>
    <row r="24">
      <c r="A24" t="inlineStr">
        <is>
          <t>BOAMP</t>
        </is>
      </c>
      <c r="B24" t="inlineStr">
        <is>
          <t>26-58404</t>
        </is>
      </c>
      <c r="C24" t="inlineStr">
        <is>
          <t>Concession de service public portant sur la gestion et l'exploitation du Marché Saint-Louis pour le compte de la ville de Fontainebleau</t>
        </is>
      </c>
      <c r="D24" t="inlineStr">
        <is>
          <t>Ville De Fontainebleau</t>
        </is>
      </c>
      <c r="E24" t="inlineStr"/>
      <c r="F24" t="inlineStr">
        <is>
          <t>160746464</t>
        </is>
      </c>
      <c r="G24" t="inlineStr">
        <is>
          <t>Le Maire</t>
        </is>
      </c>
      <c r="H24" t="inlineStr"/>
      <c r="I24" t="inlineStr">
        <is>
          <t>catherine.durbecq@fontainebleau.fr</t>
        </is>
      </c>
      <c r="J24" t="inlineStr">
        <is>
          <t>+33 160746464</t>
        </is>
      </c>
      <c r="K24" t="inlineStr"/>
      <c r="L24" t="inlineStr">
        <is>
          <t>77303</t>
        </is>
      </c>
      <c r="M24" t="inlineStr">
        <is>
          <t>Fontainebleau</t>
        </is>
      </c>
      <c r="N24" t="inlineStr">
        <is>
          <t>77</t>
        </is>
      </c>
      <c r="O24" t="inlineStr"/>
      <c r="P24" t="inlineStr">
        <is>
          <t>Ile-de-France</t>
        </is>
      </c>
      <c r="Q24" s="15" t="n">
        <v>46185</v>
      </c>
      <c r="R24" s="15" t="n">
        <v>46234</v>
      </c>
      <c r="S24" t="inlineStr"/>
      <c r="T24" t="inlineStr">
        <is>
          <t>A_VERIFIER_BUDGET</t>
        </is>
      </c>
      <c r="U24" t="inlineStr"/>
      <c r="V24" t="inlineStr">
        <is>
          <t>non</t>
        </is>
      </c>
      <c r="W24" t="inlineStr">
        <is>
          <t>Mixte/Autre</t>
        </is>
      </c>
      <c r="X24" t="inlineStr">
        <is>
          <t>Mairie</t>
        </is>
      </c>
      <c r="Y24" t="inlineStr">
        <is>
          <t>SERVICES</t>
        </is>
      </c>
      <c r="Z24" t="inlineStr">
        <is>
          <t>Procédure NC</t>
        </is>
      </c>
      <c r="AA24" t="inlineStr">
        <is>
          <t>Avis de marché</t>
        </is>
      </c>
      <c r="AB24" t="inlineStr">
        <is>
          <t>Délégation de service public</t>
        </is>
      </c>
      <c r="AC24" t="inlineStr">
        <is>
          <t>['sociaux', 'environnementaux']</t>
        </is>
      </c>
      <c r="AD24" s="11" t="inlineStr">
        <is>
          <t>https://www.boamp.fr/pages/avis/?q=idweb:26-58404</t>
        </is>
      </c>
      <c r="AE24" t="inlineStr">
        <is>
          <t>http://www.fontainebleau.fr</t>
        </is>
      </c>
      <c r="AF24" t="inlineStr"/>
      <c r="AG24" t="inlineStr">
        <is>
          <t>nettoyage</t>
        </is>
      </c>
      <c r="AH24" t="inlineStr">
        <is>
          <t>4</t>
        </is>
      </c>
      <c r="AI24" t="inlineStr">
        <is>
          <t>78</t>
        </is>
      </c>
      <c r="AJ24" t="inlineStr">
        <is>
          <t>INFO_PARTIELLE</t>
        </is>
      </c>
      <c r="AK24" t="inlineStr">
        <is>
          <t>60</t>
        </is>
      </c>
      <c r="AL24" t="inlineStr">
        <is>
          <t>TIEDE</t>
        </is>
      </c>
      <c r="AM24" t="inlineStr"/>
      <c r="AN24" t="inlineStr"/>
      <c r="AO24" t="inlineStr"/>
      <c r="AP24" t="inlineStr"/>
      <c r="AQ24" t="inlineStr">
        <is>
          <t>IA_BUDGET_A_VERIFIER</t>
        </is>
      </c>
      <c r="AR24" t="inlineStr">
        <is>
          <t>Verifier le budget dans l'avis source ou le DCE avant decision commerciale.</t>
        </is>
      </c>
      <c r="AS24" t="inlineStr">
        <is>
          <t>SIRET, adresse, budget</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26-58404. Objet: Concession de service public portant sur la gestion et l'exploitation du Marché Saint-Louis pour le compte de la ville de Fontainebleau. Acheteur: Ville De Fontainebleau. Lien: https://www.boamp.fr/pages/avis/?q=idweb:26-58404.</t>
        </is>
      </c>
      <c r="AU24" t="inlineStr">
        <is>
          <t>Verifier url_avis et DCE si disponible</t>
        </is>
      </c>
      <c r="AV24" t="inlineStr">
        <is>
          <t>LIEN_SEUL</t>
        </is>
      </c>
      <c r="AW24" t="inlineStr"/>
      <c r="AX24" t="inlineStr"/>
      <c r="AY24" t="inlineStr"/>
      <c r="AZ24" t="inlineStr"/>
      <c r="BA24" t="inlineStr"/>
      <c r="BB24" t="inlineStr">
        <is>
          <t>+30 mots-cles nettoyage forts | +10 budget non affiche (a verifier) | +10 secteur cible Mairie | +10 delai confortable 39j</t>
        </is>
      </c>
      <c r="BC24" t="inlineStr">
        <is>
          <t>Ville De Fontainebleau publie un AO potentiellement pertinent pour CHRUTH : Concession de service public portant sur la gestion et l'exploitation du Marché Saint-Louis pour le compte de la ville de Fontainebleau. Zone : Fontainebleau. Budget a verifier. Verifier le lien source avant contact.</t>
        </is>
      </c>
      <c r="BD24" t="inlineStr">
        <is>
          <t>Bonjour,
Je me permets de vous contacter au sujet de votre appel d'offres : Concession de service public portant sur la gestion et l'exploitation du Marché Saint-Louis pour le compte de la ville de Fontainebleau.
CHRUTH accompagne les structures publiques et privees sur les besoins de nettoyage, d'entretien des locaux et d'organisation de prestations de service.
Serait-il possible d'echanger rapidement afin de verifier les modalites de reponse et les attentes de Ville De Fontainebleau ?
Cordialement,</t>
        </is>
      </c>
      <c r="BE24" t="inlineStr">
        <is>
          <t>Bonjour, je vous appelle concernant un appel d'offres publie par Ville De Fontainebleau. Je souhaite verifier les informations pratiques : perimetre des prestations, date limite, modalites de visite, contact technique et pieces attendues. Pouvez-vous m'indiquer la bonne personne a contacter ?</t>
        </is>
      </c>
      <c r="BF24" t="inlineStr"/>
      <c r="BG24" t="inlineStr"/>
      <c r="BH24" t="inlineStr"/>
      <c r="BI24" t="inlineStr"/>
      <c r="BJ24" t="inlineStr"/>
      <c r="BK24" t="inlineStr"/>
      <c r="BL24" t="inlineStr"/>
      <c r="BM24" t="inlineStr">
        <is>
          <t>2026-W24</t>
        </is>
      </c>
    </row>
    <row r="25">
      <c r="A25" t="inlineStr">
        <is>
          <t>BOAMP</t>
        </is>
      </c>
      <c r="B25" t="inlineStr">
        <is>
          <t>26-55484</t>
        </is>
      </c>
      <c r="C25" t="inlineStr">
        <is>
          <t>Nettoyage Courant Et Remise En Etat De Locaux Sociaux Et Administratifs (sur tout le territoire Sitreva : département 27, 28 et 78)</t>
        </is>
      </c>
      <c r="D25" t="inlineStr">
        <is>
          <t>Sitreva</t>
        </is>
      </c>
      <c r="E25" t="inlineStr">
        <is>
          <t>25280334100236</t>
        </is>
      </c>
      <c r="F25" t="inlineStr">
        <is>
          <t>252803341</t>
        </is>
      </c>
      <c r="G25" t="inlineStr">
        <is>
          <t>Nathalie corniaux</t>
        </is>
      </c>
      <c r="H25" t="inlineStr"/>
      <c r="I25" t="inlineStr"/>
      <c r="J25" t="inlineStr">
        <is>
          <t>0334100236</t>
        </is>
      </c>
      <c r="K25" t="inlineStr">
        <is>
          <t>19 rue Gustave Eiffel 78120 - Rambouillet</t>
        </is>
      </c>
      <c r="L25" t="inlineStr">
        <is>
          <t>78120</t>
        </is>
      </c>
      <c r="M25" t="inlineStr">
        <is>
          <t>Rambouillet</t>
        </is>
      </c>
      <c r="N25" t="inlineStr">
        <is>
          <t>78,28</t>
        </is>
      </c>
      <c r="O25" t="inlineStr"/>
      <c r="P25" t="inlineStr">
        <is>
          <t>Ile-de-France</t>
        </is>
      </c>
      <c r="Q25" s="15" t="n">
        <v>46178</v>
      </c>
      <c r="R25" s="15" t="n">
        <v>46206</v>
      </c>
      <c r="S25" s="14" t="n">
        <v>78120</v>
      </c>
      <c r="T25" t="inlineStr">
        <is>
          <t>BUDGET_SOUS_SEUIL</t>
        </is>
      </c>
      <c r="U25" t="inlineStr">
        <is>
          <t>78120</t>
        </is>
      </c>
      <c r="V25" t="inlineStr">
        <is>
          <t>oui</t>
        </is>
      </c>
      <c r="W25" t="inlineStr">
        <is>
          <t>Batiments</t>
        </is>
      </c>
      <c r="X25" t="inlineStr">
        <is>
          <t>Autre</t>
        </is>
      </c>
      <c r="Y25" t="inlineStr">
        <is>
          <t>SERVICES</t>
        </is>
      </c>
      <c r="Z25" t="inlineStr">
        <is>
          <t>Procédure Ouverte</t>
        </is>
      </c>
      <c r="AA25" t="inlineStr">
        <is>
          <t>Avis de marché</t>
        </is>
      </c>
      <c r="AB25" t="inlineStr">
        <is>
          <t>Nettoyage de locaux, Prestations de services</t>
        </is>
      </c>
      <c r="AC25" t="inlineStr">
        <is>
          <t>['sociaux', 'environnementaux']</t>
        </is>
      </c>
      <c r="AD25" s="11" t="inlineStr">
        <is>
          <t>https://www.boamp.fr/pages/avis/?q=idweb:26-55484</t>
        </is>
      </c>
      <c r="AE25" t="inlineStr">
        <is>
          <t>https://www.marches-publics.info/mpiaws/index.cfm?fuseaction=dematent.login&amp;type=Dce&amp;Idm=1831542</t>
        </is>
      </c>
      <c r="AF25" t="inlineStr">
        <is>
          <t>https://www.marches-publics.info/mpiaws/index.cfm?fuseaction=dematent.login&amp;type=Dce&amp;Idm=1831542</t>
        </is>
      </c>
      <c r="AG25" t="inlineStr">
        <is>
          <t>nettoyage, proprete</t>
        </is>
      </c>
      <c r="AH25" t="inlineStr">
        <is>
          <t>5</t>
        </is>
      </c>
      <c r="AI25" t="inlineStr">
        <is>
          <t>96</t>
        </is>
      </c>
      <c r="AJ25" t="inlineStr">
        <is>
          <t>INFO_PARTIELLE</t>
        </is>
      </c>
      <c r="AK25" t="inlineStr">
        <is>
          <t>60</t>
        </is>
      </c>
      <c r="AL25" t="inlineStr">
        <is>
          <t>TIEDE</t>
        </is>
      </c>
      <c r="AM25" t="inlineStr"/>
      <c r="AN25" t="inlineStr"/>
      <c r="AO25" t="inlineStr"/>
      <c r="AP25" t="inlineStr"/>
      <c r="AQ25" t="inlineStr">
        <is>
          <t>IA_CONTACT_A_COMPLETER</t>
        </is>
      </c>
      <c r="AR25" t="inlineStr">
        <is>
          <t>Completer les champs manquants depuis l'avis source, le site acheteur ou le DCE.</t>
        </is>
      </c>
      <c r="AS25" t="inlineStr">
        <is>
          <t>email</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26-55484. Objet: Nettoyage Courant Et Remise En Etat De Locaux Sociaux Et Administratifs (sur tout le territoire Sitreva : département 27, 28 et 78). Acheteur: Sitreva. Lien: https://www.boamp.fr/pages/avis/?q=idweb:26-55484.</t>
        </is>
      </c>
      <c r="AU25" t="inlineStr">
        <is>
          <t>Verifier url_avis et DCE si disponible</t>
        </is>
      </c>
      <c r="AV25" t="inlineStr">
        <is>
          <t>LIEN_SEUL</t>
        </is>
      </c>
      <c r="AW25" t="inlineStr"/>
      <c r="AX25" t="inlineStr"/>
      <c r="AY25" t="inlineStr"/>
      <c r="AZ25" t="inlineStr"/>
      <c r="BA25" t="inlineStr"/>
      <c r="BB25" t="inlineStr">
        <is>
          <t>+35 nettoyage + categorie claire | +20 budget annualise &lt;= 100 000 EUR | +5 delai court 14j</t>
        </is>
      </c>
      <c r="BC25" t="inlineStr">
        <is>
          <t>Sitreva publie un AO potentiellement pertinent pour CHRUTH : Nettoyage Courant Et Remise En Etat De Locaux Sociaux Et Administratifs (sur tout le territoire Sitreva : département 27, 28 et 78). Zone : Rambouillet. Budget detecte environ 78 120 EUR. Verifier le lien source avant contact.</t>
        </is>
      </c>
      <c r="BD25" t="inlineStr">
        <is>
          <t>Bonjour,
Je me permets de vous contacter au sujet de votre appel d'offres : Nettoyage Courant Et Remise En Etat De Locaux Sociaux Et Administratifs (sur tout le territoire Sitreva : département 27, 28 et 78).
CHRUTH accompagne les structures publiques et privees sur les besoins de nettoyage, d'entretien des locaux et d'organisation de prestations de service.
Serait-il possible d'echanger rapidement afin de verifier les modalites de reponse et les attentes de Sitreva ?
Cordialement,</t>
        </is>
      </c>
      <c r="BE25" t="inlineStr">
        <is>
          <t>Bonjour, je vous appelle concernant un appel d'offres publie par Sitreva. Je souhaite verifier les informations pratiques : perimetre des prestations, date limite, modalites de visite, contact technique et pieces attendues. Pouvez-vous m'indiquer la bonne personne a contacter ?</t>
        </is>
      </c>
      <c r="BF25" t="inlineStr"/>
      <c r="BG25" t="inlineStr"/>
      <c r="BH25" t="inlineStr"/>
      <c r="BI25" t="inlineStr"/>
      <c r="BJ25" t="inlineStr"/>
      <c r="BK25" t="inlineStr"/>
      <c r="BL25" t="inlineStr"/>
      <c r="BM25" t="inlineStr">
        <is>
          <t>2026-W23</t>
        </is>
      </c>
    </row>
    <row r="26">
      <c r="A26" t="inlineStr">
        <is>
          <t>BOAMP</t>
        </is>
      </c>
      <c r="B26" t="inlineStr">
        <is>
          <t>26-54754</t>
        </is>
      </c>
      <c r="C26" t="inlineStr">
        <is>
          <t>Nettoyage et entretien courant des locaux de la commune de Combs-la-Ville</t>
        </is>
      </c>
      <c r="D26" t="inlineStr">
        <is>
          <t>Mairie de Combs-la-Ville</t>
        </is>
      </c>
      <c r="E26" t="inlineStr">
        <is>
          <t>17770704900017</t>
        </is>
      </c>
      <c r="F26" t="inlineStr">
        <is>
          <t>177707049</t>
        </is>
      </c>
      <c r="G26" t="inlineStr"/>
      <c r="H26" t="inlineStr"/>
      <c r="I26" t="inlineStr">
        <is>
          <t>nantene.diallo@mairie-combs-la-ville.fr</t>
        </is>
      </c>
      <c r="J26" t="inlineStr">
        <is>
          <t>+33 164131684</t>
        </is>
      </c>
      <c r="K26" t="inlineStr"/>
      <c r="L26" t="inlineStr"/>
      <c r="M26" t="inlineStr"/>
      <c r="N26" t="inlineStr">
        <is>
          <t>77,91,92,93,94,95,75</t>
        </is>
      </c>
      <c r="O26" t="inlineStr"/>
      <c r="P26" t="inlineStr">
        <is>
          <t>Ile-de-France</t>
        </is>
      </c>
      <c r="Q26" s="15" t="n">
        <v>46178</v>
      </c>
      <c r="R26" s="15" t="n">
        <v>46220</v>
      </c>
      <c r="S26" s="14" t="n">
        <v>150000</v>
      </c>
      <c r="T26" t="inlineStr">
        <is>
          <t>BUDGET_EXPLICITE_OK</t>
        </is>
      </c>
      <c r="U26" t="inlineStr">
        <is>
          <t>150000</t>
        </is>
      </c>
      <c r="V26" t="inlineStr">
        <is>
          <t>oui</t>
        </is>
      </c>
      <c r="W26" t="inlineStr">
        <is>
          <t>Batiments</t>
        </is>
      </c>
      <c r="X26" t="inlineStr">
        <is>
          <t>Mairie</t>
        </is>
      </c>
      <c r="Y26" t="inlineStr">
        <is>
          <t>SERVICES</t>
        </is>
      </c>
      <c r="Z26" t="inlineStr">
        <is>
          <t>Procédure Ouverte</t>
        </is>
      </c>
      <c r="AA26" t="inlineStr">
        <is>
          <t>Avis de marché</t>
        </is>
      </c>
      <c r="AB26" t="inlineStr">
        <is>
          <t>Prestations de services, Nettoyage de locaux</t>
        </is>
      </c>
      <c r="AC26" t="inlineStr">
        <is>
          <t>['sociaux', 'environnementaux']</t>
        </is>
      </c>
      <c r="AD26" s="11" t="inlineStr">
        <is>
          <t>https://www.boamp.fr/pages/avis/?q=idweb:26-54754</t>
        </is>
      </c>
      <c r="AE26" t="inlineStr">
        <is>
          <t>https://www.e-marchespublics.com/appel-offre/1164729</t>
        </is>
      </c>
      <c r="AF26" t="inlineStr">
        <is>
          <t>https://www.e-marchespublics.com/appel-offre/1164729</t>
        </is>
      </c>
      <c r="AG26" t="inlineStr">
        <is>
          <t>nettoyage</t>
        </is>
      </c>
      <c r="AH26" t="inlineStr">
        <is>
          <t>3</t>
        </is>
      </c>
      <c r="AI26" t="inlineStr">
        <is>
          <t>68</t>
        </is>
      </c>
      <c r="AJ26" t="inlineStr">
        <is>
          <t>INFO_PARTIELLE</t>
        </is>
      </c>
      <c r="AK26" t="inlineStr">
        <is>
          <t>60</t>
        </is>
      </c>
      <c r="AL26" t="inlineStr">
        <is>
          <t>TIEDE</t>
        </is>
      </c>
      <c r="AM26" t="inlineStr"/>
      <c r="AN26" t="inlineStr"/>
      <c r="AO26" t="inlineStr"/>
      <c r="AP26" t="inlineStr"/>
      <c r="AQ26" t="inlineStr">
        <is>
          <t>IA_CONTACT_A_COMPLETER</t>
        </is>
      </c>
      <c r="AR26" t="inlineStr">
        <is>
          <t>Completer les champs manquants depuis l'avis source, le site acheteur ou le DCE.</t>
        </is>
      </c>
      <c r="AS26" t="inlineStr">
        <is>
          <t>adresse, ville</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26-54754. Objet: Nettoyage et entretien courant des locaux de la commune de Combs-la-Ville. Acheteur: Mairie de Combs-la-Ville. Lien: https://www.boamp.fr/pages/avis/?q=idweb:26-54754.</t>
        </is>
      </c>
      <c r="AU26" t="inlineStr">
        <is>
          <t>Verifier url_avis et DCE si disponible</t>
        </is>
      </c>
      <c r="AV26" t="inlineStr"/>
      <c r="AW26" t="inlineStr"/>
      <c r="AX26" t="inlineStr"/>
      <c r="AY26" t="inlineStr"/>
      <c r="AZ26" t="inlineStr"/>
      <c r="BA26" t="inlineStr"/>
      <c r="BB26" t="inlineStr">
        <is>
          <t>+35 nettoyage + categorie claire | +5 budget annualise &lt;= 200 000 EUR | +10 secteur cible Mairie | +10 delai confortable 28j</t>
        </is>
      </c>
      <c r="BC26" t="inlineStr">
        <is>
          <t>Mairie de Combs-la-Ville publie un AO potentiellement pertinent pour CHRUTH : Nettoyage et entretien courant des locaux de la commune de Combs-la-Ville. Zone : 77,91,92,93,94,95,75. Budget detecte environ 150 000 EUR. Verifier le lien source avant contact.</t>
        </is>
      </c>
      <c r="BD26" t="inlineStr">
        <is>
          <t>Bonjour,
Je me permets de vous contacter au sujet de votre appel d'offres : Nettoyage et entretien courant des locaux de la commune de Combs-la-Ville.
CHRUTH accompagne les structures publiques et privees sur les besoins de nettoyage, d'entretien des locaux et d'organisation de prestations de service.
Serait-il possible d'echanger rapidement afin de verifier les modalites de reponse et les attentes de Mairie de Combs-la-Ville ?
Cordialement,</t>
        </is>
      </c>
      <c r="BE26" t="inlineStr">
        <is>
          <t>Bonjour, je vous appelle concernant un appel d'offres publie par Mairie de Combs-la-Ville. Je souhaite verifier les informations pratiques : perimetre des prestations, date limite, modalites de visite, contact technique et pieces attendues. Pouvez-vous m'indiquer la bonne personne a contacter ?</t>
        </is>
      </c>
      <c r="BF26" t="inlineStr"/>
      <c r="BG26" t="inlineStr"/>
      <c r="BH26" t="inlineStr"/>
      <c r="BI26" t="inlineStr"/>
      <c r="BJ26" t="inlineStr"/>
      <c r="BK26" t="inlineStr"/>
      <c r="BL26" t="inlineStr"/>
      <c r="BM26" t="inlineStr">
        <is>
          <t>2026-W23</t>
        </is>
      </c>
    </row>
    <row r="27">
      <c r="A27" t="inlineStr">
        <is>
          <t>BOAMP</t>
        </is>
      </c>
      <c r="B27" t="inlineStr">
        <is>
          <t>26-66211</t>
        </is>
      </c>
      <c r="C27" t="inlineStr">
        <is>
          <t>Accord-cadre de prestations de nettoyage des bâtiments du Département de la Seine-Saint-Denis</t>
        </is>
      </c>
      <c r="D27" t="inlineStr">
        <is>
          <t>Département de la Seine-Saint-Denis</t>
        </is>
      </c>
      <c r="E27" t="inlineStr"/>
      <c r="F27" t="inlineStr"/>
      <c r="G27" t="inlineStr"/>
      <c r="H27" t="inlineStr"/>
      <c r="I27" t="inlineStr">
        <is>
          <t>publications-joue@aws-france.com</t>
        </is>
      </c>
      <c r="J27" t="inlineStr">
        <is>
          <t>+33480041260</t>
        </is>
      </c>
      <c r="K27" t="inlineStr"/>
      <c r="L27" t="inlineStr"/>
      <c r="M27" t="inlineStr"/>
      <c r="N27" t="inlineStr">
        <is>
          <t>93</t>
        </is>
      </c>
      <c r="O27" t="inlineStr"/>
      <c r="P27" t="inlineStr">
        <is>
          <t>Ile-de-France</t>
        </is>
      </c>
      <c r="Q27" s="15" t="n">
        <v>46208</v>
      </c>
      <c r="R27" s="15" t="n">
        <v>46237</v>
      </c>
      <c r="S27" t="inlineStr"/>
      <c r="T27" t="inlineStr">
        <is>
          <t>A_VERIFIER_BUDGET</t>
        </is>
      </c>
      <c r="U27" t="inlineStr"/>
      <c r="V27" t="inlineStr">
        <is>
          <t>non</t>
        </is>
      </c>
      <c r="W27" t="inlineStr">
        <is>
          <t>Vitres</t>
        </is>
      </c>
      <c r="X27" t="inlineStr">
        <is>
          <t>Autre</t>
        </is>
      </c>
      <c r="Y27" t="inlineStr">
        <is>
          <t>SERVICES</t>
        </is>
      </c>
      <c r="Z27" t="inlineStr">
        <is>
          <t>Procédure Ouverte</t>
        </is>
      </c>
      <c r="AA27" t="inlineStr">
        <is>
          <t>Avis de marché</t>
        </is>
      </c>
      <c r="AB27" t="inlineStr">
        <is>
          <t>Nettoyage de locaux</t>
        </is>
      </c>
      <c r="AC27" t="inlineStr">
        <is>
          <t>['sociaux', 'environnementaux']</t>
        </is>
      </c>
      <c r="AD27" s="11" t="inlineStr">
        <is>
          <t>https://www.boamp.fr/pages/avis/?q=idweb:26-66211</t>
        </is>
      </c>
      <c r="AE27" t="inlineStr">
        <is>
          <t>https://www.marches-publics.info/mpiaws/index.cfm?fuseaction=dematEnt.login&amp;amp;type=DCE&amp;amp;IDM=1845738</t>
        </is>
      </c>
      <c r="AF27" t="inlineStr">
        <is>
          <t>https://www.marches-publics.info/mpiaws/index.cfm?fuseaction=dematEnt.login&amp;amp;type=DCE&amp;amp;IDM=1845738</t>
        </is>
      </c>
      <c r="AG27" t="inlineStr">
        <is>
          <t>nettoyage, proprete, proprete des locaux</t>
        </is>
      </c>
      <c r="AH27" t="inlineStr">
        <is>
          <t>2</t>
        </is>
      </c>
      <c r="AI27" t="inlineStr">
        <is>
          <t>70</t>
        </is>
      </c>
      <c r="AJ27" t="inlineStr">
        <is>
          <t>INFO_PARTIELLE</t>
        </is>
      </c>
      <c r="AK27" t="inlineStr">
        <is>
          <t>55</t>
        </is>
      </c>
      <c r="AL27" t="inlineStr">
        <is>
          <t>TIEDE</t>
        </is>
      </c>
      <c r="AM27" t="inlineStr"/>
      <c r="AN27" t="inlineStr"/>
      <c r="AO27" t="inlineStr"/>
      <c r="AP27" t="inlineStr"/>
      <c r="AQ27" t="inlineStr">
        <is>
          <t>IA_BUDGET_A_VERIFIER</t>
        </is>
      </c>
      <c r="AR27" t="inlineStr">
        <is>
          <t>Verifier le budget dans l'avis source ou le DCE avant decision commerciale.</t>
        </is>
      </c>
      <c r="AS27" t="inlineStr">
        <is>
          <t>SIRET, adresse, ville, budget</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26-66211. Objet: Accord-cadre de prestations de nettoyage des bâtiments du Département de la Seine-Saint-Denis. Acheteur: Département de la Seine-Saint-Denis. Lien: https://www.boamp.fr/pages/avis/?q=idweb:26-66211.</t>
        </is>
      </c>
      <c r="AU27" t="inlineStr">
        <is>
          <t>Verifier url_avis et DCE si disponible</t>
        </is>
      </c>
      <c r="AV27" t="inlineStr"/>
      <c r="AW27" t="inlineStr"/>
      <c r="AX27" t="inlineStr"/>
      <c r="AY27" t="inlineStr"/>
      <c r="AZ27" t="inlineStr"/>
      <c r="BA27" t="inlineStr"/>
      <c r="BB27" t="inlineStr">
        <is>
          <t>+35 nettoyage + categorie claire | +10 budget non affiche (a verifier) | +10 delai confortable 28j</t>
        </is>
      </c>
      <c r="BC27" t="inlineStr">
        <is>
          <t>Département de la Seine-Saint-Denis publie un AO potentiellement pertinent pour CHRUTH : Accord-cadre de prestations de nettoyage des bâtiments du Département de la Seine-Saint-Denis. Zone : 93. Budget a verifier. Verifier le lien source avant contact.</t>
        </is>
      </c>
      <c r="BD27" t="inlineStr">
        <is>
          <t>Bonjour,
Je me permets de vous contacter au sujet de votre appel d'offres : Accord-cadre de prestations de nettoyage des bâtiments du Département de la Seine-Saint-Denis.
CHRUTH accompagne les structures publiques et privées sur les besoins de nettoyage, d'entretien des locaux et d'organisation de prestations de service.
Serait-il possible d'échanger rapidement afin de vérifier les modalités de réponse et les attentes de Département de la Seine-Saint-Denis ?
Cordialement,</t>
        </is>
      </c>
      <c r="BE27" t="inlineStr">
        <is>
          <t>Bonjour, je vous appelle concernant un appel d'offres publié par Département de la Seine-Saint-Denis.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2026-W27</t>
        </is>
      </c>
    </row>
    <row r="28">
      <c r="A28" t="inlineStr">
        <is>
          <t>BOAMP</t>
        </is>
      </c>
      <c r="B28" t="inlineStr">
        <is>
          <t>26-66164</t>
        </is>
      </c>
      <c r="C28" t="inlineStr">
        <is>
          <t>PRESTATIONS DE NETTOYAGE CAF77</t>
        </is>
      </c>
      <c r="D28" t="inlineStr">
        <is>
          <t>CAF77</t>
        </is>
      </c>
      <c r="E28" t="inlineStr">
        <is>
          <t>17750111100476</t>
        </is>
      </c>
      <c r="F28" t="inlineStr">
        <is>
          <t>177501111</t>
        </is>
      </c>
      <c r="G28" t="inlineStr"/>
      <c r="H28" t="inlineStr"/>
      <c r="I28" t="inlineStr">
        <is>
          <t>achatsmarches@caf77.caf.fr</t>
        </is>
      </c>
      <c r="J28" t="inlineStr">
        <is>
          <t>0670576838</t>
        </is>
      </c>
      <c r="K28" t="inlineStr"/>
      <c r="L28" t="inlineStr"/>
      <c r="M28" t="inlineStr"/>
      <c r="N28" t="inlineStr">
        <is>
          <t>75,77,91,94</t>
        </is>
      </c>
      <c r="O28" t="inlineStr"/>
      <c r="P28" t="inlineStr">
        <is>
          <t>Ile-de-France</t>
        </is>
      </c>
      <c r="Q28" s="15" t="n">
        <v>46208</v>
      </c>
      <c r="R28" s="15" t="n">
        <v>46255</v>
      </c>
      <c r="S28" t="inlineStr"/>
      <c r="T28" t="inlineStr">
        <is>
          <t>A_VERIFIER_BUDGET</t>
        </is>
      </c>
      <c r="U28" t="inlineStr"/>
      <c r="V28" t="inlineStr">
        <is>
          <t>non</t>
        </is>
      </c>
      <c r="W28" t="inlineStr">
        <is>
          <t>Vitres</t>
        </is>
      </c>
      <c r="X28" t="inlineStr">
        <is>
          <t>Autre</t>
        </is>
      </c>
      <c r="Y28" t="inlineStr">
        <is>
          <t>SERVICES</t>
        </is>
      </c>
      <c r="Z28" t="inlineStr">
        <is>
          <t>Procédure Ouverte</t>
        </is>
      </c>
      <c r="AA28" t="inlineStr">
        <is>
          <t>Avis de marché</t>
        </is>
      </c>
      <c r="AB28" t="inlineStr">
        <is>
          <t>Nettoyage de locaux, Vitrerie</t>
        </is>
      </c>
      <c r="AC28" t="inlineStr">
        <is>
          <t>['sociaux', 'environnementaux']</t>
        </is>
      </c>
      <c r="AD28" s="11" t="inlineStr">
        <is>
          <t>https://www.boamp.fr/pages/avis/?q=idweb:26-66164</t>
        </is>
      </c>
      <c r="AE28" t="inlineStr">
        <is>
          <t>https://www.marches-publics.gouv.fr/entreprise</t>
        </is>
      </c>
      <c r="AF28" t="inlineStr">
        <is>
          <t>https://www.marches-publics.gouv.fr/entreprise</t>
        </is>
      </c>
      <c r="AG28" t="inlineStr">
        <is>
          <t>nettoyage, menage</t>
        </is>
      </c>
      <c r="AH28" t="inlineStr">
        <is>
          <t>3</t>
        </is>
      </c>
      <c r="AI28" t="inlineStr">
        <is>
          <t>76</t>
        </is>
      </c>
      <c r="AJ28" t="inlineStr">
        <is>
          <t>INFO_PARTIELLE</t>
        </is>
      </c>
      <c r="AK28" t="inlineStr">
        <is>
          <t>55</t>
        </is>
      </c>
      <c r="AL28" t="inlineStr">
        <is>
          <t>TIEDE</t>
        </is>
      </c>
      <c r="AM28" t="inlineStr"/>
      <c r="AN28" t="inlineStr"/>
      <c r="AO28" t="inlineStr"/>
      <c r="AP28" t="inlineStr"/>
      <c r="AQ28" t="inlineStr">
        <is>
          <t>IA_BUDGET_A_VERIFIER</t>
        </is>
      </c>
      <c r="AR28" t="inlineStr">
        <is>
          <t>Verifier le budget dans l'avis source ou le DCE avant decision commerciale.</t>
        </is>
      </c>
      <c r="AS28" t="inlineStr">
        <is>
          <t>adresse, ville, budget</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26-66164. Objet: PRESTATIONS DE NETTOYAGE CAF77. Acheteur: CAF77. Lien: https://www.boamp.fr/pages/avis/?q=idweb:26-66164.</t>
        </is>
      </c>
      <c r="AU28" t="inlineStr">
        <is>
          <t>Verifier url_avis et DCE si disponible</t>
        </is>
      </c>
      <c r="AV28" t="inlineStr"/>
      <c r="AW28" t="inlineStr"/>
      <c r="AX28" t="inlineStr"/>
      <c r="AY28" t="inlineStr"/>
      <c r="AZ28" t="inlineStr"/>
      <c r="BA28" t="inlineStr"/>
      <c r="BB28" t="inlineStr">
        <is>
          <t>+35 nettoyage + categorie claire | +10 budget non affiche (a verifier) | +10 delai confortable 46j</t>
        </is>
      </c>
      <c r="BC28" t="inlineStr">
        <is>
          <t>CAF77 publie un AO potentiellement pertinent pour CHRUTH : PRESTATIONS DE NETTOYAGE CAF77. Zone : 75,77,91,94. Budget a verifier. Verifier le lien source avant contact.</t>
        </is>
      </c>
      <c r="BD28" t="inlineStr">
        <is>
          <t>Bonjour,
Je me permets de vous contacter au sujet de votre appel d'offres : PRESTATIONS DE NETTOYAGE CAF77.
CHRUTH accompagne les structures publiques et privées sur les besoins de nettoyage, d'entretien des locaux et d'organisation de prestations de service.
Serait-il possible d'échanger rapidement afin de vérifier les modalités de réponse et les attentes de CAF77 ?
Cordialement,</t>
        </is>
      </c>
      <c r="BE28" t="inlineStr">
        <is>
          <t>Bonjour, je vous appelle concernant un appel d'offres publié par CAF77.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2026-W27</t>
        </is>
      </c>
    </row>
    <row r="29">
      <c r="A29" t="inlineStr">
        <is>
          <t>BOAMP</t>
        </is>
      </c>
      <c r="B29" t="inlineStr">
        <is>
          <t>26-66494</t>
        </is>
      </c>
      <c r="C29" t="inlineStr">
        <is>
          <t>ENTRETIEN DES LOCAUX POUR LES BESOINS DE L’EPMS DE LA FONDATION HARDY</t>
        </is>
      </c>
      <c r="D29" t="inlineStr">
        <is>
          <t>EPMS FONDATION HARDY</t>
        </is>
      </c>
      <c r="E29" t="inlineStr">
        <is>
          <t>26770033400019</t>
        </is>
      </c>
      <c r="F29" t="inlineStr">
        <is>
          <t>267700334</t>
        </is>
      </c>
      <c r="G29" t="inlineStr"/>
      <c r="H29" t="inlineStr"/>
      <c r="I29" t="inlineStr">
        <is>
          <t>service.depenses@epms-hardy.fr</t>
        </is>
      </c>
      <c r="J29" t="inlineStr">
        <is>
          <t>+33 164252034</t>
        </is>
      </c>
      <c r="K29" t="inlineStr"/>
      <c r="L29" t="inlineStr"/>
      <c r="M29" t="inlineStr"/>
      <c r="N29" t="inlineStr">
        <is>
          <t>77</t>
        </is>
      </c>
      <c r="O29" t="inlineStr"/>
      <c r="P29" t="inlineStr">
        <is>
          <t>Ile-de-France</t>
        </is>
      </c>
      <c r="Q29" s="15" t="n">
        <v>46208</v>
      </c>
      <c r="R29" s="15" t="n">
        <v>46241</v>
      </c>
      <c r="S29" t="inlineStr"/>
      <c r="T29" t="inlineStr">
        <is>
          <t>A_VERIFIER_BUDGET</t>
        </is>
      </c>
      <c r="U29" t="inlineStr"/>
      <c r="V29" t="inlineStr">
        <is>
          <t>non</t>
        </is>
      </c>
      <c r="W29" t="inlineStr">
        <is>
          <t>Batiments</t>
        </is>
      </c>
      <c r="X29" t="inlineStr">
        <is>
          <t>Autre</t>
        </is>
      </c>
      <c r="Y29" t="inlineStr">
        <is>
          <t>SERVICES</t>
        </is>
      </c>
      <c r="Z29" t="inlineStr">
        <is>
          <t>Procédure Ouverte</t>
        </is>
      </c>
      <c r="AA29" t="inlineStr">
        <is>
          <t>Avis de marché</t>
        </is>
      </c>
      <c r="AB29" t="inlineStr">
        <is>
          <t>Nettoyage de locaux</t>
        </is>
      </c>
      <c r="AC29" t="inlineStr"/>
      <c r="AD29" s="11" t="inlineStr">
        <is>
          <t>https://www.boamp.fr/pages/avis/?q=idweb:26-66494</t>
        </is>
      </c>
      <c r="AE29" t="inlineStr">
        <is>
          <t>https://marches.maximilien.fr/entreprise/consultation/942574?orgAcronyme=a1i</t>
        </is>
      </c>
      <c r="AF29" t="inlineStr">
        <is>
          <t>https://marches.maximilien.fr/entreprise/consultation/942574?orgAcronyme=a1i</t>
        </is>
      </c>
      <c r="AG29" t="inlineStr">
        <is>
          <t>nettoyage, entretien des locaux</t>
        </is>
      </c>
      <c r="AH29" t="inlineStr">
        <is>
          <t>3</t>
        </is>
      </c>
      <c r="AI29" t="inlineStr">
        <is>
          <t>76</t>
        </is>
      </c>
      <c r="AJ29" t="inlineStr">
        <is>
          <t>INFO_PARTIELLE</t>
        </is>
      </c>
      <c r="AK29" t="inlineStr">
        <is>
          <t>55</t>
        </is>
      </c>
      <c r="AL29" t="inlineStr">
        <is>
          <t>TIEDE</t>
        </is>
      </c>
      <c r="AM29" t="inlineStr"/>
      <c r="AN29" t="inlineStr"/>
      <c r="AO29" t="inlineStr"/>
      <c r="AP29" t="inlineStr"/>
      <c r="AQ29" t="inlineStr">
        <is>
          <t>IA_BUDGET_A_VERIFIER</t>
        </is>
      </c>
      <c r="AR29" t="inlineStr">
        <is>
          <t>Verifier le budget dans l'avis source ou le DCE avant decision commerciale.</t>
        </is>
      </c>
      <c r="AS29" t="inlineStr">
        <is>
          <t>adresse, ville, budget</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26-66494. Objet: ENTRETIEN DES LOCAUX POUR LES BESOINS DE L’EPMS DE LA FONDATION HARDY. Acheteur: EPMS FONDATION HARDY. Lien: https://www.boamp.fr/pages/avis/?q=idweb:26-66494.</t>
        </is>
      </c>
      <c r="AU29" t="inlineStr">
        <is>
          <t>Verifier url_avis et DCE si disponible</t>
        </is>
      </c>
      <c r="AV29" t="inlineStr"/>
      <c r="AW29" t="inlineStr"/>
      <c r="AX29" t="inlineStr"/>
      <c r="AY29" t="inlineStr"/>
      <c r="AZ29" t="inlineStr"/>
      <c r="BA29" t="inlineStr"/>
      <c r="BB29" t="inlineStr">
        <is>
          <t>+35 nettoyage + categorie claire | +10 budget non affiche (a verifier) | +10 delai confortable 32j</t>
        </is>
      </c>
      <c r="BC29" t="inlineStr">
        <is>
          <t>EPMS FONDATION HARDY publie un AO potentiellement pertinent pour CHRUTH : ENTRETIEN DES LOCAUX POUR LES BESOINS DE L’EPMS DE LA FONDATION HARDY. Zone : 77. Budget a verifier. Verifier le lien source avant contact.</t>
        </is>
      </c>
      <c r="BD29" t="inlineStr">
        <is>
          <t>Bonjour,
Je me permets de vous contacter au sujet de votre appel d'offres : ENTRETIEN DES LOCAUX POUR LES BESOINS DE L’EPMS DE LA FONDATION HARDY.
CHRUTH accompagne les structures publiques et privées sur les besoins de nettoyage, d'entretien des locaux et d'organisation de prestations de service.
Serait-il possible d'échanger rapidement afin de vérifier les modalités de réponse et les attentes de EPMS FONDATION HARDY ?
Cordialement,</t>
        </is>
      </c>
      <c r="BE29" t="inlineStr">
        <is>
          <t>Bonjour, je vous appelle concernant un appel d'offres publié par EPMS FONDATION HARDY.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2026-W27</t>
        </is>
      </c>
    </row>
    <row r="30">
      <c r="A30" t="inlineStr">
        <is>
          <t>MAXIMILIEN</t>
        </is>
      </c>
      <c r="B30" t="inlineStr">
        <is>
          <t>MX-7858fdfde0f2</t>
        </is>
      </c>
      <c r="C30" t="inlineStr">
        <is>
          <t>CHRUTH - 3 nouveaux AO nettoyage IDF =?utf-8?q?=28apr=C3=A8s-midi?=
 03/07)</t>
        </is>
      </c>
      <c r="D30" t="inlineStr">
        <is>
          <t>Ville De Paris - Dfa - Sda</t>
        </is>
      </c>
      <c r="E30" t="inlineStr"/>
      <c r="F30" t="inlineStr"/>
      <c r="G30" t="inlineStr"/>
      <c r="H30" t="inlineStr"/>
      <c r="I30" t="inlineStr"/>
      <c r="J30" t="inlineStr"/>
      <c r="K30" t="inlineStr"/>
      <c r="L30" t="inlineStr"/>
      <c r="M30" t="inlineStr"/>
      <c r="N30" t="inlineStr"/>
      <c r="O30" t="inlineStr"/>
      <c r="P30" t="inlineStr"/>
      <c r="Q30" s="15" t="n">
        <v>46207</v>
      </c>
      <c r="R30" t="inlineStr"/>
      <c r="S30" t="inlineStr"/>
      <c r="T30" t="inlineStr">
        <is>
          <t>A_VERIFIER_BUDGET</t>
        </is>
      </c>
      <c r="U30" t="inlineStr"/>
      <c r="V30" t="inlineStr"/>
      <c r="W30" t="inlineStr">
        <is>
          <t>Batiments/Locaux</t>
        </is>
      </c>
      <c r="X30" t="inlineStr">
        <is>
          <t>Mairie</t>
        </is>
      </c>
      <c r="Y30" t="inlineStr"/>
      <c r="Z30" t="inlineStr"/>
      <c r="AA30" t="inlineStr"/>
      <c r="AB30" t="inlineStr"/>
      <c r="AC30" t="inlineStr"/>
      <c r="AD30" s="11" t="inlineStr">
        <is>
          <t>https://marches.maximilien.fr/entreprise/consultation/939575?orgAcronyme=r8t</t>
        </is>
      </c>
      <c r="AE30" t="inlineStr">
        <is>
          <t>https://marches.maximilien.fr/entreprise/consultation/939575?orgAcronyme=r8t</t>
        </is>
      </c>
      <c r="AF30" t="inlineStr"/>
      <c r="AG30" t="inlineStr">
        <is>
          <t>nettoyage</t>
        </is>
      </c>
      <c r="AH30" t="inlineStr"/>
      <c r="AI30" t="inlineStr">
        <is>
          <t>30</t>
        </is>
      </c>
      <c r="AJ30" t="inlineStr">
        <is>
          <t>DCE_A_TELECHARGER</t>
        </is>
      </c>
      <c r="AK30" t="inlineStr">
        <is>
          <t>55</t>
        </is>
      </c>
      <c r="AL30" s="16" t="inlineStr">
        <is>
          <t>A_VERIFIER</t>
        </is>
      </c>
      <c r="AM30" t="inlineStr"/>
      <c r="AN30" t="inlineStr"/>
      <c r="AO30" t="inlineStr"/>
      <c r="AP30" t="inlineStr"/>
      <c r="AQ30" t="inlineStr">
        <is>
          <t>IA_DCE_REQUISE</t>
        </is>
      </c>
      <c r="AR30" t="inlineStr">
        <is>
          <t>Telecharger ou ouvrir le DCE, puis extraire contact, budget, perimetre et contraintes.</t>
        </is>
      </c>
      <c r="AS30" t="inlineStr">
        <is>
          <t>SIRET, email, telephone,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MX-7858fdfde0f2. Objet: CHRUTH - 3 nouveaux AO nettoyage IDF =?utf-8?q?=28apr=C3=A8s-midi?=
 03/07). Acheteur: Ville De Paris - Dfa - Sda. Lien: https://marches.maximilien.fr/entreprise/consultation/939575?orgAcronyme=r8t.</t>
        </is>
      </c>
      <c r="AU30" t="inlineStr">
        <is>
          <t>Verifier url_avis et DCE si disponible</t>
        </is>
      </c>
      <c r="AV30" t="inlineStr">
        <is>
          <t>LIEN_SEUL</t>
        </is>
      </c>
      <c r="AW30" t="inlineStr"/>
      <c r="AX30" t="inlineStr"/>
      <c r="AY30" t="inlineStr"/>
      <c r="AZ30" t="inlineStr"/>
      <c r="BA30" t="inlineStr"/>
      <c r="BB30" t="inlineStr">
        <is>
          <t>+35 nettoyage + categorie claire | +10 budget non affiche (a verifier) | +10 secteur cible Mairie | 0 date limite absente</t>
        </is>
      </c>
      <c r="BC30" t="inlineStr"/>
      <c r="BD30" t="inlineStr"/>
      <c r="BE30" t="inlineStr"/>
      <c r="BF30" t="inlineStr"/>
      <c r="BG30" t="inlineStr"/>
      <c r="BH30" t="inlineStr"/>
      <c r="BI30" t="inlineStr"/>
      <c r="BJ30" t="inlineStr"/>
      <c r="BK30" t="inlineStr"/>
      <c r="BL30" t="inlineStr"/>
      <c r="BM30" t="inlineStr">
        <is>
          <t>2026-W27</t>
        </is>
      </c>
    </row>
    <row r="31">
      <c r="A31" t="inlineStr">
        <is>
          <t>BOAMP</t>
        </is>
      </c>
      <c r="B31" t="inlineStr">
        <is>
          <t>26-64372</t>
        </is>
      </c>
      <c r="C31" t="inlineStr">
        <is>
          <t>Marché public de prestations de services relatif au nettoyage des locaux administratifs du SIAH.</t>
        </is>
      </c>
      <c r="D31" t="inlineStr">
        <is>
          <t>SIAH (Syndicat Mixte d’Aménagement Hydraulique du Croult et du Petit Rosne)</t>
        </is>
      </c>
      <c r="E31" t="inlineStr">
        <is>
          <t>20004931000010</t>
        </is>
      </c>
      <c r="F31" t="inlineStr">
        <is>
          <t>200049310</t>
        </is>
      </c>
      <c r="G31" t="inlineStr"/>
      <c r="H31" t="inlineStr"/>
      <c r="I31" t="inlineStr">
        <is>
          <t>dce@siah-croult.org</t>
        </is>
      </c>
      <c r="J31" t="inlineStr">
        <is>
          <t>0493100001</t>
        </is>
      </c>
      <c r="K31" t="inlineStr"/>
      <c r="L31" t="inlineStr"/>
      <c r="M31" t="inlineStr"/>
      <c r="N31" t="inlineStr">
        <is>
          <t>95</t>
        </is>
      </c>
      <c r="O31" t="inlineStr"/>
      <c r="P31" t="inlineStr">
        <is>
          <t>Ile-de-France</t>
        </is>
      </c>
      <c r="Q31" s="15" t="n">
        <v>46204</v>
      </c>
      <c r="R31" s="15" t="n">
        <v>46234</v>
      </c>
      <c r="S31" t="inlineStr"/>
      <c r="T31" t="inlineStr">
        <is>
          <t>A_VERIFIER_BUDGET</t>
        </is>
      </c>
      <c r="U31" t="inlineStr"/>
      <c r="V31" t="inlineStr">
        <is>
          <t>non</t>
        </is>
      </c>
      <c r="W31" t="inlineStr">
        <is>
          <t>Batiments</t>
        </is>
      </c>
      <c r="X31" t="inlineStr">
        <is>
          <t>Autre</t>
        </is>
      </c>
      <c r="Y31" t="inlineStr">
        <is>
          <t>SERVICES</t>
        </is>
      </c>
      <c r="Z31" t="inlineStr">
        <is>
          <t>Procédure Ouverte</t>
        </is>
      </c>
      <c r="AA31" t="inlineStr">
        <is>
          <t>Avis de marché</t>
        </is>
      </c>
      <c r="AB31" t="inlineStr">
        <is>
          <t>Nettoyage de locaux</t>
        </is>
      </c>
      <c r="AC31" t="inlineStr"/>
      <c r="AD31" s="11" t="inlineStr">
        <is>
          <t>https://www.boamp.fr/pages/avis/?q=idweb:26-64372</t>
        </is>
      </c>
      <c r="AE31" t="inlineStr">
        <is>
          <t>https://www.achatpublic.com/sdm/ent/gen/ent_detail.do?PCSLID=CSL_2026_Pbs6BRZ3AV</t>
        </is>
      </c>
      <c r="AF31" t="inlineStr">
        <is>
          <t>https://www.achatpublic.com/sdm/ent/gen/ent_detail.do?PCSLID=CSL_2026_Pbs6BRZ3AV</t>
        </is>
      </c>
      <c r="AG31" t="inlineStr">
        <is>
          <t>nettoyage</t>
        </is>
      </c>
      <c r="AH31" t="inlineStr">
        <is>
          <t>3</t>
        </is>
      </c>
      <c r="AI31" t="inlineStr">
        <is>
          <t>68</t>
        </is>
      </c>
      <c r="AJ31" t="inlineStr">
        <is>
          <t>INFO_PARTIELLE</t>
        </is>
      </c>
      <c r="AK31" t="inlineStr">
        <is>
          <t>55</t>
        </is>
      </c>
      <c r="AL31" t="inlineStr">
        <is>
          <t>TIEDE</t>
        </is>
      </c>
      <c r="AM31" t="inlineStr"/>
      <c r="AN31" t="inlineStr"/>
      <c r="AO31" t="inlineStr"/>
      <c r="AP31" t="inlineStr"/>
      <c r="AQ31" t="inlineStr">
        <is>
          <t>IA_BUDGET_A_VERIFIER</t>
        </is>
      </c>
      <c r="AR31" t="inlineStr">
        <is>
          <t>Verifier le budget dans l'avis source ou le DCE avant decision commerciale.</t>
        </is>
      </c>
      <c r="AS31" t="inlineStr">
        <is>
          <t>adresse, ville, budget</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26-64372. Objet: Marché public de prestations de services relatif au nettoyage des locaux administratifs du SIAH.. Acheteur: SIAH (Syndicat Mixte d’Aménagement Hydraulique du Croult et du Petit Rosne). Lien: https://www.boamp.fr/pages/avis/?q=idweb:26-64372.</t>
        </is>
      </c>
      <c r="AU31" t="inlineStr">
        <is>
          <t>Verifier url_avis et DCE si disponible</t>
        </is>
      </c>
      <c r="AV31" t="inlineStr"/>
      <c r="AW31" t="inlineStr"/>
      <c r="AX31" t="inlineStr"/>
      <c r="AY31" t="inlineStr"/>
      <c r="AZ31" t="inlineStr"/>
      <c r="BA31" t="inlineStr"/>
      <c r="BB31" t="inlineStr">
        <is>
          <t>+35 nettoyage + categorie claire | +10 budget non affiche (a verifier) | +10 delai confortable 25j</t>
        </is>
      </c>
      <c r="BC31" t="inlineStr">
        <is>
          <t>SIAH (Syndicat Mixte d’Aménagement Hydraulique du Croult et du Petit Rosne) publie un AO potentiellement pertinent pour CHRUTH : Marché public de prestations de services relatif au nettoyage des locaux administratifs du SIAH.. Zone : 95. Budget a verifier. Verifier le lien source avant contact.</t>
        </is>
      </c>
      <c r="BD31" t="inlineStr">
        <is>
          <t>Bonjour,
Je me permets de vous contacter au sujet de votre appel d'offres : Marché public de prestations de services relatif au nettoyage des locaux administratifs du SIAH..
CHRUTH accompagne les structures publiques et privées sur les besoins de nettoyage, d'entretien des locaux et d'organisation de prestations de service.
Serait-il possible d'échanger rapidement afin de vérifier les modalités de réponse et les attentes de SIAH (Syndicat Mixte d’Aménagement Hydraulique du Croult et du Petit Rosne) ?
Cordialement,</t>
        </is>
      </c>
      <c r="BE31" t="inlineStr">
        <is>
          <t>Bonjour, je vous appelle concernant un appel d'offres publié par SIAH (Syndicat Mixte d’Aménagement Hydraulique du Croult et du Petit Rosne).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2026-W27</t>
        </is>
      </c>
    </row>
    <row r="32">
      <c r="A32" t="inlineStr">
        <is>
          <t>BOAMP</t>
        </is>
      </c>
      <c r="B32" t="inlineStr">
        <is>
          <t>26-63717</t>
        </is>
      </c>
      <c r="C32" t="inlineStr">
        <is>
          <t>Nettoyage des locaux et des vitres des sites de la délégation Nouvelle Aquitaine du CNFPT</t>
        </is>
      </c>
      <c r="D32" t="inlineStr">
        <is>
          <t>CNFPT - Direction de l'achat public</t>
        </is>
      </c>
      <c r="E32" t="inlineStr"/>
      <c r="F32" t="inlineStr"/>
      <c r="G32" t="inlineStr"/>
      <c r="H32" t="inlineStr"/>
      <c r="I32" t="inlineStr">
        <is>
          <t>publications-joue@aws-france.com</t>
        </is>
      </c>
      <c r="J32" t="inlineStr">
        <is>
          <t>+33480041260</t>
        </is>
      </c>
      <c r="K32" t="inlineStr"/>
      <c r="L32" t="inlineStr"/>
      <c r="M32" t="inlineStr"/>
      <c r="N32" t="inlineStr">
        <is>
          <t>75</t>
        </is>
      </c>
      <c r="O32" t="inlineStr"/>
      <c r="P32" t="inlineStr">
        <is>
          <t>Ile-de-France</t>
        </is>
      </c>
      <c r="Q32" s="15" t="n">
        <v>46201</v>
      </c>
      <c r="R32" s="15" t="n">
        <v>46276</v>
      </c>
      <c r="S32" t="inlineStr"/>
      <c r="T32" t="inlineStr">
        <is>
          <t>A_VERIFIER_BUDGET</t>
        </is>
      </c>
      <c r="U32" t="inlineStr"/>
      <c r="V32" t="inlineStr">
        <is>
          <t>non</t>
        </is>
      </c>
      <c r="W32" t="inlineStr">
        <is>
          <t>Vitres</t>
        </is>
      </c>
      <c r="X32" t="inlineStr">
        <is>
          <t>Autre</t>
        </is>
      </c>
      <c r="Y32" t="inlineStr">
        <is>
          <t>SERVICES</t>
        </is>
      </c>
      <c r="Z32" t="inlineStr">
        <is>
          <t>Procédure Ouverte</t>
        </is>
      </c>
      <c r="AA32" t="inlineStr">
        <is>
          <t>Avis de marché</t>
        </is>
      </c>
      <c r="AB32" t="inlineStr">
        <is>
          <t>Nettoyage de locaux</t>
        </is>
      </c>
      <c r="AC32" t="inlineStr">
        <is>
          <t>['sociaux', 'environnementaux']</t>
        </is>
      </c>
      <c r="AD32" s="11" t="inlineStr">
        <is>
          <t>https://www.boamp.fr/pages/avis/?q=idweb:26-63717</t>
        </is>
      </c>
      <c r="AE32" t="inlineStr">
        <is>
          <t>https://cnfpt.marches-publics.info/</t>
        </is>
      </c>
      <c r="AF32" t="inlineStr">
        <is>
          <t>https://cnfpt.marches-publics.info/</t>
        </is>
      </c>
      <c r="AG32" t="inlineStr">
        <is>
          <t>nettoyage</t>
        </is>
      </c>
      <c r="AH32" t="inlineStr">
        <is>
          <t>2</t>
        </is>
      </c>
      <c r="AI32" t="inlineStr">
        <is>
          <t>58</t>
        </is>
      </c>
      <c r="AJ32" t="inlineStr">
        <is>
          <t>INFO_PARTIELLE</t>
        </is>
      </c>
      <c r="AK32" t="inlineStr">
        <is>
          <t>55</t>
        </is>
      </c>
      <c r="AL32" t="inlineStr">
        <is>
          <t>TIEDE</t>
        </is>
      </c>
      <c r="AM32" t="inlineStr"/>
      <c r="AN32" t="inlineStr"/>
      <c r="AO32" t="inlineStr"/>
      <c r="AP32" t="inlineStr"/>
      <c r="AQ32" t="inlineStr">
        <is>
          <t>IA_BUDGET_A_VERIFIER</t>
        </is>
      </c>
      <c r="AR32" t="inlineStr">
        <is>
          <t>Verifier le budget dans l'avis source ou le DCE avant decision commerciale.</t>
        </is>
      </c>
      <c r="AS32" t="inlineStr">
        <is>
          <t>SIRET, adresse, ville, budget</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26-63717. Objet: Nettoyage des locaux et des vitres des sites de la délégation Nouvelle Aquitaine du CNFPT. Acheteur: CNFPT - Direction de l'achat public. Lien: https://www.boamp.fr/pages/avis/?q=idweb:26-63717.</t>
        </is>
      </c>
      <c r="AU32" t="inlineStr">
        <is>
          <t>Verifier url_avis et DCE si disponible</t>
        </is>
      </c>
      <c r="AV32" t="inlineStr"/>
      <c r="AW32" t="inlineStr"/>
      <c r="AX32" t="inlineStr"/>
      <c r="AY32" t="inlineStr"/>
      <c r="AZ32" t="inlineStr"/>
      <c r="BA32" t="inlineStr"/>
      <c r="BB32" t="inlineStr">
        <is>
          <t>+35 nettoyage + categorie claire | +10 budget non affiche (a verifier) | +10 delai confortable 67j</t>
        </is>
      </c>
      <c r="BC32" t="inlineStr">
        <is>
          <t>CNFPT - Direction de l'achat public publie un AO potentiellement pertinent pour CHRUTH : Nettoyage des locaux et des vitres des sites de la délégation Nouvelle Aquitaine du CNFPT. Zone : 75. Budget a verifier. Verifier le lien source avant contact.</t>
        </is>
      </c>
      <c r="BD32" t="inlineStr">
        <is>
          <t>Bonjour,
Je me permets de vous contacter au sujet de votre appel d'offres : Nettoyage des locaux et des vitres des sites de la délégation Nouvelle Aquitaine du CNFPT.
CHRUTH accompagne les structures publiques et privées sur les besoins de nettoyage, d'entretien des locaux et d'organisation de prestations de service.
Serait-il possible d'échanger rapidement afin de vérifier les modalités de réponse et les attentes de CNFPT - Direction de l'achat public ?
Cordialement,</t>
        </is>
      </c>
      <c r="BE32" t="inlineStr">
        <is>
          <t>Bonjour, je vous appelle concernant un appel d'offres publié par CNFPT - Direction de l'achat public.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2026-W26</t>
        </is>
      </c>
    </row>
    <row r="33">
      <c r="A33" t="inlineStr">
        <is>
          <t>BOAMP</t>
        </is>
      </c>
      <c r="B33" t="inlineStr">
        <is>
          <t>26-59151</t>
        </is>
      </c>
      <c r="C33" t="inlineStr">
        <is>
          <t>Prestations de nettoyage des surfaces vitrées, vitrines, baies vitrées, verrières et éléments assimilés des bâtiments de l’Université Paris 8 ainsi que de ses sites rattachés</t>
        </is>
      </c>
      <c r="D33" t="inlineStr">
        <is>
          <t>UNIVERSITE PARIS 8</t>
        </is>
      </c>
      <c r="E33" t="inlineStr">
        <is>
          <t>19931827000014</t>
        </is>
      </c>
      <c r="F33" t="inlineStr">
        <is>
          <t>199318270</t>
        </is>
      </c>
      <c r="G33" t="inlineStr"/>
      <c r="H33" t="inlineStr"/>
      <c r="I33" t="inlineStr">
        <is>
          <t>nicolas.luczak@univ-paris8.fr</t>
        </is>
      </c>
      <c r="J33" t="inlineStr">
        <is>
          <t>+33149406761</t>
        </is>
      </c>
      <c r="K33" t="inlineStr"/>
      <c r="L33" t="inlineStr"/>
      <c r="M33" t="inlineStr"/>
      <c r="N33" t="inlineStr">
        <is>
          <t>93</t>
        </is>
      </c>
      <c r="O33" t="inlineStr"/>
      <c r="P33" t="inlineStr">
        <is>
          <t>Ile-de-France</t>
        </is>
      </c>
      <c r="Q33" s="15" t="n">
        <v>46190</v>
      </c>
      <c r="R33" s="15" t="n">
        <v>46213</v>
      </c>
      <c r="S33" t="inlineStr"/>
      <c r="T33" t="inlineStr">
        <is>
          <t>A_VERIFIER_BUDGET</t>
        </is>
      </c>
      <c r="U33" t="inlineStr"/>
      <c r="V33" t="inlineStr">
        <is>
          <t>non</t>
        </is>
      </c>
      <c r="W33" t="inlineStr">
        <is>
          <t>Vitres</t>
        </is>
      </c>
      <c r="X33" t="inlineStr">
        <is>
          <t>Autre</t>
        </is>
      </c>
      <c r="Y33" t="inlineStr">
        <is>
          <t>SERVICES</t>
        </is>
      </c>
      <c r="Z33" t="inlineStr">
        <is>
          <t>Procédure Ouverte</t>
        </is>
      </c>
      <c r="AA33" t="inlineStr">
        <is>
          <t>Avis de marché</t>
        </is>
      </c>
      <c r="AB33" t="inlineStr">
        <is>
          <t>Vitrerie, Nettoyage de locaux</t>
        </is>
      </c>
      <c r="AC33" t="inlineStr"/>
      <c r="AD33" s="11" t="inlineStr">
        <is>
          <t>https://www.boamp.fr/pages/avis/?q=idweb:26-59151</t>
        </is>
      </c>
      <c r="AE33" t="inlineStr">
        <is>
          <t>https://www.marches-publics.gouv.fr/entreprise</t>
        </is>
      </c>
      <c r="AF33" t="inlineStr">
        <is>
          <t>https://www.marches-publics.gouv.fr/entreprise</t>
        </is>
      </c>
      <c r="AG33" t="inlineStr">
        <is>
          <t>nettoyage</t>
        </is>
      </c>
      <c r="AH33" t="inlineStr">
        <is>
          <t>3</t>
        </is>
      </c>
      <c r="AI33" t="inlineStr">
        <is>
          <t>68</t>
        </is>
      </c>
      <c r="AJ33" t="inlineStr">
        <is>
          <t>INFO_PARTIELLE</t>
        </is>
      </c>
      <c r="AK33" t="inlineStr">
        <is>
          <t>55</t>
        </is>
      </c>
      <c r="AL33" t="inlineStr">
        <is>
          <t>TIEDE</t>
        </is>
      </c>
      <c r="AM33" t="inlineStr"/>
      <c r="AN33" t="inlineStr"/>
      <c r="AO33" t="inlineStr"/>
      <c r="AP33" t="inlineStr"/>
      <c r="AQ33" t="inlineStr">
        <is>
          <t>IA_BUDGET_A_VERIFIER</t>
        </is>
      </c>
      <c r="AR33" t="inlineStr">
        <is>
          <t>Verifier le budget dans l'avis source ou le DCE avant decision commerciale.</t>
        </is>
      </c>
      <c r="AS33" t="inlineStr">
        <is>
          <t>adresse, ville, budget</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26-59151. Objet: Prestations de nettoyage des surfaces vitrées, vitrines, baies vitrées, verrières et éléments assimilés des bâtiments de l’Université Paris 8 ainsi que de ses sites rattachés. Acheteur: UNIVERSITE PARIS 8. Lien: https://www.boamp.fr/pages/avis/?q=idweb:26-59151.</t>
        </is>
      </c>
      <c r="AU33" t="inlineStr">
        <is>
          <t>Verifier url_avis et DCE si disponible</t>
        </is>
      </c>
      <c r="AV33" t="inlineStr">
        <is>
          <t>LIEN_SEUL</t>
        </is>
      </c>
      <c r="AW33" t="inlineStr"/>
      <c r="AX33" t="inlineStr"/>
      <c r="AY33" t="inlineStr"/>
      <c r="AZ33" t="inlineStr"/>
      <c r="BA33" t="inlineStr"/>
      <c r="BB33" t="inlineStr">
        <is>
          <t>+35 nettoyage + categorie claire | +10 budget non affiche (a verifier) | +10 delai confortable 18j</t>
        </is>
      </c>
      <c r="BC33"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3"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3"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3" t="inlineStr"/>
      <c r="BG33" t="inlineStr"/>
      <c r="BH33" t="inlineStr"/>
      <c r="BI33" t="inlineStr"/>
      <c r="BJ33" t="inlineStr"/>
      <c r="BK33" t="inlineStr"/>
      <c r="BL33" t="inlineStr"/>
      <c r="BM33" t="inlineStr">
        <is>
          <t>2026-W25</t>
        </is>
      </c>
    </row>
    <row r="34">
      <c r="A34" t="inlineStr">
        <is>
          <t>BOAMP</t>
        </is>
      </c>
      <c r="B34" t="inlineStr">
        <is>
          <t>26-57705</t>
        </is>
      </c>
      <c r="C34" t="inlineStr">
        <is>
          <t>MARCHE PUBLIC RELATIF AU NETTOYAGE DES LOCAUX DE LA MISSION LOCALE DE PARIS</t>
        </is>
      </c>
      <c r="D34" t="inlineStr">
        <is>
          <t>MISSION LOCALE DE PARIS</t>
        </is>
      </c>
      <c r="E34" t="inlineStr">
        <is>
          <t>53132862300149</t>
        </is>
      </c>
      <c r="F34" t="inlineStr">
        <is>
          <t>531328623</t>
        </is>
      </c>
      <c r="G34" t="inlineStr"/>
      <c r="H34" t="inlineStr"/>
      <c r="I34" t="inlineStr">
        <is>
          <t>achats@missionlocaledeparis.fr</t>
        </is>
      </c>
      <c r="J34" t="inlineStr">
        <is>
          <t>0149 076467</t>
        </is>
      </c>
      <c r="K34" t="inlineStr"/>
      <c r="L34" t="inlineStr"/>
      <c r="M34" t="inlineStr"/>
      <c r="N34" t="inlineStr">
        <is>
          <t>75</t>
        </is>
      </c>
      <c r="O34" t="inlineStr"/>
      <c r="P34" t="inlineStr">
        <is>
          <t>Ile-de-France</t>
        </is>
      </c>
      <c r="Q34" s="15" t="n">
        <v>46185</v>
      </c>
      <c r="R34" s="15" t="n">
        <v>46213</v>
      </c>
      <c r="S34" t="inlineStr"/>
      <c r="T34" t="inlineStr">
        <is>
          <t>A_VERIFIER_BUDGET</t>
        </is>
      </c>
      <c r="U34" t="inlineStr"/>
      <c r="V34" t="inlineStr">
        <is>
          <t>non</t>
        </is>
      </c>
      <c r="W34" t="inlineStr">
        <is>
          <t>Vitres</t>
        </is>
      </c>
      <c r="X34" t="inlineStr">
        <is>
          <t>Autre</t>
        </is>
      </c>
      <c r="Y34" t="inlineStr">
        <is>
          <t>SERVICES</t>
        </is>
      </c>
      <c r="Z34" t="inlineStr">
        <is>
          <t>Procédure Ouverte</t>
        </is>
      </c>
      <c r="AA34" t="inlineStr">
        <is>
          <t>Avis de marché</t>
        </is>
      </c>
      <c r="AB34" t="inlineStr">
        <is>
          <t>Nettoyage de locaux</t>
        </is>
      </c>
      <c r="AC34" t="inlineStr"/>
      <c r="AD34" s="11" t="inlineStr">
        <is>
          <t>https://www.boamp.fr/pages/avis/?q=idweb:26-57705</t>
        </is>
      </c>
      <c r="AE34" t="inlineStr">
        <is>
          <t>https://www.achatpublic.com/sdm/ent/gen/ent_detail.do?PCSLID=CSL_2026_GODJdYpugJ</t>
        </is>
      </c>
      <c r="AF34" t="inlineStr">
        <is>
          <t>https://www.achatpublic.com/sdm/ent/gen/ent_detail.do?PCSLID=CSL_2026_GODJdYpugJ</t>
        </is>
      </c>
      <c r="AG34" t="inlineStr">
        <is>
          <t>nettoyage, proprete</t>
        </is>
      </c>
      <c r="AH34" t="inlineStr">
        <is>
          <t>3</t>
        </is>
      </c>
      <c r="AI34" t="inlineStr">
        <is>
          <t>76</t>
        </is>
      </c>
      <c r="AJ34" t="inlineStr">
        <is>
          <t>INFO_PARTIELLE</t>
        </is>
      </c>
      <c r="AK34" t="inlineStr">
        <is>
          <t>55</t>
        </is>
      </c>
      <c r="AL34" t="inlineStr">
        <is>
          <t>TIEDE</t>
        </is>
      </c>
      <c r="AM34" t="inlineStr"/>
      <c r="AN34" t="inlineStr"/>
      <c r="AO34" t="inlineStr"/>
      <c r="AP34" t="inlineStr"/>
      <c r="AQ34" t="inlineStr">
        <is>
          <t>IA_BUDGET_A_VERIFIER</t>
        </is>
      </c>
      <c r="AR34" t="inlineStr">
        <is>
          <t>Verifier le budget dans l'avis source ou le DCE avant decision commerciale.</t>
        </is>
      </c>
      <c r="AS34" t="inlineStr">
        <is>
          <t>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26-57705. Objet: MARCHE PUBLIC RELATIF AU NETTOYAGE DES LOCAUX DE LA MISSION LOCALE DE PARIS. Acheteur: MISSION LOCALE DE PARIS. Lien: https://www.boamp.fr/pages/avis/?q=idweb:26-57705.</t>
        </is>
      </c>
      <c r="AU34" t="inlineStr">
        <is>
          <t>Verifier url_avis et DCE si disponible</t>
        </is>
      </c>
      <c r="AV34" t="inlineStr">
        <is>
          <t>LIEN_SEUL</t>
        </is>
      </c>
      <c r="AW34" t="inlineStr"/>
      <c r="AX34" t="inlineStr"/>
      <c r="AY34" t="inlineStr"/>
      <c r="AZ34" t="inlineStr"/>
      <c r="BA34" t="inlineStr"/>
      <c r="BB34" t="inlineStr">
        <is>
          <t>+35 nettoyage + categorie claire | +10 budget non affiche (a verifier) | +10 delai confortable 18j</t>
        </is>
      </c>
      <c r="BC34" t="inlineStr">
        <is>
          <t>MISSION LOCALE DE PARIS publie un AO potentiellement pertinent pour CHRUTH : MARCHE PUBLIC RELATIF AU NETTOYAGE DES LOCAUX DE LA MISSION LOCALE DE PARIS. Zone : 75. Budget a verifier. Verifier le lien source avant contact.</t>
        </is>
      </c>
      <c r="BD34" t="inlineStr">
        <is>
          <t>Bonjour,
Je me permets de vous contacter au sujet de votre appel d'offres : MARCHE PUBLIC RELATIF AU NETTOYAGE DES LOCAUX DE LA MISSION LOCALE DE PARIS.
CHRUTH accompagne les structures publiques et privees sur les besoins de nettoyage, d'entretien des locaux et d'organisation de prestations de service.
Serait-il possible d'echanger rapidement afin de verifier les modalites de reponse et les attentes de MISSION LOCALE DE PARIS ?
Cordialement,</t>
        </is>
      </c>
      <c r="BE34" t="inlineStr">
        <is>
          <t>Bonjour, je vous appelle concernant un appel d'offres publie par MISSION LOCALE DE PARIS. Je souhaite verifier les informations pratiques : perimetre des prestations, date limite, modalites de visite, contact technique et pieces attendues. Pouvez-vous m'indiquer la bonne personne a contacter ?</t>
        </is>
      </c>
      <c r="BF34" t="inlineStr"/>
      <c r="BG34" t="inlineStr"/>
      <c r="BH34" t="inlineStr"/>
      <c r="BI34" t="inlineStr"/>
      <c r="BJ34" t="inlineStr"/>
      <c r="BK34" t="inlineStr"/>
      <c r="BL34" t="inlineStr"/>
      <c r="BM34" t="inlineStr">
        <is>
          <t>2026-W24</t>
        </is>
      </c>
    </row>
    <row r="35">
      <c r="A35" t="inlineStr">
        <is>
          <t>BOAMP</t>
        </is>
      </c>
      <c r="B35" t="inlineStr">
        <is>
          <t>26-57778</t>
        </is>
      </c>
      <c r="C35" t="inlineStr">
        <is>
          <t>Prestations de nettoyage des surfaces vitrées, vitrines, baies vitrées, verrières et éléments assimilés des bâtiments de l’Université Paris 8 ainsi que de ses sites rattachés</t>
        </is>
      </c>
      <c r="D35" t="inlineStr">
        <is>
          <t>UNIVERSITE PARIS 8</t>
        </is>
      </c>
      <c r="E35" t="inlineStr">
        <is>
          <t>19931827000014</t>
        </is>
      </c>
      <c r="F35" t="inlineStr">
        <is>
          <t>199318270</t>
        </is>
      </c>
      <c r="G35" t="inlineStr"/>
      <c r="H35" t="inlineStr"/>
      <c r="I35" t="inlineStr">
        <is>
          <t>nicolas.luczak@univ-paris8.fr</t>
        </is>
      </c>
      <c r="J35" t="inlineStr">
        <is>
          <t>+33149406761</t>
        </is>
      </c>
      <c r="K35" t="inlineStr"/>
      <c r="L35" t="inlineStr"/>
      <c r="M35" t="inlineStr"/>
      <c r="N35" t="inlineStr">
        <is>
          <t>93</t>
        </is>
      </c>
      <c r="O35" t="inlineStr"/>
      <c r="P35" t="inlineStr">
        <is>
          <t>Ile-de-France</t>
        </is>
      </c>
      <c r="Q35" s="15" t="n">
        <v>46185</v>
      </c>
      <c r="R35" s="15" t="n">
        <v>46213</v>
      </c>
      <c r="S35" t="inlineStr"/>
      <c r="T35" t="inlineStr">
        <is>
          <t>A_VERIFIER_BUDGET</t>
        </is>
      </c>
      <c r="U35" t="inlineStr"/>
      <c r="V35" t="inlineStr">
        <is>
          <t>non</t>
        </is>
      </c>
      <c r="W35" t="inlineStr">
        <is>
          <t>Vitres</t>
        </is>
      </c>
      <c r="X35" t="inlineStr">
        <is>
          <t>Autre</t>
        </is>
      </c>
      <c r="Y35" t="inlineStr">
        <is>
          <t>SERVICES</t>
        </is>
      </c>
      <c r="Z35" t="inlineStr">
        <is>
          <t>Procédure Ouverte</t>
        </is>
      </c>
      <c r="AA35" t="inlineStr">
        <is>
          <t>Avis de marché</t>
        </is>
      </c>
      <c r="AB35" t="inlineStr">
        <is>
          <t>Vitrerie, Nettoyage de locaux</t>
        </is>
      </c>
      <c r="AC35" t="inlineStr">
        <is>
          <t>['sociaux']</t>
        </is>
      </c>
      <c r="AD35" s="11" t="inlineStr">
        <is>
          <t>https://www.boamp.fr/pages/avis/?q=idweb:26-57778</t>
        </is>
      </c>
      <c r="AE35" t="inlineStr">
        <is>
          <t>https://www.marches-publics.gouv.fr/entreprise</t>
        </is>
      </c>
      <c r="AF35" t="inlineStr">
        <is>
          <t>https://www.marches-publics.gouv.fr/entreprise</t>
        </is>
      </c>
      <c r="AG35" t="inlineStr">
        <is>
          <t>nettoyage</t>
        </is>
      </c>
      <c r="AH35" t="inlineStr">
        <is>
          <t>3</t>
        </is>
      </c>
      <c r="AI35" t="inlineStr">
        <is>
          <t>68</t>
        </is>
      </c>
      <c r="AJ35" t="inlineStr">
        <is>
          <t>INFO_PARTIELLE</t>
        </is>
      </c>
      <c r="AK35" t="inlineStr">
        <is>
          <t>55</t>
        </is>
      </c>
      <c r="AL35" t="inlineStr">
        <is>
          <t>TIEDE</t>
        </is>
      </c>
      <c r="AM35" t="inlineStr"/>
      <c r="AN35" t="inlineStr"/>
      <c r="AO35" t="inlineStr"/>
      <c r="AP35" t="inlineStr"/>
      <c r="AQ35" t="inlineStr">
        <is>
          <t>IA_BUDGET_A_VERIFIER</t>
        </is>
      </c>
      <c r="AR35" t="inlineStr">
        <is>
          <t>Verifier le budget dans l'avis source ou le DCE avant decision commerciale.</t>
        </is>
      </c>
      <c r="AS35" t="inlineStr">
        <is>
          <t>adresse, ville, budget</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26-57778. Objet: Prestations de nettoyage des surfaces vitrées, vitrines, baies vitrées, verrières et éléments assimilés des bâtiments de l’Université Paris 8 ainsi que de ses sites rattachés. Acheteur: UNIVERSITE PARIS 8. Lien: https://www.boamp.fr/pages/avis/?q=idweb:26-57778.</t>
        </is>
      </c>
      <c r="AU35" t="inlineStr">
        <is>
          <t>Verifier url_avis et DCE si disponible</t>
        </is>
      </c>
      <c r="AV35" t="inlineStr">
        <is>
          <t>LIEN_SEUL</t>
        </is>
      </c>
      <c r="AW35" t="inlineStr"/>
      <c r="AX35" t="inlineStr"/>
      <c r="AY35" t="inlineStr"/>
      <c r="AZ35" t="inlineStr"/>
      <c r="BA35" t="inlineStr"/>
      <c r="BB35" t="inlineStr">
        <is>
          <t>+35 nettoyage + categorie claire | +10 budget non affiche (a verifier) | +10 delai confortable 18j</t>
        </is>
      </c>
      <c r="BC35"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5"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5"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5" t="inlineStr"/>
      <c r="BG35" t="inlineStr"/>
      <c r="BH35" t="inlineStr"/>
      <c r="BI35" t="inlineStr"/>
      <c r="BJ35" t="inlineStr"/>
      <c r="BK35" t="inlineStr"/>
      <c r="BL35" t="inlineStr"/>
      <c r="BM35" t="inlineStr">
        <is>
          <t>2026-W24</t>
        </is>
      </c>
    </row>
    <row r="36">
      <c r="A36" t="inlineStr">
        <is>
          <t>BOAMP</t>
        </is>
      </c>
      <c r="B36" t="inlineStr">
        <is>
          <t>26-57678</t>
        </is>
      </c>
      <c r="C36" t="inlineStr">
        <is>
          <t>Prestations d'entretien ménager, de fourniture de consommables pour sanitaires et de nettoyage des vitres des locaux de la délégation Auvergne Rhône-Alpes du CNFPT</t>
        </is>
      </c>
      <c r="D36" t="inlineStr">
        <is>
          <t>CNFPT - Direction de l'achat public</t>
        </is>
      </c>
      <c r="E36" t="inlineStr"/>
      <c r="F36" t="inlineStr"/>
      <c r="G36" t="inlineStr"/>
      <c r="H36" t="inlineStr"/>
      <c r="I36" t="inlineStr">
        <is>
          <t>publications-joue@aws-france.com</t>
        </is>
      </c>
      <c r="J36" t="inlineStr">
        <is>
          <t>+33480041260</t>
        </is>
      </c>
      <c r="K36" t="inlineStr"/>
      <c r="L36" t="inlineStr"/>
      <c r="M36" t="inlineStr"/>
      <c r="N36" t="inlineStr">
        <is>
          <t>75</t>
        </is>
      </c>
      <c r="O36" t="inlineStr"/>
      <c r="P36" t="inlineStr">
        <is>
          <t>Ile-de-France</t>
        </is>
      </c>
      <c r="Q36" s="15" t="n">
        <v>46185</v>
      </c>
      <c r="R36" s="15" t="n">
        <v>46218</v>
      </c>
      <c r="S36" t="inlineStr"/>
      <c r="T36" t="inlineStr">
        <is>
          <t>A_VERIFIER_BUDGET</t>
        </is>
      </c>
      <c r="U36" t="inlineStr"/>
      <c r="V36" t="inlineStr">
        <is>
          <t>non</t>
        </is>
      </c>
      <c r="W36" t="inlineStr">
        <is>
          <t>Vitres</t>
        </is>
      </c>
      <c r="X36" t="inlineStr">
        <is>
          <t>Autre</t>
        </is>
      </c>
      <c r="Y36" t="inlineStr">
        <is>
          <t>SERVICES</t>
        </is>
      </c>
      <c r="Z36" t="inlineStr">
        <is>
          <t>Procédure Ouverte</t>
        </is>
      </c>
      <c r="AA36" t="inlineStr">
        <is>
          <t>Avis de marché</t>
        </is>
      </c>
      <c r="AB36" t="inlineStr">
        <is>
          <t>Nettoyage de locaux</t>
        </is>
      </c>
      <c r="AC36" t="inlineStr">
        <is>
          <t>['sociaux', 'environnementaux']</t>
        </is>
      </c>
      <c r="AD36" s="11" t="inlineStr">
        <is>
          <t>https://www.boamp.fr/pages/avis/?q=idweb:26-57678</t>
        </is>
      </c>
      <c r="AE36" t="inlineStr">
        <is>
          <t>https://cnfpt.marches-publics.info/</t>
        </is>
      </c>
      <c r="AF36" t="inlineStr">
        <is>
          <t>https://cnfpt.marches-publics.info/</t>
        </is>
      </c>
      <c r="AG36" t="inlineStr">
        <is>
          <t>nettoyage, entretien menager</t>
        </is>
      </c>
      <c r="AH36" t="inlineStr">
        <is>
          <t>2</t>
        </is>
      </c>
      <c r="AI36" t="inlineStr">
        <is>
          <t>62</t>
        </is>
      </c>
      <c r="AJ36" t="inlineStr">
        <is>
          <t>INFO_PARTIELLE</t>
        </is>
      </c>
      <c r="AK36" t="inlineStr">
        <is>
          <t>55</t>
        </is>
      </c>
      <c r="AL36" t="inlineStr">
        <is>
          <t>TIEDE</t>
        </is>
      </c>
      <c r="AM36" t="inlineStr"/>
      <c r="AN36" t="inlineStr"/>
      <c r="AO36" t="inlineStr"/>
      <c r="AP36" t="inlineStr"/>
      <c r="AQ36" t="inlineStr">
        <is>
          <t>IA_BUDGET_A_VERIFIER</t>
        </is>
      </c>
      <c r="AR36" t="inlineStr">
        <is>
          <t>Verifier le budget dans l'avis source ou le DCE avant decision commerciale.</t>
        </is>
      </c>
      <c r="AS36" t="inlineStr">
        <is>
          <t>SIRET, adresse, ville, budget</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26-57678. Objet: Prestations d'entretien ménager, de fourniture de consommables pour sanitaires et de nettoyage des vitres des locaux de la délégation Auvergne Rhône-Alpes du CNFPT. Acheteur: CNFPT - Direction de l'achat public. Lien: https://www.boamp.fr/pages/avis/?q=idweb:26-57678.</t>
        </is>
      </c>
      <c r="AU36" t="inlineStr">
        <is>
          <t>Verifier url_avis et DCE si disponible</t>
        </is>
      </c>
      <c r="AV36" t="inlineStr">
        <is>
          <t>LIEN_SEUL</t>
        </is>
      </c>
      <c r="AW36" t="inlineStr"/>
      <c r="AX36" t="inlineStr"/>
      <c r="AY36" t="inlineStr"/>
      <c r="AZ36" t="inlineStr"/>
      <c r="BA36" t="inlineStr"/>
      <c r="BB36" t="inlineStr">
        <is>
          <t>+35 nettoyage + categorie claire | +10 budget non affiche (a verifier) | +10 delai confortable 23j</t>
        </is>
      </c>
      <c r="BC36" t="inlineStr">
        <is>
          <t>CNFPT - Direction de l'achat public publie un AO potentiellement pertinent pour CHRUTH : Prestations d'entretien ménager, de fourniture de consommables pour sanitaires et de nettoyage des vitres des locaux de la délégation Auvergne Rhône-Alpes du CNFPT. Zone : 75. Budget a verifier. Verifier le lien source avant contact.</t>
        </is>
      </c>
      <c r="BD36" t="inlineStr">
        <is>
          <t>Bonjour,
Je me permets de vous contacter au sujet de votre appel d'offres : Prestations d'entretien ménager, de fourniture de consommables pour sanitaires et de nettoyage des vitres des locaux de la délégation Auvergne Rhône-Alpes du CNFPT.
CHRUTH accompagne les structures publiques et privees sur les besoins de nettoyage, d'entretien des locaux et d'organisation de prestations de service.
Serait-il possible d'echanger rapidement afin de verifier les modalites de reponse et les attentes de CNFPT - Direction de l'achat public ?
Cordialement,</t>
        </is>
      </c>
      <c r="BE36" t="inlineStr">
        <is>
          <t>Bonjour, je vous appelle concernant un appel d'offres publie par CNFPT - Direction de l'achat public. Je souhaite verifier les informations pratiques : perimetre des prestations, date limite, modalites de visite, contact technique et pieces attendues. Pouvez-vous m'indiquer la bonne personne a contacter ?</t>
        </is>
      </c>
      <c r="BF36" t="inlineStr"/>
      <c r="BG36" t="inlineStr"/>
      <c r="BH36" t="inlineStr"/>
      <c r="BI36" t="inlineStr"/>
      <c r="BJ36" t="inlineStr"/>
      <c r="BK36" t="inlineStr"/>
      <c r="BL36" t="inlineStr"/>
      <c r="BM36" t="inlineStr">
        <is>
          <t>2026-W24</t>
        </is>
      </c>
    </row>
    <row r="37">
      <c r="A37" t="inlineStr">
        <is>
          <t>BOAMP</t>
        </is>
      </c>
      <c r="B37" t="inlineStr">
        <is>
          <t>26-57231</t>
        </is>
      </c>
      <c r="C37" t="inlineStr">
        <is>
          <t>Prestations de nettoyage des surfaces vitrées, vitrines, baies vitrées, verrières et éléments assimilés des bâtiments de l’Université Paris 8 ainsi que de ses sites rattachés</t>
        </is>
      </c>
      <c r="D37" t="inlineStr">
        <is>
          <t>UNIVERSITE PARIS 8</t>
        </is>
      </c>
      <c r="E37" t="inlineStr">
        <is>
          <t>19931827000014</t>
        </is>
      </c>
      <c r="F37" t="inlineStr">
        <is>
          <t>199318270</t>
        </is>
      </c>
      <c r="G37" t="inlineStr"/>
      <c r="H37" t="inlineStr"/>
      <c r="I37" t="inlineStr">
        <is>
          <t>nicolas.luczak@univ-paris8.fr</t>
        </is>
      </c>
      <c r="J37" t="inlineStr">
        <is>
          <t>+33149406761</t>
        </is>
      </c>
      <c r="K37" t="inlineStr"/>
      <c r="L37" t="inlineStr"/>
      <c r="M37" t="inlineStr"/>
      <c r="N37" t="inlineStr">
        <is>
          <t>93</t>
        </is>
      </c>
      <c r="O37" t="inlineStr"/>
      <c r="P37" t="inlineStr">
        <is>
          <t>Ile-de-France</t>
        </is>
      </c>
      <c r="Q37" s="15" t="n">
        <v>46184</v>
      </c>
      <c r="R37" s="15" t="n">
        <v>46213</v>
      </c>
      <c r="S37" t="inlineStr"/>
      <c r="T37" t="inlineStr">
        <is>
          <t>A_VERIFIER_BUDGET</t>
        </is>
      </c>
      <c r="U37" t="inlineStr"/>
      <c r="V37" t="inlineStr">
        <is>
          <t>non</t>
        </is>
      </c>
      <c r="W37" t="inlineStr">
        <is>
          <t>Vitres</t>
        </is>
      </c>
      <c r="X37" t="inlineStr">
        <is>
          <t>Autre</t>
        </is>
      </c>
      <c r="Y37" t="inlineStr">
        <is>
          <t>SERVICES</t>
        </is>
      </c>
      <c r="Z37" t="inlineStr">
        <is>
          <t>Procédure Ouverte</t>
        </is>
      </c>
      <c r="AA37" t="inlineStr">
        <is>
          <t>Avis de marché</t>
        </is>
      </c>
      <c r="AB37" t="inlineStr">
        <is>
          <t>Vitrerie, Nettoyage de locaux</t>
        </is>
      </c>
      <c r="AC37" t="inlineStr"/>
      <c r="AD37" s="11" t="inlineStr">
        <is>
          <t>https://www.boamp.fr/pages/avis/?q=idweb:26-57231</t>
        </is>
      </c>
      <c r="AE37" t="inlineStr">
        <is>
          <t>https://www.marches-publics.gouv.fr/entreprise</t>
        </is>
      </c>
      <c r="AF37" t="inlineStr">
        <is>
          <t>https://www.marches-publics.gouv.fr/entreprise</t>
        </is>
      </c>
      <c r="AG37" t="inlineStr">
        <is>
          <t>nettoyage</t>
        </is>
      </c>
      <c r="AH37" t="inlineStr">
        <is>
          <t>3</t>
        </is>
      </c>
      <c r="AI37" t="inlineStr">
        <is>
          <t>68</t>
        </is>
      </c>
      <c r="AJ37" t="inlineStr">
        <is>
          <t>INFO_PARTIELLE</t>
        </is>
      </c>
      <c r="AK37" t="inlineStr">
        <is>
          <t>55</t>
        </is>
      </c>
      <c r="AL37" t="inlineStr">
        <is>
          <t>TIEDE</t>
        </is>
      </c>
      <c r="AM37" t="inlineStr"/>
      <c r="AN37" t="inlineStr"/>
      <c r="AO37" t="inlineStr"/>
      <c r="AP37" t="inlineStr"/>
      <c r="AQ37" t="inlineStr">
        <is>
          <t>IA_BUDGET_A_VERIFIER</t>
        </is>
      </c>
      <c r="AR37" t="inlineStr">
        <is>
          <t>Verifier le budget dans l'avis source ou le DCE avant decision commerciale.</t>
        </is>
      </c>
      <c r="AS37" t="inlineStr">
        <is>
          <t>adresse, ville, budget</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26-57231. Objet: Prestations de nettoyage des surfaces vitrées, vitrines, baies vitrées, verrières et éléments assimilés des bâtiments de l’Université Paris 8 ainsi que de ses sites rattachés. Acheteur: UNIVERSITE PARIS 8. Lien: https://www.boamp.fr/pages/avis/?q=idweb:26-57231.</t>
        </is>
      </c>
      <c r="AU37" t="inlineStr">
        <is>
          <t>Verifier url_avis et DCE si disponible</t>
        </is>
      </c>
      <c r="AV37" t="inlineStr">
        <is>
          <t>LIEN_SEUL</t>
        </is>
      </c>
      <c r="AW37" t="inlineStr"/>
      <c r="AX37" t="inlineStr"/>
      <c r="AY37" t="inlineStr"/>
      <c r="AZ37" t="inlineStr"/>
      <c r="BA37" t="inlineStr"/>
      <c r="BB37" t="inlineStr">
        <is>
          <t>+35 nettoyage + categorie claire | +10 budget non affiche (a verifier) | +10 delai confortable 18j</t>
        </is>
      </c>
      <c r="BC37" t="inlineStr">
        <is>
          <t>UNIVERSITE PARIS 8 publie un AO potentiellement pertinent pour CHRUTH : Prestations de nettoyage des surfaces vitrées, vitrines, baies vitrées, verrières et éléments assimilés des bâtiments de l’Université Paris 8 ainsi que de ses sites rattachés. Zone : 93. Budget a verifier. Verifier le lien source avant contact.</t>
        </is>
      </c>
      <c r="BD37" t="inlineStr">
        <is>
          <t>Bonjour,
Je me permets de vous contacter au sujet de votre appel d'offres : Prestations de nettoyage des surfaces vitrées, vitrines, baies vitrées, verrières et éléments assimilés des bâtiments de l’Université Paris 8 ainsi que de ses sites rattachés.
CHRUTH accompagne les structures publiques et privees sur les besoins de nettoyage, d'entretien des locaux et d'organisation de prestations de service.
Serait-il possible d'echanger rapidement afin de verifier les modalites de reponse et les attentes de UNIVERSITE PARIS 8 ?
Cordialement,</t>
        </is>
      </c>
      <c r="BE37" t="inlineStr">
        <is>
          <t>Bonjour, je vous appelle concernant un appel d'offres publie par UNIVERSITE PARIS 8. Je souhaite verifier les informations pratiques : perimetre des prestations, date limite, modalites de visite, contact technique et pieces attendues. Pouvez-vous m'indiquer la bonne personne a contacter ?</t>
        </is>
      </c>
      <c r="BF37" t="inlineStr"/>
      <c r="BG37" t="inlineStr"/>
      <c r="BH37" t="inlineStr"/>
      <c r="BI37" t="inlineStr"/>
      <c r="BJ37" t="inlineStr"/>
      <c r="BK37" t="inlineStr"/>
      <c r="BL37" t="inlineStr"/>
      <c r="BM37" t="inlineStr">
        <is>
          <t>2026-W24</t>
        </is>
      </c>
    </row>
    <row r="38">
      <c r="A38" t="inlineStr">
        <is>
          <t>BOAMP</t>
        </is>
      </c>
      <c r="B38" t="inlineStr">
        <is>
          <t>26-62297</t>
        </is>
      </c>
      <c r="C38" t="inlineStr">
        <is>
          <t>Nettoyage des locaux du siège du SIAAP</t>
        </is>
      </c>
      <c r="D38" t="inlineStr">
        <is>
          <t>Syndicat interdépartemental pour l'assainissement de l'agglomération parisienne (SIAAP)</t>
        </is>
      </c>
      <c r="E38" t="inlineStr"/>
      <c r="F38" t="inlineStr"/>
      <c r="G38" t="inlineStr"/>
      <c r="H38" t="inlineStr"/>
      <c r="I38" t="inlineStr">
        <is>
          <t>publications-joue@aws-france.com</t>
        </is>
      </c>
      <c r="J38" t="inlineStr">
        <is>
          <t>+33480041260</t>
        </is>
      </c>
      <c r="K38" t="inlineStr"/>
      <c r="L38" t="inlineStr"/>
      <c r="M38" t="inlineStr"/>
      <c r="N38" t="inlineStr">
        <is>
          <t>75</t>
        </is>
      </c>
      <c r="O38" t="inlineStr"/>
      <c r="P38" t="inlineStr">
        <is>
          <t>Ile-de-France</t>
        </is>
      </c>
      <c r="Q38" s="15" t="n">
        <v>46198</v>
      </c>
      <c r="R38" s="15" t="n">
        <v>46218</v>
      </c>
      <c r="S38" t="inlineStr"/>
      <c r="T38" t="inlineStr">
        <is>
          <t>A_VERIFIER_BUDGET</t>
        </is>
      </c>
      <c r="U38" t="inlineStr"/>
      <c r="V38" t="inlineStr">
        <is>
          <t>non</t>
        </is>
      </c>
      <c r="W38" t="inlineStr">
        <is>
          <t>Batiments</t>
        </is>
      </c>
      <c r="X38" t="inlineStr">
        <is>
          <t>Autre</t>
        </is>
      </c>
      <c r="Y38" t="inlineStr">
        <is>
          <t>SERVICES</t>
        </is>
      </c>
      <c r="Z38" t="inlineStr">
        <is>
          <t>Procédure Ouverte</t>
        </is>
      </c>
      <c r="AA38" t="inlineStr">
        <is>
          <t>Avis de marché</t>
        </is>
      </c>
      <c r="AB38" t="inlineStr">
        <is>
          <t>Nettoyage de locaux, Prestations de services</t>
        </is>
      </c>
      <c r="AC38" t="inlineStr"/>
      <c r="AD38" s="11" t="inlineStr">
        <is>
          <t>https://www.boamp.fr/pages/avis/?q=idweb:26-62297</t>
        </is>
      </c>
      <c r="AE38" t="inlineStr">
        <is>
          <t>https://www.marches-publics.info/mpiaws/index.cfm?fuseaction=dematEnt.login&amp;amp;type=DCE&amp;amp;IDM=1840671</t>
        </is>
      </c>
      <c r="AF38" t="inlineStr">
        <is>
          <t>https://www.marches-publics.info/mpiaws/index.cfm?fuseaction=dematEnt.login&amp;amp;type=DCE&amp;amp;IDM=1840671</t>
        </is>
      </c>
      <c r="AG38" t="inlineStr">
        <is>
          <t>nettoyage</t>
        </is>
      </c>
      <c r="AH38" t="inlineStr">
        <is>
          <t>2</t>
        </is>
      </c>
      <c r="AI38" t="inlineStr">
        <is>
          <t>58</t>
        </is>
      </c>
      <c r="AJ38" t="inlineStr">
        <is>
          <t>INFO_PARTIELLE</t>
        </is>
      </c>
      <c r="AK38" t="inlineStr">
        <is>
          <t>50</t>
        </is>
      </c>
      <c r="AL38" t="inlineStr">
        <is>
          <t>TIEDE</t>
        </is>
      </c>
      <c r="AM38" t="inlineStr"/>
      <c r="AN38" t="inlineStr"/>
      <c r="AO38" t="inlineStr"/>
      <c r="AP38" t="inlineStr"/>
      <c r="AQ38" t="inlineStr">
        <is>
          <t>IA_BUDGET_A_VERIFIER</t>
        </is>
      </c>
      <c r="AR38" t="inlineStr">
        <is>
          <t>Verifier le budget dans l'avis source ou le DCE avant decision commerciale.</t>
        </is>
      </c>
      <c r="AS38" t="inlineStr">
        <is>
          <t>SIRET, adresse, ville, budget</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26-62297. Objet: Nettoyage des locaux du siège du SIAAP. Acheteur: Syndicat interdépartemental pour l'assainissement de l'agglomération parisienne (SIAAP). Lien: https://www.boamp.fr/pages/avis/?q=idweb:26-62297.</t>
        </is>
      </c>
      <c r="AU38" t="inlineStr">
        <is>
          <t>Verifier url_avis et DCE si disponible</t>
        </is>
      </c>
      <c r="AV38" t="inlineStr">
        <is>
          <t>LIEN_SEUL</t>
        </is>
      </c>
      <c r="AW38" t="inlineStr"/>
      <c r="AX38" t="inlineStr"/>
      <c r="AY38" t="inlineStr"/>
      <c r="AZ38" t="inlineStr"/>
      <c r="BA38" t="inlineStr"/>
      <c r="BB38" t="inlineStr">
        <is>
          <t>+35 nettoyage + categorie claire | +10 budget non affiche (a verifier) | +5 delai court 12j</t>
        </is>
      </c>
      <c r="BC38" t="inlineStr">
        <is>
          <t>Syndicat interdépartemental pour l'assainissement de l'agglomération parisienne (SIAAP) publie un AO potentiellement pertinent pour CHRUTH : Nettoyage des locaux du siège du SIAAP. Zone : 75. Budget a verifier. Verifier le lien source avant contact.</t>
        </is>
      </c>
      <c r="BD38" t="inlineStr">
        <is>
          <t>Bonjour,
Je me permets de vous contacter au sujet de votre appel d'offres : Nettoyage des locaux du siège du SIAAP.
CHRUTH accompagne les structures publiques et privées sur les besoins de nettoyage, d'entretien des locaux et d'organisation de prestations de service.
Serait-il possible d'échanger rapidement afin de vérifier les modalités de réponse et les attentes de Syndicat interdépartemental pour l'assainissement de l'agglomération parisienne (SIAAP) ?
Cordialement,</t>
        </is>
      </c>
      <c r="BE38" t="inlineStr">
        <is>
          <t>Bonjour, je vous appelle concernant un appel d'offres publié par Syndicat interdépartemental pour l'assainissement de l'agglomération parisienne (SIAAP).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2026-W26</t>
        </is>
      </c>
    </row>
    <row r="39">
      <c r="A39" t="inlineStr">
        <is>
          <t>BOAMP</t>
        </is>
      </c>
      <c r="B39" t="inlineStr">
        <is>
          <t>26-61419</t>
        </is>
      </c>
      <c r="C39" t="inlineStr">
        <is>
          <t>Prestations de mise en propreté et la gestion des déchets du réseau routier national et de ses dépendances gérés par les 4 arrondissements de la DiRIF</t>
        </is>
      </c>
      <c r="D39" t="inlineStr">
        <is>
          <t>Direction régionale et interdépartementale de l'Environnement, de l'Aménagement et des Transports d'Ile-de-France (DRIEAT-IF)</t>
        </is>
      </c>
      <c r="E39" t="inlineStr">
        <is>
          <t>13002932500011</t>
        </is>
      </c>
      <c r="F39" t="inlineStr">
        <is>
          <t>130029325</t>
        </is>
      </c>
      <c r="G39" t="inlineStr"/>
      <c r="H39" t="inlineStr"/>
      <c r="I39" t="inlineStr">
        <is>
          <t>dcppa.sg.drieat-if@developpement-durable.gouv.fr</t>
        </is>
      </c>
      <c r="J39" t="inlineStr">
        <is>
          <t>0293250001</t>
        </is>
      </c>
      <c r="K39" t="inlineStr"/>
      <c r="L39" t="inlineStr"/>
      <c r="M39" t="inlineStr"/>
      <c r="N39" t="inlineStr">
        <is>
          <t>75,77,78,91,92,93,94,95</t>
        </is>
      </c>
      <c r="O39" t="inlineStr"/>
      <c r="P39" t="inlineStr">
        <is>
          <t>Ile-de-France</t>
        </is>
      </c>
      <c r="Q39" s="15" t="n">
        <v>46197</v>
      </c>
      <c r="R39" s="15" t="n">
        <v>46237</v>
      </c>
      <c r="S39" t="inlineStr"/>
      <c r="T39" t="inlineStr">
        <is>
          <t>A_VERIFIER_BUDGET</t>
        </is>
      </c>
      <c r="U39" t="inlineStr"/>
      <c r="V39" t="inlineStr">
        <is>
          <t>non</t>
        </is>
      </c>
      <c r="W39" t="inlineStr">
        <is>
          <t>Mixte/Autre</t>
        </is>
      </c>
      <c r="X39" t="inlineStr">
        <is>
          <t>Autre</t>
        </is>
      </c>
      <c r="Y39" t="inlineStr">
        <is>
          <t>SERVICES</t>
        </is>
      </c>
      <c r="Z39" t="inlineStr">
        <is>
          <t>Procédure Ouverte</t>
        </is>
      </c>
      <c r="AA39" t="inlineStr">
        <is>
          <t>Avis de marché</t>
        </is>
      </c>
      <c r="AB39" t="inlineStr">
        <is>
          <t>Déchets non ménagers (prestations), Prestations de services</t>
        </is>
      </c>
      <c r="AC39" t="inlineStr">
        <is>
          <t>['sociaux', 'environnementaux']</t>
        </is>
      </c>
      <c r="AD39" s="11" t="inlineStr">
        <is>
          <t>https://www.boamp.fr/pages/avis/?q=idweb:26-61419</t>
        </is>
      </c>
      <c r="AE39" t="inlineStr">
        <is>
          <t>https://www.marches-publics.gouv.fr/entreprise</t>
        </is>
      </c>
      <c r="AF39" t="inlineStr">
        <is>
          <t>https://www.marches-publics.gouv.fr/entreprise</t>
        </is>
      </c>
      <c r="AG39" t="inlineStr">
        <is>
          <t>nettoyage, proprete</t>
        </is>
      </c>
      <c r="AH39" t="inlineStr">
        <is>
          <t>3</t>
        </is>
      </c>
      <c r="AI39" t="inlineStr">
        <is>
          <t>76</t>
        </is>
      </c>
      <c r="AJ39" t="inlineStr">
        <is>
          <t>INFO_PARTIELLE</t>
        </is>
      </c>
      <c r="AK39" t="inlineStr">
        <is>
          <t>50</t>
        </is>
      </c>
      <c r="AL39" t="inlineStr">
        <is>
          <t>TIEDE</t>
        </is>
      </c>
      <c r="AM39" t="inlineStr"/>
      <c r="AN39" t="inlineStr"/>
      <c r="AO39" t="inlineStr"/>
      <c r="AP39" t="inlineStr"/>
      <c r="AQ39" t="inlineStr">
        <is>
          <t>IA_BUDGET_A_VERIFIER</t>
        </is>
      </c>
      <c r="AR39" t="inlineStr">
        <is>
          <t>Verifier le budget dans l'avis source ou le DCE avant decision commerciale.</t>
        </is>
      </c>
      <c r="AS39" t="inlineStr">
        <is>
          <t>adresse, ville, budget</t>
        </is>
      </c>
      <c r="AT3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26-61419. Objet: Prestations de mise en propreté et la gestion des déchets du réseau routier national et de ses dépendances gérés par les 4 arrondissements de la DiRIF. Acheteur: Direction régionale et interdépartementale de l'Environnement, de l'Aménagement et des Transports d'Ile-de-France (DRIEAT-IF). Lien: https://www.boamp.fr/pages/avis/?q=idweb:26-61419.</t>
        </is>
      </c>
      <c r="AU39" t="inlineStr">
        <is>
          <t>Verifier url_avis et DCE si disponible</t>
        </is>
      </c>
      <c r="AV39" t="inlineStr"/>
      <c r="AW39" t="inlineStr"/>
      <c r="AX39" t="inlineStr"/>
      <c r="AY39" t="inlineStr"/>
      <c r="AZ39" t="inlineStr"/>
      <c r="BA39" t="inlineStr"/>
      <c r="BB39" t="inlineStr">
        <is>
          <t>+30 mots-cles nettoyage forts | +10 budget non affiche (a verifier) | +10 delai confortable 28j</t>
        </is>
      </c>
      <c r="BC39" t="inlineStr">
        <is>
          <t>Direction régionale et interdépartementale de l'Environnement, de l'Aménagement et des Transports d'Ile-de-France (DRIEAT-IF) publie un AO potentiellement pertinent pour CHRUTH : Prestations de mise en propreté et la gestion des déchets du réseau routier national et de ses dépendances gérés par les 4 arrondissements de la DiRIF. Zone : 75,77,78,91,92,93,94,95. Budget a verifier. Verifier le lien source avant contact.</t>
        </is>
      </c>
      <c r="BD39" t="inlineStr">
        <is>
          <t>Bonjour,
Je me permets de vous contacter au sujet de votre appel d'offres : Prestations de mise en propreté et la gestion des déchets du réseau routier national et de ses dépendances gérés par les 4 arrondissements de la DiRIF.
CHRUTH accompagne les structures publiques et privées sur les besoins de nettoyage, d'entretien des locaux et d'organisation de prestations de service.
Serait-il possible d'échanger rapidement afin de vérifier les modalités de réponse et les attentes de Direction régionale et interdépartementale de l'Environnement, de l'Aménagement et des Transports d'Ile-de-France (DRIEAT-IF) ?
Cordialement,</t>
        </is>
      </c>
      <c r="BE39" t="inlineStr">
        <is>
          <t>Bonjour, je vous appelle concernant un appel d'offres publié par Direction régionale et interdépartementale de l'Environnement, de l'Aménagement et des Transports d'Ile-de-France (DRIEAT-IF). Je souhaite vérifier les informations pratiques : périmètre des prestations, date limite, modalités de visite, contact technique et pièces attendues. Pouvez-vous m'indiquer la bonne personne à contacter ?</t>
        </is>
      </c>
      <c r="BF39" t="inlineStr"/>
      <c r="BG39" t="inlineStr"/>
      <c r="BH39" t="inlineStr"/>
      <c r="BI39" t="inlineStr"/>
      <c r="BJ39" t="inlineStr"/>
      <c r="BK39" t="inlineStr"/>
      <c r="BL39" t="inlineStr"/>
      <c r="BM39" t="inlineStr">
        <is>
          <t>2026-W26</t>
        </is>
      </c>
    </row>
    <row r="40">
      <c r="A40" t="inlineStr">
        <is>
          <t>BOAMP</t>
        </is>
      </c>
      <c r="B40" t="inlineStr">
        <is>
          <t>26-61287</t>
        </is>
      </c>
      <c r="C40" t="inlineStr">
        <is>
          <t>Gestion et entretien des trois aires d'accueil des gens du voyage communautaires</t>
        </is>
      </c>
      <c r="D40" t="inlineStr">
        <is>
          <t>Communauté d'agglomération Plaine Vallée</t>
        </is>
      </c>
      <c r="E40" t="inlineStr">
        <is>
          <t>20005638000013</t>
        </is>
      </c>
      <c r="F40" t="inlineStr">
        <is>
          <t>200056380</t>
        </is>
      </c>
      <c r="G40" t="inlineStr"/>
      <c r="H40" t="inlineStr"/>
      <c r="I40" t="inlineStr">
        <is>
          <t>contact@agglo-plainevallee.fr</t>
        </is>
      </c>
      <c r="J40" t="inlineStr">
        <is>
          <t>0563800001</t>
        </is>
      </c>
      <c r="K40" t="inlineStr"/>
      <c r="L40" t="inlineStr"/>
      <c r="M40" t="inlineStr"/>
      <c r="N40" t="inlineStr">
        <is>
          <t>95</t>
        </is>
      </c>
      <c r="O40" t="inlineStr"/>
      <c r="P40" t="inlineStr">
        <is>
          <t>Ile-de-France</t>
        </is>
      </c>
      <c r="Q40" s="15" t="n">
        <v>46194</v>
      </c>
      <c r="R40" s="15" t="n">
        <v>46225</v>
      </c>
      <c r="S40" t="inlineStr"/>
      <c r="T40" t="inlineStr">
        <is>
          <t>A_VERIFIER_BUDGET</t>
        </is>
      </c>
      <c r="U40" t="inlineStr"/>
      <c r="V40" t="inlineStr">
        <is>
          <t>non</t>
        </is>
      </c>
      <c r="W40" t="inlineStr">
        <is>
          <t>Mixte/Autre</t>
        </is>
      </c>
      <c r="X40" t="inlineStr">
        <is>
          <t>Autre</t>
        </is>
      </c>
      <c r="Y40" t="inlineStr">
        <is>
          <t>SERVICES</t>
        </is>
      </c>
      <c r="Z40" t="inlineStr">
        <is>
          <t>Procédure Ouverte</t>
        </is>
      </c>
      <c r="AA40" t="inlineStr">
        <is>
          <t>Avis de marché</t>
        </is>
      </c>
      <c r="AB40" t="inlineStr">
        <is>
          <t>Prestations de services</t>
        </is>
      </c>
      <c r="AC40" t="inlineStr"/>
      <c r="AD40" s="11" t="inlineStr">
        <is>
          <t>https://www.boamp.fr/pages/avis/?q=idweb:26-61287</t>
        </is>
      </c>
      <c r="AE40" t="inlineStr">
        <is>
          <t>https://www.achatpublic.com/sdm/ent/gen/ent_detail.do?PCSLID=CSL_2026_8zWAXknio-</t>
        </is>
      </c>
      <c r="AF40" t="inlineStr">
        <is>
          <t>https://www.achatpublic.com/sdm/ent/gen/ent_detail.do?PCSLID=CSL_2026_8zWAXknio-</t>
        </is>
      </c>
      <c r="AG40" t="inlineStr">
        <is>
          <t>nettoyage</t>
        </is>
      </c>
      <c r="AH40" t="inlineStr">
        <is>
          <t>3</t>
        </is>
      </c>
      <c r="AI40" t="inlineStr">
        <is>
          <t>68</t>
        </is>
      </c>
      <c r="AJ40" t="inlineStr">
        <is>
          <t>INFO_PARTIELLE</t>
        </is>
      </c>
      <c r="AK40" t="inlineStr">
        <is>
          <t>50</t>
        </is>
      </c>
      <c r="AL40" t="inlineStr">
        <is>
          <t>TIEDE</t>
        </is>
      </c>
      <c r="AM40" t="inlineStr"/>
      <c r="AN40" t="inlineStr"/>
      <c r="AO40" t="inlineStr"/>
      <c r="AP40" t="inlineStr"/>
      <c r="AQ40" t="inlineStr">
        <is>
          <t>IA_BUDGET_A_VERIFIER</t>
        </is>
      </c>
      <c r="AR40" t="inlineStr">
        <is>
          <t>Verifier le budget dans l'avis source ou le DCE avant decision commerciale.</t>
        </is>
      </c>
      <c r="AS40" t="inlineStr">
        <is>
          <t>adresse, ville, budget</t>
        </is>
      </c>
      <c r="AT4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26-61287. Objet: Gestion et entretien des trois aires d'accueil des gens du voyage communautaires. Acheteur: Communauté d'agglomération Plaine Vallée. Lien: https://www.boamp.fr/pages/avis/?q=idweb:26-61287.</t>
        </is>
      </c>
      <c r="AU40" t="inlineStr">
        <is>
          <t>Verifier url_avis et DCE si disponible</t>
        </is>
      </c>
      <c r="AV40" t="inlineStr">
        <is>
          <t>LIEN_SEUL</t>
        </is>
      </c>
      <c r="AW40" t="inlineStr"/>
      <c r="AX40" t="inlineStr"/>
      <c r="AY40" t="inlineStr"/>
      <c r="AZ40" t="inlineStr"/>
      <c r="BA40" t="inlineStr"/>
      <c r="BB40" t="inlineStr">
        <is>
          <t>+30 mots-cles nettoyage forts | +10 budget non affiche (a verifier) | +10 delai confortable 19j</t>
        </is>
      </c>
      <c r="BC40" t="inlineStr">
        <is>
          <t>Communauté d'agglomération Plaine Vallée publie un AO potentiellement pertinent pour CHRUTH : Gestion et entretien des trois aires d'accueil des gens du voyage communautaires. Zone : 95. Budget a verifier. Verifier le lien source avant contact.</t>
        </is>
      </c>
      <c r="BD40" t="inlineStr">
        <is>
          <t>Bonjour,
Je me permets de vous contacter au sujet de votre appel d'offres : Gestion et entretien des trois aires d'accueil des gens du voyage communautaires.
CHRUTH accompagne les structures publiques et privées sur les besoins de nettoyage, d'entretien des locaux et d'organisation de prestations de service.
Serait-il possible d'échanger rapidement afin de vérifier les modalités de réponse et les attentes de Communauté d'agglomération Plaine Vallée ?
Cordialement,</t>
        </is>
      </c>
      <c r="BE40" t="inlineStr">
        <is>
          <t>Bonjour, je vous appelle concernant un appel d'offres publié par Communauté d'agglomération Plaine Vallée. Je souhaite vérifier les informations pratiques : périmètre des prestations, date limite, modalités de visite, contact technique et pièces attendues. Pouvez-vous m'indiquer la bonne personne à contacter ?</t>
        </is>
      </c>
      <c r="BF40" t="inlineStr"/>
      <c r="BG40" t="inlineStr"/>
      <c r="BH40" t="inlineStr"/>
      <c r="BI40" t="inlineStr"/>
      <c r="BJ40" t="inlineStr"/>
      <c r="BK40" t="inlineStr"/>
      <c r="BL40" t="inlineStr"/>
      <c r="BM40" t="inlineStr">
        <is>
          <t>2026-W25</t>
        </is>
      </c>
    </row>
    <row r="41">
      <c r="A41" t="inlineStr">
        <is>
          <t>BOAMP</t>
        </is>
      </c>
      <c r="B41" t="inlineStr">
        <is>
          <t>26-57313</t>
        </is>
      </c>
      <c r="C41" t="inlineStr">
        <is>
          <t>Entretien des toitures et des terrasses des sites : H. MONDOR – A. CHENEVIER – E. ROUX – DUPUYTREN – G. CLEMENCEAU</t>
        </is>
      </c>
      <c r="D41" t="inlineStr">
        <is>
          <t>Hopitaux Universitaires Henri Mondor</t>
        </is>
      </c>
      <c r="E41" t="inlineStr">
        <is>
          <t>26750045200557</t>
        </is>
      </c>
      <c r="F41" t="inlineStr">
        <is>
          <t>267500452</t>
        </is>
      </c>
      <c r="G41" t="inlineStr"/>
      <c r="H41" t="inlineStr"/>
      <c r="I41" t="inlineStr">
        <is>
          <t>eddy-pierrick.nsana@aphp.fr</t>
        </is>
      </c>
      <c r="J41" t="inlineStr">
        <is>
          <t>0145178465</t>
        </is>
      </c>
      <c r="K41" t="inlineStr"/>
      <c r="L41" t="inlineStr"/>
      <c r="M41" t="inlineStr"/>
      <c r="N41" t="inlineStr">
        <is>
          <t>75,77,78,91,92,93,94,95</t>
        </is>
      </c>
      <c r="O41" t="inlineStr"/>
      <c r="P41" t="inlineStr">
        <is>
          <t>Ile-de-France</t>
        </is>
      </c>
      <c r="Q41" s="15" t="n">
        <v>46185</v>
      </c>
      <c r="R41" s="15" t="n">
        <v>46219</v>
      </c>
      <c r="S41" t="inlineStr"/>
      <c r="T41" t="inlineStr">
        <is>
          <t>A_VERIFIER_BUDGET</t>
        </is>
      </c>
      <c r="U41" t="inlineStr"/>
      <c r="V41" t="inlineStr">
        <is>
          <t>non</t>
        </is>
      </c>
      <c r="W41" t="inlineStr">
        <is>
          <t>Mixte/Autre</t>
        </is>
      </c>
      <c r="X41" t="inlineStr">
        <is>
          <t>Autre</t>
        </is>
      </c>
      <c r="Y41" t="inlineStr">
        <is>
          <t>SERVICES</t>
        </is>
      </c>
      <c r="Z41" t="inlineStr">
        <is>
          <t>Procédure Ouverte</t>
        </is>
      </c>
      <c r="AA41" t="inlineStr">
        <is>
          <t>Avis de marché</t>
        </is>
      </c>
      <c r="AB41" t="inlineStr">
        <is>
          <t>Terrasse</t>
        </is>
      </c>
      <c r="AC41" t="inlineStr">
        <is>
          <t>['environnementaux']</t>
        </is>
      </c>
      <c r="AD41" s="11" t="inlineStr">
        <is>
          <t>https://www.boamp.fr/pages/avis/?q=idweb:26-57313</t>
        </is>
      </c>
      <c r="AE41" t="inlineStr">
        <is>
          <t>https://www.marches-publics.gouv.fr/?page=Entreprise.EntrepriseAdvancedSearch&amp;AllCons&amp;id=3014984&amp;orgAcronyme=x7c</t>
        </is>
      </c>
      <c r="AF41" t="inlineStr">
        <is>
          <t>https://www.marches-publics.gouv.fr/?page=Entreprise.EntrepriseAdvancedSearch&amp;AllCons&amp;id=3014984&amp;orgAcronyme=x7c</t>
        </is>
      </c>
      <c r="AG41" t="inlineStr">
        <is>
          <t>nettoyage</t>
        </is>
      </c>
      <c r="AH41" t="inlineStr">
        <is>
          <t>3</t>
        </is>
      </c>
      <c r="AI41" t="inlineStr">
        <is>
          <t>68</t>
        </is>
      </c>
      <c r="AJ41" t="inlineStr">
        <is>
          <t>INFO_PARTIELLE</t>
        </is>
      </c>
      <c r="AK41" t="inlineStr">
        <is>
          <t>50</t>
        </is>
      </c>
      <c r="AL41" t="inlineStr">
        <is>
          <t>TIEDE</t>
        </is>
      </c>
      <c r="AM41" t="inlineStr"/>
      <c r="AN41" t="inlineStr"/>
      <c r="AO41" t="inlineStr"/>
      <c r="AP41" t="inlineStr"/>
      <c r="AQ41" t="inlineStr">
        <is>
          <t>IA_BUDGET_A_VERIFIER</t>
        </is>
      </c>
      <c r="AR41" t="inlineStr">
        <is>
          <t>Verifier le budget dans l'avis source ou le DCE avant decision commerciale.</t>
        </is>
      </c>
      <c r="AS41" t="inlineStr">
        <is>
          <t>adresse, ville, budget</t>
        </is>
      </c>
      <c r="AT4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26-57313. Objet: Entretien des toitures et des terrasses des sites : H. MONDOR – A. CHENEVIER – E. ROUX – DUPUYTREN – G. CLEMENCEAU. Acheteur: Hopitaux Universitaires Henri Mondor. Lien: https://www.boamp.fr/pages/avis/?q=idweb:26-57313.</t>
        </is>
      </c>
      <c r="AU41" t="inlineStr">
        <is>
          <t>Verifier url_avis et DCE si disponible</t>
        </is>
      </c>
      <c r="AV41" t="inlineStr">
        <is>
          <t>LIEN_SEUL</t>
        </is>
      </c>
      <c r="AW41" t="inlineStr"/>
      <c r="AX41" t="inlineStr"/>
      <c r="AY41" t="inlineStr"/>
      <c r="AZ41" t="inlineStr"/>
      <c r="BA41" t="inlineStr"/>
      <c r="BB41" t="inlineStr">
        <is>
          <t>+30 mots-cles nettoyage forts | +10 budget non affiche (a verifier) | +10 delai confortable 24j</t>
        </is>
      </c>
      <c r="BC41" t="inlineStr">
        <is>
          <t>Hopitaux Universitaires Henri Mondor publie un AO potentiellement pertinent pour CHRUTH : Entretien des toitures et des terrasses des sites : H. MONDOR – A. CHENEVIER – E. ROUX – DUPUYTREN – G. CLEMENCEAU. Zone : 75,77,78,91,92,93,94,95. Budget a verifier. Verifier le lien source avant contact.</t>
        </is>
      </c>
      <c r="BD41" t="inlineStr">
        <is>
          <t>Bonjour,
Je me permets de vous contacter au sujet de votre appel d'offres : Entretien des toitures et des terrasses des sites : H. MONDOR – A. CHENEVIER – E. ROUX – DUPUYTREN – G. CLEMENCEAU.
CHRUTH accompagne les structures publiques et privees sur les besoins de nettoyage, d'entretien des locaux et d'organisation de prestations de service.
Serait-il possible d'echanger rapidement afin de verifier les modalites de reponse et les attentes de Hopitaux Universitaires Henri Mondor ?
Cordialement,</t>
        </is>
      </c>
      <c r="BE41" t="inlineStr">
        <is>
          <t>Bonjour, je vous appelle concernant un appel d'offres publie par Hopitaux Universitaires Henri Mondor. Je souhaite verifier les informations pratiques : perimetre des prestations, date limite, modalites de visite, contact technique et pieces attendues. Pouvez-vous m'indiquer la bonne personne a contacter ?</t>
        </is>
      </c>
      <c r="BF41" t="inlineStr"/>
      <c r="BG41" t="inlineStr"/>
      <c r="BH41" t="inlineStr"/>
      <c r="BI41" t="inlineStr"/>
      <c r="BJ41" t="inlineStr"/>
      <c r="BK41" t="inlineStr"/>
      <c r="BL41" t="inlineStr"/>
      <c r="BM41" t="inlineStr">
        <is>
          <t>2026-W24</t>
        </is>
      </c>
    </row>
    <row r="42">
      <c r="A42" t="inlineStr">
        <is>
          <t>BOAMP</t>
        </is>
      </c>
      <c r="B42" t="inlineStr">
        <is>
          <t>26-56245</t>
        </is>
      </c>
      <c r="C42" t="inlineStr">
        <is>
          <t>PRESTATION DE NETTOYAGE DES LOCAUX DU CREPS ÎLE-DE-FRANCE</t>
        </is>
      </c>
      <c r="D42" t="inlineStr">
        <is>
          <t>CREPS Île-de-France</t>
        </is>
      </c>
      <c r="E42" t="inlineStr">
        <is>
          <t>19921619300037</t>
        </is>
      </c>
      <c r="F42" t="inlineStr">
        <is>
          <t>199216193</t>
        </is>
      </c>
      <c r="G42" t="inlineStr"/>
      <c r="H42" t="inlineStr"/>
      <c r="I42" t="inlineStr">
        <is>
          <t>accueil@creps-idf.fr</t>
        </is>
      </c>
      <c r="J42" t="inlineStr">
        <is>
          <t>+33 141872030</t>
        </is>
      </c>
      <c r="K42" t="inlineStr"/>
      <c r="L42" t="inlineStr"/>
      <c r="M42" t="inlineStr"/>
      <c r="N42" t="inlineStr">
        <is>
          <t>92</t>
        </is>
      </c>
      <c r="O42" t="inlineStr"/>
      <c r="P42" t="inlineStr">
        <is>
          <t>Ile-de-France</t>
        </is>
      </c>
      <c r="Q42" s="15" t="n">
        <v>46182</v>
      </c>
      <c r="R42" s="15" t="n">
        <v>46205</v>
      </c>
      <c r="S42" t="inlineStr"/>
      <c r="T42" t="inlineStr">
        <is>
          <t>A_VERIFIER_BUDGET</t>
        </is>
      </c>
      <c r="U42" t="inlineStr"/>
      <c r="V42" t="inlineStr">
        <is>
          <t>non</t>
        </is>
      </c>
      <c r="W42" t="inlineStr">
        <is>
          <t>Vitres</t>
        </is>
      </c>
      <c r="X42" t="inlineStr">
        <is>
          <t>Autre</t>
        </is>
      </c>
      <c r="Y42" t="inlineStr">
        <is>
          <t>SERVICES</t>
        </is>
      </c>
      <c r="Z42" t="inlineStr">
        <is>
          <t>Procédure Ouverte</t>
        </is>
      </c>
      <c r="AA42" t="inlineStr">
        <is>
          <t>Avis de marché</t>
        </is>
      </c>
      <c r="AB42" t="inlineStr">
        <is>
          <t>Nettoyage de locaux</t>
        </is>
      </c>
      <c r="AC42" t="inlineStr"/>
      <c r="AD42" s="11" t="inlineStr">
        <is>
          <t>https://www.boamp.fr/pages/avis/?q=idweb:26-56245</t>
        </is>
      </c>
      <c r="AE42" t="inlineStr">
        <is>
          <t>https://marches.maximilien.fr/entreprise/consultation/940630?orgAcronyme=a0t</t>
        </is>
      </c>
      <c r="AF42" t="inlineStr">
        <is>
          <t>https://marches.maximilien.fr/entreprise/consultation/940630?orgAcronyme=a0t</t>
        </is>
      </c>
      <c r="AG42" t="inlineStr">
        <is>
          <t>nettoyage</t>
        </is>
      </c>
      <c r="AH42" t="inlineStr">
        <is>
          <t>3</t>
        </is>
      </c>
      <c r="AI42" t="inlineStr">
        <is>
          <t>68</t>
        </is>
      </c>
      <c r="AJ42" t="inlineStr">
        <is>
          <t>INFO_PARTIELLE</t>
        </is>
      </c>
      <c r="AK42" t="inlineStr">
        <is>
          <t>50</t>
        </is>
      </c>
      <c r="AL42" t="inlineStr">
        <is>
          <t>TIEDE</t>
        </is>
      </c>
      <c r="AM42" t="inlineStr"/>
      <c r="AN42" t="inlineStr"/>
      <c r="AO42" t="inlineStr"/>
      <c r="AP42" t="inlineStr"/>
      <c r="AQ42" t="inlineStr">
        <is>
          <t>IA_BUDGET_A_VERIFIER</t>
        </is>
      </c>
      <c r="AR42" t="inlineStr">
        <is>
          <t>Verifier le budget dans l'avis source ou le DCE avant decision commerciale.</t>
        </is>
      </c>
      <c r="AS42" t="inlineStr">
        <is>
          <t>adresse, ville, budget</t>
        </is>
      </c>
      <c r="AT4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26-56245. Objet: PRESTATION DE NETTOYAGE DES LOCAUX DU CREPS ÎLE-DE-FRANCE. Acheteur: CREPS Île-de-France. Lien: https://www.boamp.fr/pages/avis/?q=idweb:26-56245.</t>
        </is>
      </c>
      <c r="AU42" t="inlineStr">
        <is>
          <t>Verifier url_avis et DCE si disponible</t>
        </is>
      </c>
      <c r="AV42" t="inlineStr">
        <is>
          <t>LIEN_SEUL</t>
        </is>
      </c>
      <c r="AW42" t="inlineStr"/>
      <c r="AX42" t="inlineStr"/>
      <c r="AY42" t="inlineStr"/>
      <c r="AZ42" t="inlineStr"/>
      <c r="BA42" t="inlineStr"/>
      <c r="BB42" t="inlineStr">
        <is>
          <t>+35 nettoyage + categorie claire | +10 budget non affiche (a verifier) | +5 delai court 10j</t>
        </is>
      </c>
      <c r="BC42" t="inlineStr">
        <is>
          <t>CREPS Île-de-France publie un AO potentiellement pertinent pour CHRUTH : PRESTATION DE NETTOYAGE DES LOCAUX DU CREPS ÎLE-DE-FRANCE. Zone : 92. Budget a verifier. Verifier le lien source avant contact.</t>
        </is>
      </c>
      <c r="BD42" t="inlineStr">
        <is>
          <t>Bonjour,
Je me permets de vous contacter au sujet de votre appel d'offres : PRESTATION DE NETTOYAGE DES LOCAUX DU CREPS ÎLE-DE-FRANCE.
CHRUTH accompagne les structures publiques et privees sur les besoins de nettoyage, d'entretien des locaux et d'organisation de prestations de service.
Serait-il possible d'echanger rapidement afin de verifier les modalites de reponse et les attentes de CREPS Île-de-France ?
Cordialement,</t>
        </is>
      </c>
      <c r="BE42" t="inlineStr">
        <is>
          <t>Bonjour, je vous appelle concernant un appel d'offres publie par CREPS Île-de-France. Je souhaite verifier les informations pratiques : perimetre des prestations, date limite, modalites de visite, contact technique et pieces attendues. Pouvez-vous m'indiquer la bonne personne a contacter ?</t>
        </is>
      </c>
      <c r="BF42" t="inlineStr"/>
      <c r="BG42" t="inlineStr"/>
      <c r="BH42" t="inlineStr"/>
      <c r="BI42" t="inlineStr"/>
      <c r="BJ42" t="inlineStr"/>
      <c r="BK42" t="inlineStr"/>
      <c r="BL42" t="inlineStr"/>
      <c r="BM42" t="inlineStr">
        <is>
          <t>2026-W24</t>
        </is>
      </c>
    </row>
    <row r="43">
      <c r="A43" t="inlineStr">
        <is>
          <t>BOAMP</t>
        </is>
      </c>
      <c r="B43" t="inlineStr">
        <is>
          <t>26-55238</t>
        </is>
      </c>
      <c r="C43" t="inlineStr">
        <is>
          <t>Nettoyage des locaux et des vitres des bâtiments scolaires, communaux et sportifs de la Ville de Poissy (3 lots)</t>
        </is>
      </c>
      <c r="D43" t="inlineStr">
        <is>
          <t>Ville de Poissy</t>
        </is>
      </c>
      <c r="E43" t="inlineStr">
        <is>
          <t>17780005900012</t>
        </is>
      </c>
      <c r="F43" t="inlineStr">
        <is>
          <t>177800059</t>
        </is>
      </c>
      <c r="G43" t="inlineStr"/>
      <c r="H43" t="inlineStr"/>
      <c r="I43" t="inlineStr">
        <is>
          <t>greffe.ta-versailles@juradm.fr</t>
        </is>
      </c>
      <c r="J43" t="inlineStr">
        <is>
          <t>0139205400</t>
        </is>
      </c>
      <c r="K43" t="inlineStr"/>
      <c r="L43" t="inlineStr"/>
      <c r="M43" t="inlineStr"/>
      <c r="N43" t="inlineStr">
        <is>
          <t>78</t>
        </is>
      </c>
      <c r="O43" t="inlineStr"/>
      <c r="P43" t="inlineStr">
        <is>
          <t>Ile-de-France</t>
        </is>
      </c>
      <c r="Q43" s="15" t="n">
        <v>46179</v>
      </c>
      <c r="R43" s="15" t="n">
        <v>46209</v>
      </c>
      <c r="S43" s="14" t="n">
        <v>3000000</v>
      </c>
      <c r="T43" t="inlineStr">
        <is>
          <t>BUDGET_EXPLICITE_OK</t>
        </is>
      </c>
      <c r="U43" t="inlineStr">
        <is>
          <t>3000000</t>
        </is>
      </c>
      <c r="V43" t="inlineStr">
        <is>
          <t>oui</t>
        </is>
      </c>
      <c r="W43" t="inlineStr">
        <is>
          <t>Vitres</t>
        </is>
      </c>
      <c r="X43" t="inlineStr">
        <is>
          <t>Mairie</t>
        </is>
      </c>
      <c r="Y43" t="inlineStr">
        <is>
          <t>SERVICES</t>
        </is>
      </c>
      <c r="Z43" t="inlineStr">
        <is>
          <t>Procédure Ouverte</t>
        </is>
      </c>
      <c r="AA43" t="inlineStr">
        <is>
          <t>Avis de marché</t>
        </is>
      </c>
      <c r="AB43" t="inlineStr">
        <is>
          <t>Nettoyage de locaux</t>
        </is>
      </c>
      <c r="AC43" t="inlineStr">
        <is>
          <t>['sociaux', 'environnementaux']</t>
        </is>
      </c>
      <c r="AD43" s="11" t="inlineStr">
        <is>
          <t>https://www.boamp.fr/pages/avis/?q=idweb:26-55238</t>
        </is>
      </c>
      <c r="AE43" t="inlineStr">
        <is>
          <t>https://www.achatpublic.com/sdm/ent/gen/index.do</t>
        </is>
      </c>
      <c r="AF43" t="inlineStr">
        <is>
          <t>https://www.achatpublic.com/sdm/ent/gen/index.do</t>
        </is>
      </c>
      <c r="AG43" t="inlineStr">
        <is>
          <t>nettoyage</t>
        </is>
      </c>
      <c r="AH43" t="inlineStr">
        <is>
          <t>3</t>
        </is>
      </c>
      <c r="AI43" t="inlineStr">
        <is>
          <t>68</t>
        </is>
      </c>
      <c r="AJ43" t="inlineStr">
        <is>
          <t>INFO_PARTIELLE</t>
        </is>
      </c>
      <c r="AK43" t="inlineStr">
        <is>
          <t>50</t>
        </is>
      </c>
      <c r="AL43" t="inlineStr">
        <is>
          <t>TIEDE</t>
        </is>
      </c>
      <c r="AM43" t="inlineStr"/>
      <c r="AN43" t="inlineStr"/>
      <c r="AO43" t="inlineStr"/>
      <c r="AP43" t="inlineStr"/>
      <c r="AQ43" t="inlineStr">
        <is>
          <t>IA_CONTACT_A_COMPLETER</t>
        </is>
      </c>
      <c r="AR43" t="inlineStr">
        <is>
          <t>Completer les champs manquants depuis l'avis source, le site acheteur ou le DCE.</t>
        </is>
      </c>
      <c r="AS43" t="inlineStr">
        <is>
          <t>adresse, ville</t>
        </is>
      </c>
      <c r="AT4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26-55238. Objet: Nettoyage des locaux et des vitres des bâtiments scolaires, communaux et sportifs de la Ville de Poissy (3 lots). Acheteur: Ville de Poissy. Lien: https://www.boamp.fr/pages/avis/?q=idweb:26-55238.</t>
        </is>
      </c>
      <c r="AU43" t="inlineStr">
        <is>
          <t>Verifier url_avis et DCE si disponible</t>
        </is>
      </c>
      <c r="AV43" t="inlineStr"/>
      <c r="AW43" t="inlineStr"/>
      <c r="AX43" t="inlineStr"/>
      <c r="AY43" t="inlineStr"/>
      <c r="AZ43" t="inlineStr"/>
      <c r="BA43" t="inlineStr"/>
      <c r="BB43" t="inlineStr">
        <is>
          <t>+35 nettoyage + categorie claire | -20 gros budget (&gt; 500 000 EUR) | +15 procedure adaptee / MAPA / allotissement | +10 secteur cible Mairie | +10 delai confortable 16j</t>
        </is>
      </c>
      <c r="BC43" t="inlineStr">
        <is>
          <t>Ville de Poissy publie un AO potentiellement pertinent pour CHRUTH : Nettoyage des locaux et des vitres des bâtiments scolaires, communaux et sportifs de la Ville de Poissy (3 lots). Zone : 78. Budget detecte environ 3 000 000 EUR. Verifier le lien source avant contact.</t>
        </is>
      </c>
      <c r="BD43" t="inlineStr">
        <is>
          <t>Bonjour,
Je me permets de vous contacter au sujet de votre appel d'offres : Nettoyage des locaux et des vitres des bâtiments scolaires, communaux et sportifs de la Ville de Poissy (3 lots).
CHRUTH accompagne les structures publiques et privees sur les besoins de nettoyage, d'entretien des locaux et d'organisation de prestations de service.
Serait-il possible d'echanger rapidement afin de verifier les modalites de reponse et les attentes de Ville de Poissy ?
Cordialement,</t>
        </is>
      </c>
      <c r="BE43" t="inlineStr">
        <is>
          <t>Bonjour, je vous appelle concernant un appel d'offres publie par Ville de Poissy. Je souhaite verifier les informations pratiques : perimetre des prestations, date limite, modalites de visite, contact technique et pieces attendues. Pouvez-vous m'indiquer la bonne personne a contacter ?</t>
        </is>
      </c>
      <c r="BF43" t="inlineStr"/>
      <c r="BG43" t="inlineStr"/>
      <c r="BH43" t="inlineStr"/>
      <c r="BI43" t="inlineStr"/>
      <c r="BJ43" t="inlineStr"/>
      <c r="BK43" t="inlineStr"/>
      <c r="BL43" t="inlineStr"/>
      <c r="BM43" t="inlineStr">
        <is>
          <t>2026-W23</t>
        </is>
      </c>
    </row>
    <row r="44">
      <c r="A44" t="inlineStr">
        <is>
          <t>MAXIMILIEN</t>
        </is>
      </c>
      <c r="B44" t="inlineStr">
        <is>
          <t>MX-b6801bdc5d3e</t>
        </is>
      </c>
      <c r="C44" t="inlineStr">
        <is>
          <t>CHRUTH - 1 nouveaux AO nettoyage IDF =?utf-8?q?=28apr=C3=A8s-midi?=
 05/07)</t>
        </is>
      </c>
      <c r="D44" t="inlineStr">
        <is>
          <t>Epms Fondation Hardy</t>
        </is>
      </c>
      <c r="E44" t="inlineStr"/>
      <c r="F44" t="inlineStr"/>
      <c r="G44" t="inlineStr"/>
      <c r="H44" t="inlineStr"/>
      <c r="I44" t="inlineStr"/>
      <c r="J44" t="inlineStr"/>
      <c r="K44" t="inlineStr"/>
      <c r="L44" t="inlineStr"/>
      <c r="M44" t="inlineStr"/>
      <c r="N44" t="inlineStr"/>
      <c r="O44" t="inlineStr"/>
      <c r="P44" t="inlineStr"/>
      <c r="Q44" s="15" t="n">
        <v>46208</v>
      </c>
      <c r="R44" t="inlineStr"/>
      <c r="S44" t="inlineStr"/>
      <c r="T44" t="inlineStr">
        <is>
          <t>A_VERIFIER_BUDGET</t>
        </is>
      </c>
      <c r="U44" t="inlineStr"/>
      <c r="V44" t="inlineStr"/>
      <c r="W44" t="inlineStr">
        <is>
          <t>Batiments/Locaux</t>
        </is>
      </c>
      <c r="X44" t="inlineStr">
        <is>
          <t>Autre</t>
        </is>
      </c>
      <c r="Y44" t="inlineStr"/>
      <c r="Z44" t="inlineStr"/>
      <c r="AA44" t="inlineStr"/>
      <c r="AB44" t="inlineStr"/>
      <c r="AC44" t="inlineStr"/>
      <c r="AD44" s="11" t="inlineStr">
        <is>
          <t>https://marches.maximilien.fr/entreprise/consultation/942574?orgAcronyme=a1i</t>
        </is>
      </c>
      <c r="AE44" t="inlineStr">
        <is>
          <t>https://marches.maximilien.fr/entreprise/consultation/942574?orgAcronyme=a1i</t>
        </is>
      </c>
      <c r="AF44" t="inlineStr"/>
      <c r="AG44" t="inlineStr">
        <is>
          <t>nettoyage</t>
        </is>
      </c>
      <c r="AH44" t="inlineStr"/>
      <c r="AI44" t="inlineStr">
        <is>
          <t>30</t>
        </is>
      </c>
      <c r="AJ44" t="inlineStr">
        <is>
          <t>DCE_A_TELECHARGER</t>
        </is>
      </c>
      <c r="AK44" t="inlineStr">
        <is>
          <t>45</t>
        </is>
      </c>
      <c r="AL44" s="16" t="inlineStr">
        <is>
          <t>A_VERIFIER</t>
        </is>
      </c>
      <c r="AM44" t="inlineStr"/>
      <c r="AN44" t="inlineStr"/>
      <c r="AO44" t="inlineStr"/>
      <c r="AP44" t="inlineStr"/>
      <c r="AQ44" t="inlineStr">
        <is>
          <t>IA_DCE_REQUISE</t>
        </is>
      </c>
      <c r="AR44" t="inlineStr">
        <is>
          <t>Telecharger ou ouvrir le DCE, puis extraire contact, budget, perimetre et contraintes.</t>
        </is>
      </c>
      <c r="AS44" t="inlineStr">
        <is>
          <t>SIRET, email, telephone, adresse, ville, budget</t>
        </is>
      </c>
      <c r="AT4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MX-b6801bdc5d3e. Objet: CHRUTH - 1 nouveaux AO nettoyage IDF =?utf-8?q?=28apr=C3=A8s-midi?=
 05/07). Acheteur: Epms Fondation Hardy. Lien: https://marches.maximilien.fr/entreprise/consultation/942574?orgAcronyme=a1i.</t>
        </is>
      </c>
      <c r="AU44" t="inlineStr">
        <is>
          <t>Verifier url_avis et DCE si disponible</t>
        </is>
      </c>
      <c r="AV44" t="inlineStr">
        <is>
          <t>LIEN_SEUL</t>
        </is>
      </c>
      <c r="AW44" t="inlineStr"/>
      <c r="AX44" t="inlineStr"/>
      <c r="AY44" t="inlineStr"/>
      <c r="AZ44" t="inlineStr"/>
      <c r="BA44" t="inlineStr"/>
      <c r="BB44" t="inlineStr">
        <is>
          <t>+35 nettoyage + categorie claire | +10 budget non affiche (a verifier) | 0 date limite absente</t>
        </is>
      </c>
      <c r="BC44" t="inlineStr"/>
      <c r="BD44" t="inlineStr"/>
      <c r="BE44" t="inlineStr"/>
      <c r="BF44" t="inlineStr"/>
      <c r="BG44" t="inlineStr"/>
      <c r="BH44" t="inlineStr"/>
      <c r="BI44" t="inlineStr"/>
      <c r="BJ44" t="inlineStr"/>
      <c r="BK44" t="inlineStr"/>
      <c r="BL44" t="inlineStr"/>
      <c r="BM44" t="inlineStr">
        <is>
          <t>2026-W27</t>
        </is>
      </c>
    </row>
    <row r="45">
      <c r="A45" t="inlineStr">
        <is>
          <t>BOAMP</t>
        </is>
      </c>
      <c r="B45" t="inlineStr">
        <is>
          <t>26-60829</t>
        </is>
      </c>
      <c r="C45" t="inlineStr">
        <is>
          <t>Prestation de propreté des espaces verts de la ville d'Alfortville</t>
        </is>
      </c>
      <c r="D45" t="inlineStr">
        <is>
          <t>Commune d'Alfortville</t>
        </is>
      </c>
      <c r="E45" t="inlineStr">
        <is>
          <t>21940002500017</t>
        </is>
      </c>
      <c r="F45" t="inlineStr">
        <is>
          <t>219400025</t>
        </is>
      </c>
      <c r="G45" t="inlineStr"/>
      <c r="H45" t="inlineStr"/>
      <c r="I45" t="inlineStr">
        <is>
          <t>etienne.ouatiki@alfortville.fr</t>
        </is>
      </c>
      <c r="J45" t="inlineStr">
        <is>
          <t>0158732900</t>
        </is>
      </c>
      <c r="K45" t="inlineStr"/>
      <c r="L45" t="inlineStr"/>
      <c r="M45" t="inlineStr"/>
      <c r="N45" t="inlineStr">
        <is>
          <t>94</t>
        </is>
      </c>
      <c r="O45" t="inlineStr"/>
      <c r="P45" t="inlineStr">
        <is>
          <t>Ile-de-France</t>
        </is>
      </c>
      <c r="Q45" s="15" t="n">
        <v>46194</v>
      </c>
      <c r="R45" s="15" t="n">
        <v>46223</v>
      </c>
      <c r="S45" t="inlineStr"/>
      <c r="T45" t="inlineStr">
        <is>
          <t>A_VERIFIER_BUDGET</t>
        </is>
      </c>
      <c r="U45" t="inlineStr"/>
      <c r="V45" t="inlineStr">
        <is>
          <t>non</t>
        </is>
      </c>
      <c r="W45" t="inlineStr">
        <is>
          <t>Mixte/Autre</t>
        </is>
      </c>
      <c r="X45" t="inlineStr">
        <is>
          <t>Autre</t>
        </is>
      </c>
      <c r="Y45" t="inlineStr">
        <is>
          <t>SERVICES</t>
        </is>
      </c>
      <c r="Z45" t="inlineStr">
        <is>
          <t>Procédure Ouverte</t>
        </is>
      </c>
      <c r="AA45" t="inlineStr">
        <is>
          <t>Avis de marché</t>
        </is>
      </c>
      <c r="AB45" t="inlineStr">
        <is>
          <t>Espaces verts</t>
        </is>
      </c>
      <c r="AC45" t="inlineStr"/>
      <c r="AD45" s="11" t="inlineStr">
        <is>
          <t>https://www.boamp.fr/pages/avis/?q=idweb:26-60829</t>
        </is>
      </c>
      <c r="AE45" t="inlineStr">
        <is>
          <t>https://www.maximilien.fr/</t>
        </is>
      </c>
      <c r="AF45" t="inlineStr">
        <is>
          <t>https://www.maximilien.fr/</t>
        </is>
      </c>
      <c r="AG45" t="inlineStr">
        <is>
          <t>proprete</t>
        </is>
      </c>
      <c r="AH45" t="inlineStr">
        <is>
          <t>3</t>
        </is>
      </c>
      <c r="AI45" t="inlineStr">
        <is>
          <t>68</t>
        </is>
      </c>
      <c r="AJ45" t="inlineStr">
        <is>
          <t>INFO_PARTIELLE</t>
        </is>
      </c>
      <c r="AK45" t="inlineStr">
        <is>
          <t>45</t>
        </is>
      </c>
      <c r="AL45" t="inlineStr">
        <is>
          <t>TIEDE</t>
        </is>
      </c>
      <c r="AM45" t="inlineStr"/>
      <c r="AN45" t="inlineStr"/>
      <c r="AO45" t="inlineStr"/>
      <c r="AP45" t="inlineStr"/>
      <c r="AQ45" t="inlineStr">
        <is>
          <t>IA_BUDGET_A_VERIFIER</t>
        </is>
      </c>
      <c r="AR45" t="inlineStr">
        <is>
          <t>Verifier le budget dans l'avis source ou le DCE avant decision commerciale.</t>
        </is>
      </c>
      <c r="AS45" t="inlineStr">
        <is>
          <t>adresse, ville, budget</t>
        </is>
      </c>
      <c r="AT4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26-60829. Objet: Prestation de propreté des espaces verts de la ville d'Alfortville. Acheteur: Commune d'Alfortville. Lien: https://www.boamp.fr/pages/avis/?q=idweb:26-60829.</t>
        </is>
      </c>
      <c r="AU45" t="inlineStr">
        <is>
          <t>Verifier url_avis et DCE si disponible</t>
        </is>
      </c>
      <c r="AV45" t="inlineStr">
        <is>
          <t>LIEN_SEUL</t>
        </is>
      </c>
      <c r="AW45" t="inlineStr"/>
      <c r="AX45" t="inlineStr"/>
      <c r="AY45" t="inlineStr"/>
      <c r="AZ45" t="inlineStr"/>
      <c r="BA45" t="inlineStr"/>
      <c r="BB45" t="inlineStr">
        <is>
          <t>+30 mots-cles nettoyage forts | +10 budget non affiche (a verifier) | +5 delai court 15j</t>
        </is>
      </c>
      <c r="BC45" t="inlineStr">
        <is>
          <t>Commune d'Alfortville publie un AO potentiellement pertinent pour CHRUTH : Prestation de propreté des espaces verts de la ville d'Alfortville. Zone : 94. Budget a verifier. Verifier le lien source avant contact.</t>
        </is>
      </c>
      <c r="BD45" t="inlineStr">
        <is>
          <t>Bonjour,
Je me permets de vous contacter au sujet de votre appel d'offres : Prestation de propreté des espaces verts de la ville d'Alfortville.
CHRUTH accompagne les structures publiques et privées sur les besoins de nettoyage, d'entretien des locaux et d'organisation de prestations de service.
Serait-il possible d'échanger rapidement afin de vérifier les modalités de réponse et les attentes de Commune d'Alfortville ?
Cordialement,</t>
        </is>
      </c>
      <c r="BE45" t="inlineStr">
        <is>
          <t>Bonjour, je vous appelle concernant un appel d'offres publié par Commune d'Alfortville. Je souhaite vérifier les informations pratiques : périmètre des prestations, date limite, modalités de visite, contact technique et pièces attendues. Pouvez-vous m'indiquer la bonne personne à contacter ?</t>
        </is>
      </c>
      <c r="BF45" t="inlineStr"/>
      <c r="BG45" t="inlineStr"/>
      <c r="BH45" t="inlineStr"/>
      <c r="BI45" t="inlineStr"/>
      <c r="BJ45" t="inlineStr"/>
      <c r="BK45" t="inlineStr"/>
      <c r="BL45" t="inlineStr"/>
      <c r="BM45" t="inlineStr">
        <is>
          <t>2026-W25</t>
        </is>
      </c>
    </row>
    <row r="46">
      <c r="A46" t="inlineStr">
        <is>
          <t>BOAMP</t>
        </is>
      </c>
      <c r="B46" t="inlineStr">
        <is>
          <t>26-61133</t>
        </is>
      </c>
      <c r="C46" t="inlineStr">
        <is>
          <t>Marché de nettoyage de fin de chantier</t>
        </is>
      </c>
      <c r="D46" t="inlineStr">
        <is>
          <t>OPPIC</t>
        </is>
      </c>
      <c r="E46" t="inlineStr">
        <is>
          <t>18009208200023</t>
        </is>
      </c>
      <c r="F46" t="inlineStr">
        <is>
          <t>180092082</t>
        </is>
      </c>
      <c r="G46" t="inlineStr"/>
      <c r="H46" t="inlineStr"/>
      <c r="I46" t="inlineStr">
        <is>
          <t>departement.marches@oppic.fr</t>
        </is>
      </c>
      <c r="J46" t="inlineStr">
        <is>
          <t>0920820002</t>
        </is>
      </c>
      <c r="K46" t="inlineStr"/>
      <c r="L46" t="inlineStr"/>
      <c r="M46" t="inlineStr"/>
      <c r="N46" t="inlineStr">
        <is>
          <t>75,77,78,91,92,93,94,95</t>
        </is>
      </c>
      <c r="O46" t="inlineStr"/>
      <c r="P46" t="inlineStr">
        <is>
          <t>Ile-de-France</t>
        </is>
      </c>
      <c r="Q46" s="15" t="n">
        <v>46194</v>
      </c>
      <c r="R46" s="15" t="n">
        <v>46216</v>
      </c>
      <c r="S46" s="14" t="n">
        <v>100000</v>
      </c>
      <c r="T46" t="inlineStr">
        <is>
          <t>BUDGET_EXPLICITE_OK</t>
        </is>
      </c>
      <c r="U46" t="inlineStr">
        <is>
          <t>200000</t>
        </is>
      </c>
      <c r="V46" t="inlineStr">
        <is>
          <t>oui</t>
        </is>
      </c>
      <c r="W46" t="inlineStr">
        <is>
          <t>Batiments</t>
        </is>
      </c>
      <c r="X46" t="inlineStr">
        <is>
          <t>Autre</t>
        </is>
      </c>
      <c r="Y46" t="inlineStr">
        <is>
          <t>SERVICES</t>
        </is>
      </c>
      <c r="Z46" t="inlineStr">
        <is>
          <t>Procédure Ouverte</t>
        </is>
      </c>
      <c r="AA46" t="inlineStr">
        <is>
          <t>Avis de marché</t>
        </is>
      </c>
      <c r="AB46" t="inlineStr">
        <is>
          <t>Bâtiment, Déchets non ménagers (prestations), Nettoyage de locaux</t>
        </is>
      </c>
      <c r="AC46" t="inlineStr"/>
      <c r="AD46" s="11" t="inlineStr">
        <is>
          <t>https://www.boamp.fr/pages/avis/?q=idweb:26-61133</t>
        </is>
      </c>
      <c r="AE46" t="inlineStr">
        <is>
          <t>https://www.marches-publics.gouv.fr</t>
        </is>
      </c>
      <c r="AF46" t="inlineStr">
        <is>
          <t>https://www.marches-publics.gouv.fr</t>
        </is>
      </c>
      <c r="AG46" t="inlineStr">
        <is>
          <t>nettoyage, menage</t>
        </is>
      </c>
      <c r="AH46" t="inlineStr">
        <is>
          <t>3</t>
        </is>
      </c>
      <c r="AI46" t="inlineStr">
        <is>
          <t>76</t>
        </is>
      </c>
      <c r="AJ46" t="inlineStr">
        <is>
          <t>INFO_PARTIELLE</t>
        </is>
      </c>
      <c r="AK46" t="inlineStr">
        <is>
          <t>45</t>
        </is>
      </c>
      <c r="AL46" t="inlineStr">
        <is>
          <t>TIEDE</t>
        </is>
      </c>
      <c r="AM46" t="inlineStr"/>
      <c r="AN46" t="inlineStr"/>
      <c r="AO46" t="inlineStr"/>
      <c r="AP46" t="inlineStr"/>
      <c r="AQ46" t="inlineStr">
        <is>
          <t>IA_CONTACT_A_COMPLETER</t>
        </is>
      </c>
      <c r="AR46" t="inlineStr">
        <is>
          <t>Completer les champs manquants depuis l'avis source, le site acheteur ou le DCE.</t>
        </is>
      </c>
      <c r="AS46" t="inlineStr">
        <is>
          <t>adresse, ville</t>
        </is>
      </c>
      <c r="AT4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26-61133. Objet: Marché de nettoyage de fin de chantier. Acheteur: OPPIC. Lien: https://www.boamp.fr/pages/avis/?q=idweb:26-61133.</t>
        </is>
      </c>
      <c r="AU46" t="inlineStr">
        <is>
          <t>Verifier url_avis et DCE si disponible</t>
        </is>
      </c>
      <c r="AV46" t="inlineStr"/>
      <c r="AW46" t="inlineStr"/>
      <c r="AX46" t="inlineStr"/>
      <c r="AY46" t="inlineStr"/>
      <c r="AZ46" t="inlineStr"/>
      <c r="BA46" t="inlineStr"/>
      <c r="BB46" t="inlineStr">
        <is>
          <t>+35 nettoyage + categorie claire | +5 budget annualise &lt;= 200 000 EUR | +5 delai court 8j</t>
        </is>
      </c>
      <c r="BC46" t="inlineStr">
        <is>
          <t>OPPIC publie un AO potentiellement pertinent pour CHRUTH : Marché de nettoyage de fin de chantier. Zone : 75,77,78,91,92,93,94,95. Budget detecte environ 100 000 EUR. Verifier le lien source avant contact.</t>
        </is>
      </c>
      <c r="BD46" t="inlineStr">
        <is>
          <t>Bonjour,
Je me permets de vous contacter au sujet de votre appel d'offres : Marché de nettoyage de fin de chantier.
CHRUTH accompagne les structures publiques et privées sur les besoins de nettoyage, d'entretien des locaux et d'organisation de prestations de service.
Serait-il possible d'échanger rapidement afin de vérifier les modalités de réponse et les attentes de OPPIC ?
Cordialement,</t>
        </is>
      </c>
      <c r="BE46" t="inlineStr">
        <is>
          <t>Bonjour, je vous appelle concernant un appel d'offres publié par OPPIC. Je souhaite vérifier les informations pratiques : périmètre des prestations, date limite, modalités de visite, contact technique et pièces attendues. Pouvez-vous m'indiquer la bonne personne à contacter ?</t>
        </is>
      </c>
      <c r="BF46" t="inlineStr"/>
      <c r="BG46" t="inlineStr"/>
      <c r="BH46" t="inlineStr"/>
      <c r="BI46" t="inlineStr"/>
      <c r="BJ46" t="inlineStr"/>
      <c r="BK46" t="inlineStr"/>
      <c r="BL46" t="inlineStr"/>
      <c r="BM46" t="inlineStr">
        <is>
          <t>2026-W25</t>
        </is>
      </c>
    </row>
    <row r="47">
      <c r="A47" t="inlineStr">
        <is>
          <t>MAXIMILIEN</t>
        </is>
      </c>
      <c r="B47" t="inlineStr">
        <is>
          <t>MX-249ac2b2b557</t>
        </is>
      </c>
      <c r="C47" t="inlineStr">
        <is>
          <t>CHRUTH - 5 nouveaux AO nettoyage IDF (apres-midi 21/06)</t>
        </is>
      </c>
      <c r="D47" t="inlineStr"/>
      <c r="E47" t="inlineStr"/>
      <c r="F47" t="inlineStr"/>
      <c r="G47" t="inlineStr"/>
      <c r="H47" t="inlineStr"/>
      <c r="I47" t="inlineStr"/>
      <c r="J47" t="inlineStr"/>
      <c r="K47" t="inlineStr"/>
      <c r="L47" t="inlineStr"/>
      <c r="M47" t="inlineStr"/>
      <c r="N47" t="inlineStr"/>
      <c r="O47" t="inlineStr"/>
      <c r="P47" t="inlineStr"/>
      <c r="Q47" s="15" t="n">
        <v>46194</v>
      </c>
      <c r="R47" t="inlineStr"/>
      <c r="S47" t="inlineStr"/>
      <c r="T47" t="inlineStr">
        <is>
          <t>A_VERIFIER_BUDGET</t>
        </is>
      </c>
      <c r="U47" t="inlineStr"/>
      <c r="V47" t="inlineStr"/>
      <c r="W47" t="inlineStr">
        <is>
          <t>Batiments/Locaux</t>
        </is>
      </c>
      <c r="X47" t="inlineStr">
        <is>
          <t>Autre</t>
        </is>
      </c>
      <c r="Y47" t="inlineStr"/>
      <c r="Z47" t="inlineStr"/>
      <c r="AA47" t="inlineStr"/>
      <c r="AB47" t="inlineStr"/>
      <c r="AC47" t="inlineStr"/>
      <c r="AD47" s="11" t="inlineStr">
        <is>
          <t>https://marches.maximilien.fr/entreprise/consultation/941627?orgAcronyme=d7d</t>
        </is>
      </c>
      <c r="AE47" t="inlineStr">
        <is>
          <t>https://marches.maximilien.fr/entreprise/consultation/941627?orgAcronyme=d7d</t>
        </is>
      </c>
      <c r="AF47" t="inlineStr"/>
      <c r="AG47" t="inlineStr">
        <is>
          <t>nettoyage</t>
        </is>
      </c>
      <c r="AH47" t="inlineStr"/>
      <c r="AI47" t="inlineStr">
        <is>
          <t>30</t>
        </is>
      </c>
      <c r="AJ47" t="inlineStr">
        <is>
          <t>DCE_A_TELECHARGER</t>
        </is>
      </c>
      <c r="AK47" t="inlineStr">
        <is>
          <t>45</t>
        </is>
      </c>
      <c r="AL47" s="16" t="inlineStr">
        <is>
          <t>A_VERIFIER</t>
        </is>
      </c>
      <c r="AM47" t="inlineStr"/>
      <c r="AN47" t="inlineStr"/>
      <c r="AO47" t="inlineStr"/>
      <c r="AP47" t="inlineStr"/>
      <c r="AQ47" t="inlineStr">
        <is>
          <t>IA_DCE_REQUISE</t>
        </is>
      </c>
      <c r="AR47" t="inlineStr">
        <is>
          <t>Telecharger ou ouvrir le DCE, puis extraire contact, budget, perimetre et contraintes.</t>
        </is>
      </c>
      <c r="AS47" t="inlineStr">
        <is>
          <t>SIRET, email, telephone, adresse, ville, budget</t>
        </is>
      </c>
      <c r="AT4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MX-249ac2b2b557. Objet: CHRUTH - 5 nouveaux AO nettoyage IDF (apres-midi 21/06). Acheteur: . Lien: https://marches.maximilien.fr/entreprise/consultation/941627?orgAcronyme=d7d.</t>
        </is>
      </c>
      <c r="AU47" t="inlineStr">
        <is>
          <t>Verifier url_avis et DCE si disponible</t>
        </is>
      </c>
      <c r="AV47" t="inlineStr">
        <is>
          <t>LIEN_SEUL</t>
        </is>
      </c>
      <c r="AW47" t="inlineStr"/>
      <c r="AX47" t="inlineStr"/>
      <c r="AY47" t="inlineStr"/>
      <c r="AZ47" t="inlineStr"/>
      <c r="BA47" t="inlineStr"/>
      <c r="BB47" t="inlineStr">
        <is>
          <t>+35 nettoyage + categorie claire | +10 budget non affiche (a verifier) | 0 date limite absente</t>
        </is>
      </c>
      <c r="BC47" t="inlineStr"/>
      <c r="BD47" t="inlineStr"/>
      <c r="BE47" t="inlineStr"/>
      <c r="BF47" t="inlineStr"/>
      <c r="BG47" t="inlineStr"/>
      <c r="BH47" t="inlineStr"/>
      <c r="BI47" t="inlineStr"/>
      <c r="BJ47" t="inlineStr"/>
      <c r="BK47" t="inlineStr"/>
      <c r="BL47" t="inlineStr"/>
      <c r="BM47" t="inlineStr">
        <is>
          <t>2026-W25</t>
        </is>
      </c>
    </row>
    <row r="48">
      <c r="A48" t="inlineStr">
        <is>
          <t>MAXIMILIEN</t>
        </is>
      </c>
      <c r="B48" t="inlineStr">
        <is>
          <t>MX-baa796e6137e</t>
        </is>
      </c>
      <c r="C48" t="inlineStr">
        <is>
          <t>CHRUTH - 4 nouveaux AO nettoyage IDF (apres-midi 17/06)</t>
        </is>
      </c>
      <c r="D48" t="inlineStr"/>
      <c r="E48" t="inlineStr"/>
      <c r="F48" t="inlineStr"/>
      <c r="G48" t="inlineStr"/>
      <c r="H48" t="inlineStr"/>
      <c r="I48" t="inlineStr"/>
      <c r="J48" t="inlineStr"/>
      <c r="K48" t="inlineStr"/>
      <c r="L48" t="inlineStr"/>
      <c r="M48" t="inlineStr"/>
      <c r="N48" t="inlineStr"/>
      <c r="O48" t="inlineStr"/>
      <c r="P48" t="inlineStr"/>
      <c r="Q48" s="15" t="n">
        <v>46190</v>
      </c>
      <c r="R48" t="inlineStr"/>
      <c r="S48" t="inlineStr"/>
      <c r="T48" t="inlineStr">
        <is>
          <t>A_VERIFIER_BUDGET</t>
        </is>
      </c>
      <c r="U48" t="inlineStr"/>
      <c r="V48" t="inlineStr"/>
      <c r="W48" t="inlineStr">
        <is>
          <t>Batiments/Locaux</t>
        </is>
      </c>
      <c r="X48" t="inlineStr">
        <is>
          <t>Autre</t>
        </is>
      </c>
      <c r="Y48" t="inlineStr"/>
      <c r="Z48" t="inlineStr"/>
      <c r="AA48" t="inlineStr"/>
      <c r="AB48" t="inlineStr"/>
      <c r="AC48" t="inlineStr"/>
      <c r="AD48" s="11" t="inlineStr">
        <is>
          <t>https://marches.maximilien.fr/entreprise/consultation/939069?orgAcronyme=d8e</t>
        </is>
      </c>
      <c r="AE48" t="inlineStr">
        <is>
          <t>https://marches.maximilien.fr/entreprise/consultation/939069?orgAcronyme=d8e</t>
        </is>
      </c>
      <c r="AF48" t="inlineStr"/>
      <c r="AG48" t="inlineStr">
        <is>
          <t>nettoyage</t>
        </is>
      </c>
      <c r="AH48" t="inlineStr"/>
      <c r="AI48" t="inlineStr">
        <is>
          <t>30</t>
        </is>
      </c>
      <c r="AJ48" t="inlineStr">
        <is>
          <t>DCE_A_TELECHARGER</t>
        </is>
      </c>
      <c r="AK48" t="inlineStr">
        <is>
          <t>45</t>
        </is>
      </c>
      <c r="AL48" s="16" t="inlineStr">
        <is>
          <t>A_VERIFIER</t>
        </is>
      </c>
      <c r="AM48" t="inlineStr"/>
      <c r="AN48" t="inlineStr"/>
      <c r="AO48" t="inlineStr"/>
      <c r="AP48" t="inlineStr"/>
      <c r="AQ48" t="inlineStr">
        <is>
          <t>IA_DCE_REQUISE</t>
        </is>
      </c>
      <c r="AR48" t="inlineStr">
        <is>
          <t>Telecharger ou ouvrir le DCE, puis extraire contact, budget, perimetre et contraintes.</t>
        </is>
      </c>
      <c r="AS48" t="inlineStr">
        <is>
          <t>SIRET, email, telephone, adresse, ville, budget</t>
        </is>
      </c>
      <c r="AT4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MX-baa796e6137e. Objet: CHRUTH - 4 nouveaux AO nettoyage IDF (apres-midi 17/06). Acheteur: . Lien: https://marches.maximilien.fr/entreprise/consultation/939069?orgAcronyme=d8e.</t>
        </is>
      </c>
      <c r="AU48" t="inlineStr">
        <is>
          <t>Verifier url_avis et DCE si disponible</t>
        </is>
      </c>
      <c r="AV48" t="inlineStr">
        <is>
          <t>LIEN_SEUL</t>
        </is>
      </c>
      <c r="AW48" t="inlineStr"/>
      <c r="AX48" t="inlineStr"/>
      <c r="AY48" t="inlineStr"/>
      <c r="AZ48" t="inlineStr"/>
      <c r="BA48" t="inlineStr"/>
      <c r="BB48" t="inlineStr">
        <is>
          <t>+35 nettoyage + categorie claire | +10 budget non affiche (a verifier) | 0 date limite absente</t>
        </is>
      </c>
      <c r="BC48" t="inlineStr"/>
      <c r="BD48" t="inlineStr"/>
      <c r="BE48" t="inlineStr"/>
      <c r="BF48" t="inlineStr"/>
      <c r="BG48" t="inlineStr"/>
      <c r="BH48" t="inlineStr"/>
      <c r="BI48" t="inlineStr"/>
      <c r="BJ48" t="inlineStr"/>
      <c r="BK48" t="inlineStr"/>
      <c r="BL48" t="inlineStr"/>
      <c r="BM48" t="inlineStr">
        <is>
          <t>2026-W25</t>
        </is>
      </c>
    </row>
    <row r="49">
      <c r="A49" t="inlineStr">
        <is>
          <t>BOAMP</t>
        </is>
      </c>
      <c r="B49" t="inlineStr">
        <is>
          <t>26-56896</t>
        </is>
      </c>
      <c r="C49" t="inlineStr">
        <is>
          <t>PRESTATIONS DE NETTOYAGE DE LOCAUX COMMUNAUX DIVERS DE LA VILLE DE MONTROUGE</t>
        </is>
      </c>
      <c r="D49" t="inlineStr">
        <is>
          <t>Ville de Montrouge</t>
        </is>
      </c>
      <c r="E49" t="inlineStr"/>
      <c r="F49" t="inlineStr"/>
      <c r="G49" t="inlineStr"/>
      <c r="H49" t="inlineStr"/>
      <c r="I49" t="inlineStr">
        <is>
          <t>j.marius@ville-montrouge.fr</t>
        </is>
      </c>
      <c r="J49" t="inlineStr">
        <is>
          <t>0428-4817-89</t>
        </is>
      </c>
      <c r="K49" t="inlineStr"/>
      <c r="L49" t="inlineStr"/>
      <c r="M49" t="inlineStr"/>
      <c r="N49" t="inlineStr">
        <is>
          <t>92</t>
        </is>
      </c>
      <c r="O49" t="inlineStr"/>
      <c r="P49" t="inlineStr">
        <is>
          <t>Ile-de-France</t>
        </is>
      </c>
      <c r="Q49" s="15" t="n">
        <v>46184</v>
      </c>
      <c r="R49" s="15" t="n">
        <v>46212</v>
      </c>
      <c r="S49" s="14" t="n">
        <v>230000</v>
      </c>
      <c r="T49" t="inlineStr">
        <is>
          <t>BUDGET_EXPLICITE_OK</t>
        </is>
      </c>
      <c r="U49" t="inlineStr">
        <is>
          <t>230000</t>
        </is>
      </c>
      <c r="V49" t="inlineStr">
        <is>
          <t>oui</t>
        </is>
      </c>
      <c r="W49" t="inlineStr">
        <is>
          <t>Batiments</t>
        </is>
      </c>
      <c r="X49" t="inlineStr">
        <is>
          <t>Mairie</t>
        </is>
      </c>
      <c r="Y49" t="inlineStr">
        <is>
          <t>SERVICES</t>
        </is>
      </c>
      <c r="Z49" t="inlineStr">
        <is>
          <t>Procédure Ouverte</t>
        </is>
      </c>
      <c r="AA49" t="inlineStr">
        <is>
          <t>Avis de marché</t>
        </is>
      </c>
      <c r="AB49" t="inlineStr">
        <is>
          <t>Nettoyage de locaux</t>
        </is>
      </c>
      <c r="AC49" t="inlineStr">
        <is>
          <t>['sociaux', 'environnementaux']</t>
        </is>
      </c>
      <c r="AD49" s="11" t="inlineStr">
        <is>
          <t>https://www.boamp.fr/pages/avis/?q=idweb:26-56896</t>
        </is>
      </c>
      <c r="AE49" t="inlineStr">
        <is>
          <t>https://www.achatpublic.com/sdm/ent/gen/ent_detail.do?PCSLID=CSL_2026_FSmPNMa43l</t>
        </is>
      </c>
      <c r="AF49" t="inlineStr">
        <is>
          <t>https://www.achatpublic.com/sdm/ent/gen/ent_detail.do?PCSLID=CSL_2026_FSmPNMa43l</t>
        </is>
      </c>
      <c r="AG49" t="inlineStr">
        <is>
          <t>nettoyage, proprete</t>
        </is>
      </c>
      <c r="AH49" t="inlineStr">
        <is>
          <t>2</t>
        </is>
      </c>
      <c r="AI49" t="inlineStr">
        <is>
          <t>66</t>
        </is>
      </c>
      <c r="AJ49" t="inlineStr">
        <is>
          <t>INFO_PARTIELLE</t>
        </is>
      </c>
      <c r="AK49" t="inlineStr">
        <is>
          <t>45</t>
        </is>
      </c>
      <c r="AL49" t="inlineStr">
        <is>
          <t>TIEDE</t>
        </is>
      </c>
      <c r="AM49" t="inlineStr"/>
      <c r="AN49" t="inlineStr"/>
      <c r="AO49" t="inlineStr"/>
      <c r="AP49" t="inlineStr"/>
      <c r="AQ49" t="inlineStr">
        <is>
          <t>IA_CONTACT_A_COMPLETER</t>
        </is>
      </c>
      <c r="AR49" t="inlineStr">
        <is>
          <t>Completer les champs manquants depuis l'avis source, le site acheteur ou le DCE.</t>
        </is>
      </c>
      <c r="AS49" t="inlineStr">
        <is>
          <t>SIRET, adresse, ville</t>
        </is>
      </c>
      <c r="AT4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26-56896. Objet: PRESTATIONS DE NETTOYAGE DE LOCAUX COMMUNAUX DIVERS DE LA VILLE DE MONTROUGE. Acheteur: Ville de Montrouge. Lien: https://www.boamp.fr/pages/avis/?q=idweb:26-56896.</t>
        </is>
      </c>
      <c r="AU49" t="inlineStr">
        <is>
          <t>Verifier url_avis et DCE si disponible</t>
        </is>
      </c>
      <c r="AV49" t="inlineStr"/>
      <c r="AW49" t="inlineStr"/>
      <c r="AX49" t="inlineStr"/>
      <c r="AY49" t="inlineStr"/>
      <c r="AZ49" t="inlineStr"/>
      <c r="BA49" t="inlineStr"/>
      <c r="BB49" t="inlineStr">
        <is>
          <t>+35 nettoyage + categorie claire | -10 budget annualise &lt;= 500 000 EUR | +10 secteur cible Mairie | +10 delai confortable 17j</t>
        </is>
      </c>
      <c r="BC49" t="inlineStr">
        <is>
          <t>Ville de Montrouge publie un AO potentiellement pertinent pour CHRUTH : PRESTATIONS DE NETTOYAGE DE LOCAUX COMMUNAUX DIVERS DE LA VILLE DE MONTROUGE. Zone : 92. Budget detecte environ 230 000 EUR. Verifier le lien source avant contact.</t>
        </is>
      </c>
      <c r="BD49" t="inlineStr">
        <is>
          <t>Bonjour,
Je me permets de vous contacter au sujet de votre appel d'offres : PRESTATIONS DE NETTOYAGE DE LOCAUX COMMUNAUX DIVERS DE LA VILLE DE MONTROUGE.
CHRUTH accompagne les structures publiques et privees sur les besoins de nettoyage, d'entretien des locaux et d'organisation de prestations de service.
Serait-il possible d'echanger rapidement afin de verifier les modalites de reponse et les attentes de Ville de Montrouge ?
Cordialement,</t>
        </is>
      </c>
      <c r="BE49" t="inlineStr">
        <is>
          <t>Bonjour, je vous appelle concernant un appel d'offres publie par Ville de Montrouge. Je souhaite verifier les informations pratiques : perimetre des prestations, date limite, modalites de visite, contact technique et pieces attendues. Pouvez-vous m'indiquer la bonne personne a contacter ?</t>
        </is>
      </c>
      <c r="BF49" t="inlineStr"/>
      <c r="BG49" t="inlineStr"/>
      <c r="BH49" t="inlineStr"/>
      <c r="BI49" t="inlineStr"/>
      <c r="BJ49" t="inlineStr"/>
      <c r="BK49" t="inlineStr"/>
      <c r="BL49" t="inlineStr"/>
      <c r="BM49" t="inlineStr">
        <is>
          <t>2026-W24</t>
        </is>
      </c>
    </row>
    <row r="50">
      <c r="A50" t="inlineStr">
        <is>
          <t>BOAMP</t>
        </is>
      </c>
      <c r="B50" t="inlineStr">
        <is>
          <t>26-60093</t>
        </is>
      </c>
      <c r="C50" t="inlineStr">
        <is>
          <t>Mise en propreté des abords du site principal du Centre National d’Art et de Culture Georges Pompidou et des bâtiments annexes (CNAC-GP) (2 lots) - Vague 2 : lot 2 (26-CP04-044-AC)</t>
        </is>
      </c>
      <c r="D50" t="inlineStr">
        <is>
          <t>CENTRE POMPIDOU</t>
        </is>
      </c>
      <c r="E50" t="inlineStr">
        <is>
          <t>18004602100028</t>
        </is>
      </c>
      <c r="F50" t="inlineStr">
        <is>
          <t>180046021</t>
        </is>
      </c>
      <c r="G50" t="inlineStr"/>
      <c r="H50" t="inlineStr"/>
      <c r="I50" t="inlineStr">
        <is>
          <t>achat@centrepompidou.fr</t>
        </is>
      </c>
      <c r="J50" t="inlineStr">
        <is>
          <t>0460210002</t>
        </is>
      </c>
      <c r="K50" t="inlineStr"/>
      <c r="L50" t="inlineStr"/>
      <c r="M50" t="inlineStr"/>
      <c r="N50" t="inlineStr">
        <is>
          <t>75</t>
        </is>
      </c>
      <c r="O50" t="inlineStr"/>
      <c r="P50" t="inlineStr">
        <is>
          <t>Ile-de-France</t>
        </is>
      </c>
      <c r="Q50" s="15" t="n">
        <v>46192</v>
      </c>
      <c r="R50" s="15" t="n">
        <v>46223</v>
      </c>
      <c r="S50" s="14" t="n">
        <v>600000</v>
      </c>
      <c r="T50" t="inlineStr">
        <is>
          <t>BUDGET_EXPLICITE_OK</t>
        </is>
      </c>
      <c r="U50" t="inlineStr">
        <is>
          <t>600000.0</t>
        </is>
      </c>
      <c r="V50" t="inlineStr">
        <is>
          <t>non</t>
        </is>
      </c>
      <c r="W50" t="inlineStr">
        <is>
          <t>Batiments</t>
        </is>
      </c>
      <c r="X50" t="inlineStr">
        <is>
          <t>Autre</t>
        </is>
      </c>
      <c r="Y50" t="inlineStr">
        <is>
          <t>SERVICES</t>
        </is>
      </c>
      <c r="Z50" t="inlineStr">
        <is>
          <t>Procédure Ouverte</t>
        </is>
      </c>
      <c r="AA50" t="inlineStr">
        <is>
          <t>Avis de marché</t>
        </is>
      </c>
      <c r="AB50" t="inlineStr">
        <is>
          <t>Nettoyage de locaux</t>
        </is>
      </c>
      <c r="AC50" t="inlineStr">
        <is>
          <t>['sociaux', 'environnementaux']</t>
        </is>
      </c>
      <c r="AD50" s="11" t="inlineStr">
        <is>
          <t>https://www.boamp.fr/pages/avis/?q=idweb:26-60093</t>
        </is>
      </c>
      <c r="AE50" t="inlineStr">
        <is>
          <t>https://www.marches-publics.gouv.fr/</t>
        </is>
      </c>
      <c r="AF50" t="inlineStr">
        <is>
          <t>https://www.marches-publics.gouv.fr/</t>
        </is>
      </c>
      <c r="AG50" t="inlineStr">
        <is>
          <t>nettoyage, proprete</t>
        </is>
      </c>
      <c r="AH50" t="inlineStr">
        <is>
          <t>3</t>
        </is>
      </c>
      <c r="AI50" t="inlineStr">
        <is>
          <t>76</t>
        </is>
      </c>
      <c r="AJ50" t="inlineStr">
        <is>
          <t>INFO_PARTIELLE</t>
        </is>
      </c>
      <c r="AK50" t="inlineStr">
        <is>
          <t>40</t>
        </is>
      </c>
      <c r="AL50" t="inlineStr">
        <is>
          <t>TIEDE</t>
        </is>
      </c>
      <c r="AM50" t="inlineStr"/>
      <c r="AN50" t="inlineStr"/>
      <c r="AO50" t="inlineStr"/>
      <c r="AP50" t="inlineStr"/>
      <c r="AQ50" t="inlineStr">
        <is>
          <t>IA_CONTACT_A_COMPLETER</t>
        </is>
      </c>
      <c r="AR50" t="inlineStr">
        <is>
          <t>Completer les champs manquants depuis l'avis source, le site acheteur ou le DCE.</t>
        </is>
      </c>
      <c r="AS50" t="inlineStr">
        <is>
          <t>adresse, ville</t>
        </is>
      </c>
      <c r="AT5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26-60093. Objet: Mise en propreté des abords du site principal du Centre National d’Art et de Culture Georges Pompidou et des bâtiments annexes (CNAC-GP) (2 lots) - Vague 2 : lot 2 (26-CP04-044-AC). Acheteur: CENTRE POMPIDOU. Lien: https://www.boamp.fr/pages/avis/?q=idweb:26-60093.</t>
        </is>
      </c>
      <c r="AU50" t="inlineStr">
        <is>
          <t>Verifier url_avis et DCE si disponible</t>
        </is>
      </c>
      <c r="AV50" t="inlineStr"/>
      <c r="AW50" t="inlineStr"/>
      <c r="AX50" t="inlineStr"/>
      <c r="AY50" t="inlineStr"/>
      <c r="AZ50" t="inlineStr"/>
      <c r="BA50" t="inlineStr"/>
      <c r="BB50" t="inlineStr">
        <is>
          <t>+35 nettoyage + categorie claire | -20 gros budget (&gt; 500 000 EUR) | +15 procedure adaptee / MAPA / allotissement | +10 delai confortable 17j</t>
        </is>
      </c>
      <c r="BC50"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50"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50"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50" t="inlineStr"/>
      <c r="BG50" t="inlineStr"/>
      <c r="BH50" t="inlineStr"/>
      <c r="BI50" t="inlineStr"/>
      <c r="BJ50" t="inlineStr"/>
      <c r="BK50" t="inlineStr"/>
      <c r="BL50" t="inlineStr"/>
      <c r="BM50" t="inlineStr">
        <is>
          <t>2026-W25</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 xmlns:r="http://schemas.openxmlformats.org/officeDocument/2006/relationships" ref="AD39" r:id="rId38"/>
    <hyperlink xmlns:r="http://schemas.openxmlformats.org/officeDocument/2006/relationships" ref="AD40" r:id="rId39"/>
    <hyperlink xmlns:r="http://schemas.openxmlformats.org/officeDocument/2006/relationships" ref="AD41" r:id="rId40"/>
    <hyperlink xmlns:r="http://schemas.openxmlformats.org/officeDocument/2006/relationships" ref="AD42" r:id="rId41"/>
    <hyperlink xmlns:r="http://schemas.openxmlformats.org/officeDocument/2006/relationships" ref="AD43" r:id="rId42"/>
    <hyperlink xmlns:r="http://schemas.openxmlformats.org/officeDocument/2006/relationships" ref="AD44" r:id="rId43"/>
    <hyperlink xmlns:r="http://schemas.openxmlformats.org/officeDocument/2006/relationships" ref="AD45" r:id="rId44"/>
    <hyperlink xmlns:r="http://schemas.openxmlformats.org/officeDocument/2006/relationships" ref="AD46" r:id="rId45"/>
    <hyperlink xmlns:r="http://schemas.openxmlformats.org/officeDocument/2006/relationships" ref="AD47" r:id="rId46"/>
    <hyperlink xmlns:r="http://schemas.openxmlformats.org/officeDocument/2006/relationships" ref="AD48" r:id="rId47"/>
    <hyperlink xmlns:r="http://schemas.openxmlformats.org/officeDocument/2006/relationships" ref="AD49" r:id="rId48"/>
    <hyperlink xmlns:r="http://schemas.openxmlformats.org/officeDocument/2006/relationships" ref="AD50" r:id="rId49"/>
  </hyperlinks>
  <pageMargins left="0.75" right="0.75" top="1" bottom="1" header="0.5" footer="0.5"/>
  <tableParts count="1">
    <tablePart xmlns:r="http://schemas.openxmlformats.org/officeDocument/2006/relationships" r:id="rId50"/>
  </tableParts>
</worksheet>
</file>

<file path=xl/worksheets/sheet11.xml><?xml version="1.0" encoding="utf-8"?>
<worksheet xmlns="http://schemas.openxmlformats.org/spreadsheetml/2006/main">
  <sheetPr>
    <outlinePr summaryBelow="1" summaryRight="1"/>
    <pageSetUpPr/>
  </sheetPr>
  <dimension ref="A1:D5"/>
  <sheetViews>
    <sheetView workbookViewId="0">
      <pane ySplit="1" topLeftCell="A2" activePane="bottomLeft" state="frozen"/>
      <selection pane="bottomLeft" activeCell="A1" sqref="A1"/>
    </sheetView>
  </sheetViews>
  <sheetFormatPr baseColWidth="8" defaultRowHeight="15"/>
  <cols>
    <col width="24" customWidth="1" min="1" max="1"/>
    <col width="55" customWidth="1" min="2" max="2"/>
    <col width="55" customWidth="1" min="3" max="3"/>
    <col width="55" customWidth="1" min="4" max="4"/>
  </cols>
  <sheetData>
    <row r="1">
      <c r="A1" s="12" t="inlineStr">
        <is>
          <t>cas</t>
        </is>
      </c>
      <c r="B1" s="12" t="inlineStr">
        <is>
          <t>quand_utiliser</t>
        </is>
      </c>
      <c r="C1" s="12" t="inlineStr">
        <is>
          <t>action_agent</t>
        </is>
      </c>
      <c r="D1" s="12" t="inlineStr">
        <is>
          <t>sortie_attendue</t>
        </is>
      </c>
    </row>
    <row r="2">
      <c r="A2" t="inlineStr">
        <is>
          <t>IA_DCE_REQUISE</t>
        </is>
      </c>
      <c r="B2" t="inlineStr">
        <is>
          <t>La ligne manque de contact, budget ou informations critiques.</t>
        </is>
      </c>
      <c r="C2" t="inlineStr">
        <is>
          <t>Lire l'avis source, puis telecharger ou consulter le DCE si necessaire.</t>
        </is>
      </c>
      <c r="D2" t="inlineStr">
        <is>
          <t>Champs complets ou mention 'non trouve' avec preuve.</t>
        </is>
      </c>
    </row>
    <row r="3">
      <c r="A3" t="inlineStr">
        <is>
          <t>IA_BUDGET_A_VERIFIER</t>
        </is>
      </c>
      <c r="B3" t="inlineStr">
        <is>
          <t>Le budget n'est pas explicite dans la ligne Excel.</t>
        </is>
      </c>
      <c r="C3" t="inlineStr">
        <is>
          <t>Chercher montant, valeur estimee, montant maximum ou accord-cadre dans l'avis/DCE.</t>
        </is>
      </c>
      <c r="D3" t="inlineStr">
        <is>
          <t>Budget confirme, budget non trouve, ou budget sous seuil.</t>
        </is>
      </c>
    </row>
    <row r="4">
      <c r="A4" t="inlineStr">
        <is>
          <t>IA_CONTACT_A_COMPLETER</t>
        </is>
      </c>
      <c r="B4" t="inlineStr">
        <is>
          <t>Email, telephone, SIRET, adresse ou ville manquent.</t>
        </is>
      </c>
      <c r="C4" t="inlineStr">
        <is>
          <t>Chercher dans l'avis, le profil acheteur, le site institutionnel et le DCE.</t>
        </is>
      </c>
      <c r="D4" t="inlineStr">
        <is>
          <t>Coordonnees verifiees et source de preuve.</t>
        </is>
      </c>
    </row>
    <row r="5">
      <c r="A5" t="inlineStr">
        <is>
          <t>IA_CONTROLE_SOURCE</t>
        </is>
      </c>
      <c r="B5" t="inlineStr">
        <is>
          <t>La ligne semble complete.</t>
        </is>
      </c>
      <c r="C5" t="inlineStr">
        <is>
          <t>Verifier que l'objet, le delai, le budget et le perimetre correspondent bien a CHRUTH.</t>
        </is>
      </c>
      <c r="D5" t="inlineStr">
        <is>
          <t>Decision : contacter, surveiller, non pertinent.</t>
        </is>
      </c>
    </row>
  </sheetData>
  <pageMargins left="0.75" right="0.75" top="1" bottom="1" header="0.5" footer="0.5"/>
  <tableParts count="1">
    <tablePart xmlns:r="http://schemas.openxmlformats.org/officeDocument/2006/relationships" r:id="rId1"/>
  </tableParts>
</worksheet>
</file>

<file path=xl/worksheets/sheet12.xml><?xml version="1.0" encoding="utf-8"?>
<worksheet xmlns="http://schemas.openxmlformats.org/spreadsheetml/2006/main">
  <sheetPr>
    <outlinePr summaryBelow="1" summaryRight="1"/>
    <pageSetUpPr/>
  </sheetPr>
  <dimension ref="A1:C17"/>
  <sheetViews>
    <sheetView workbookViewId="0">
      <pane ySplit="1" topLeftCell="A2" activePane="bottomLeft" state="frozen"/>
      <selection pane="bottomLeft" activeCell="A1" sqref="A1"/>
    </sheetView>
  </sheetViews>
  <sheetFormatPr baseColWidth="8" defaultRowHeight="15"/>
  <cols>
    <col width="20" customWidth="1" min="1" max="1"/>
    <col width="53" customWidth="1" min="2" max="2"/>
    <col width="12" customWidth="1" min="3" max="3"/>
  </cols>
  <sheetData>
    <row r="1">
      <c r="A1" s="12" t="inlineStr">
        <is>
          <t>critere</t>
        </is>
      </c>
      <c r="B1" s="12" t="inlineStr">
        <is>
          <t>regle</t>
        </is>
      </c>
      <c r="C1" s="12" t="inlineStr">
        <is>
          <t>points</t>
        </is>
      </c>
    </row>
    <row r="2">
      <c r="A2" t="inlineStr">
        <is>
          <t>Nettoyage</t>
        </is>
      </c>
      <c r="B2" t="inlineStr">
        <is>
          <t>Mot-cle fort + categorie claire</t>
        </is>
      </c>
      <c r="C2" t="n">
        <v>35</v>
      </c>
    </row>
    <row r="3">
      <c r="A3" t="inlineStr">
        <is>
          <t>Nettoyage</t>
        </is>
      </c>
      <c r="B3" t="inlineStr">
        <is>
          <t>Mot-cle secondaire seulement</t>
        </is>
      </c>
      <c r="C3" t="n">
        <v>15</v>
      </c>
    </row>
    <row r="4">
      <c r="A4" t="inlineStr">
        <is>
          <t>Budget (annualise)</t>
        </is>
      </c>
      <c r="B4" t="inlineStr">
        <is>
          <t>&lt;= 50 000 EUR / an (cible PME)</t>
        </is>
      </c>
      <c r="C4" t="n">
        <v>25</v>
      </c>
    </row>
    <row r="5">
      <c r="A5" t="inlineStr">
        <is>
          <t>Budget (annualise)</t>
        </is>
      </c>
      <c r="B5" t="inlineStr">
        <is>
          <t>50 000 - 100 000 EUR / an</t>
        </is>
      </c>
      <c r="C5" t="n">
        <v>20</v>
      </c>
    </row>
    <row r="6">
      <c r="A6" t="inlineStr">
        <is>
          <t>Budget (annualise)</t>
        </is>
      </c>
      <c r="B6" t="inlineStr">
        <is>
          <t>100 000 - 200 000 EUR / an</t>
        </is>
      </c>
      <c r="C6" t="n">
        <v>5</v>
      </c>
    </row>
    <row r="7">
      <c r="A7" t="inlineStr">
        <is>
          <t>Budget (annualise)</t>
        </is>
      </c>
      <c r="B7" t="inlineStr">
        <is>
          <t>200 000 - 500 000 EUR / an</t>
        </is>
      </c>
      <c r="C7" t="n">
        <v>-10</v>
      </c>
    </row>
    <row r="8">
      <c r="A8" t="inlineStr">
        <is>
          <t>Budget (annualise)</t>
        </is>
      </c>
      <c r="B8" t="inlineStr">
        <is>
          <t>&gt; 500 000 EUR / an (gros groupe)</t>
        </is>
      </c>
      <c r="C8" t="n">
        <v>-20</v>
      </c>
    </row>
    <row r="9">
      <c r="A9" t="inlineStr">
        <is>
          <t>Budget (annualise)</t>
        </is>
      </c>
      <c r="B9" t="inlineStr">
        <is>
          <t>Non affiche (frequent MAPA)</t>
        </is>
      </c>
      <c r="C9" t="n">
        <v>10</v>
      </c>
    </row>
    <row r="10">
      <c r="A10" t="inlineStr">
        <is>
          <t>Procedure</t>
        </is>
      </c>
      <c r="B10" t="inlineStr">
        <is>
          <t>Procedure adaptee / MAPA / allotissement</t>
        </is>
      </c>
      <c r="C10" t="n">
        <v>15</v>
      </c>
    </row>
    <row r="11">
      <c r="A11" t="inlineStr">
        <is>
          <t>Secteur cible</t>
        </is>
      </c>
      <c r="B11" t="inlineStr">
        <is>
          <t>Ecole / mairie / bat. admin / gymnase / mediatheque</t>
        </is>
      </c>
      <c r="C11" t="n">
        <v>10</v>
      </c>
    </row>
    <row r="12">
      <c r="A12" t="inlineStr">
        <is>
          <t>Delai</t>
        </is>
      </c>
      <c r="B12" t="inlineStr">
        <is>
          <t>Date limite confortable (&gt; 15 j)</t>
        </is>
      </c>
      <c r="C12" t="n">
        <v>10</v>
      </c>
    </row>
    <row r="13">
      <c r="A13" t="inlineStr">
        <is>
          <t>Delai</t>
        </is>
      </c>
      <c r="B13" t="inlineStr">
        <is>
          <t>Delai critique (&lt; 5 j)</t>
        </is>
      </c>
      <c r="C13" t="n">
        <v>-15</v>
      </c>
    </row>
    <row r="14">
      <c r="A14" t="inlineStr">
        <is>
          <t>Delai</t>
        </is>
      </c>
      <c r="B14" t="inlineStr">
        <is>
          <t>AO expire</t>
        </is>
      </c>
      <c r="C14" t="n">
        <v>-30</v>
      </c>
    </row>
    <row r="15">
      <c r="A15" t="inlineStr">
        <is>
          <t>Priorite</t>
        </is>
      </c>
      <c r="B15" t="inlineStr">
        <is>
          <t>Score &gt;= 65 et confiance suffisante</t>
        </is>
      </c>
      <c r="C15" t="inlineStr">
        <is>
          <t>CHAUD</t>
        </is>
      </c>
    </row>
    <row r="16">
      <c r="A16" t="inlineStr">
        <is>
          <t>Priorite</t>
        </is>
      </c>
      <c r="B16" t="inlineStr">
        <is>
          <t>Score &gt;= 40</t>
        </is>
      </c>
      <c r="C16" t="inlineStr">
        <is>
          <t>TIEDE</t>
        </is>
      </c>
    </row>
    <row r="17">
      <c r="A17" t="inlineStr">
        <is>
          <t>Priorite</t>
        </is>
      </c>
      <c r="B17" t="inlineStr">
        <is>
          <t>DCE requis / confiance faible</t>
        </is>
      </c>
      <c r="C17" t="inlineStr">
        <is>
          <t>A_VERIFIER</t>
        </is>
      </c>
    </row>
  </sheetData>
  <pageMargins left="0.75" right="0.75" top="1" bottom="1" header="0.5" footer="0.5"/>
  <tableParts count="1">
    <tablePart xmlns:r="http://schemas.openxmlformats.org/officeDocument/2006/relationships" r:id="rId1"/>
  </tableParts>
</worksheet>
</file>

<file path=xl/worksheets/sheet13.xml><?xml version="1.0" encoding="utf-8"?>
<worksheet xmlns="http://schemas.openxmlformats.org/spreadsheetml/2006/main">
  <sheetPr>
    <outlinePr summaryBelow="1" summaryRight="1"/>
    <pageSetUpPr/>
  </sheetPr>
  <dimension ref="A1:G58"/>
  <sheetViews>
    <sheetView workbookViewId="0">
      <pane ySplit="1" topLeftCell="A2" activePane="bottomLeft" state="frozen"/>
      <selection pane="bottomLeft" activeCell="A1" sqref="A1"/>
    </sheetView>
  </sheetViews>
  <sheetFormatPr baseColWidth="8" defaultRowHeight="15"/>
  <cols>
    <col width="55" customWidth="1" min="1" max="1"/>
    <col width="16" customWidth="1" min="2" max="2"/>
    <col width="10" customWidth="1" min="3" max="3"/>
    <col width="11" customWidth="1" min="4" max="4"/>
    <col width="12" customWidth="1" min="5" max="5"/>
    <col width="26" customWidth="1" min="6" max="6"/>
    <col width="12" customWidth="1" min="7" max="7"/>
  </cols>
  <sheetData>
    <row r="1">
      <c r="A1" s="12" t="inlineStr">
        <is>
          <t>acheteur</t>
        </is>
      </c>
      <c r="B1" s="12" t="inlineStr">
        <is>
          <t>siret_acheteur</t>
        </is>
      </c>
      <c r="C1" s="12" t="inlineStr">
        <is>
          <t>nb_ao</t>
        </is>
      </c>
      <c r="D1" s="12" t="inlineStr">
        <is>
          <t>score_max</t>
        </is>
      </c>
      <c r="E1" s="12" t="inlineStr">
        <is>
          <t>priorites</t>
        </is>
      </c>
      <c r="F1" s="12" t="inlineStr">
        <is>
          <t>villes</t>
        </is>
      </c>
      <c r="G1" s="12" t="inlineStr">
        <is>
          <t>dernier_ao</t>
        </is>
      </c>
    </row>
    <row r="2">
      <c r="A2" t="inlineStr">
        <is>
          <t>VILLE de PARIS - DFA - SDA</t>
        </is>
      </c>
      <c r="B2" t="inlineStr">
        <is>
          <t>21750001600019</t>
        </is>
      </c>
      <c r="C2" t="n">
        <v>1</v>
      </c>
      <c r="D2" t="n">
        <v>95</v>
      </c>
      <c r="E2" t="inlineStr">
        <is>
          <t>CHAUD</t>
        </is>
      </c>
      <c r="F2" t="inlineStr"/>
      <c r="G2" t="inlineStr">
        <is>
          <t>2026-06-28</t>
        </is>
      </c>
    </row>
    <row r="3">
      <c r="A3" t="inlineStr">
        <is>
          <t>MAIRIE DES LILAS</t>
        </is>
      </c>
      <c r="B3" t="inlineStr"/>
      <c r="C3" t="n">
        <v>1</v>
      </c>
      <c r="D3" t="n">
        <v>80</v>
      </c>
      <c r="E3" t="inlineStr">
        <is>
          <t>CHAUD</t>
        </is>
      </c>
      <c r="F3" t="inlineStr"/>
      <c r="G3" t="inlineStr">
        <is>
          <t>2026-06-14</t>
        </is>
      </c>
    </row>
    <row r="4">
      <c r="A4" t="inlineStr">
        <is>
          <t>Mairie d'Asnières sur Seine</t>
        </is>
      </c>
      <c r="B4" t="inlineStr">
        <is>
          <t>21920004500017</t>
        </is>
      </c>
      <c r="C4" t="n">
        <v>1</v>
      </c>
      <c r="D4" t="n">
        <v>75</v>
      </c>
      <c r="E4" t="inlineStr">
        <is>
          <t>CHAUD</t>
        </is>
      </c>
      <c r="F4" t="inlineStr">
        <is>
          <t>Asnières sur seine</t>
        </is>
      </c>
      <c r="G4" t="inlineStr">
        <is>
          <t>2026-07-03</t>
        </is>
      </c>
    </row>
    <row r="5">
      <c r="A5" t="inlineStr">
        <is>
          <t>Ville de Longjumeau</t>
        </is>
      </c>
      <c r="B5" t="inlineStr">
        <is>
          <t>21910345400225</t>
        </is>
      </c>
      <c r="C5" t="n">
        <v>1</v>
      </c>
      <c r="D5" t="n">
        <v>75</v>
      </c>
      <c r="E5" t="inlineStr">
        <is>
          <t>CHAUD</t>
        </is>
      </c>
      <c r="F5" t="inlineStr"/>
      <c r="G5" t="inlineStr">
        <is>
          <t>2026-06-20</t>
        </is>
      </c>
    </row>
    <row r="6">
      <c r="A6" t="inlineStr">
        <is>
          <t>DAPSA/PFAF-S</t>
        </is>
      </c>
      <c r="B6" t="inlineStr"/>
      <c r="C6" t="n">
        <v>1</v>
      </c>
      <c r="D6" t="n">
        <v>70</v>
      </c>
      <c r="E6" t="inlineStr">
        <is>
          <t>CHAUD</t>
        </is>
      </c>
      <c r="F6" t="inlineStr">
        <is>
          <t>FLEURY-LES-AUBRAIS CEDEX</t>
        </is>
      </c>
      <c r="G6" t="inlineStr">
        <is>
          <t>2026-06-09</t>
        </is>
      </c>
    </row>
    <row r="7">
      <c r="A7" t="inlineStr">
        <is>
          <t>MAIRIE DE ROMAINVILLE</t>
        </is>
      </c>
      <c r="B7" t="inlineStr">
        <is>
          <t>21930063900016</t>
        </is>
      </c>
      <c r="C7" t="n">
        <v>1</v>
      </c>
      <c r="D7" t="n">
        <v>70</v>
      </c>
      <c r="E7" t="inlineStr">
        <is>
          <t>CHAUD</t>
        </is>
      </c>
      <c r="F7" t="inlineStr">
        <is>
          <t>Romainville</t>
        </is>
      </c>
      <c r="G7" t="inlineStr">
        <is>
          <t>2026-06-10</t>
        </is>
      </c>
    </row>
    <row r="8">
      <c r="A8" t="inlineStr">
        <is>
          <t>Mairie de Mantes La Jolie</t>
        </is>
      </c>
      <c r="B8" t="inlineStr">
        <is>
          <t>21780361800016</t>
        </is>
      </c>
      <c r="C8" t="n">
        <v>1</v>
      </c>
      <c r="D8" t="n">
        <v>70</v>
      </c>
      <c r="E8" t="inlineStr">
        <is>
          <t>CHAUD</t>
        </is>
      </c>
      <c r="F8" t="inlineStr"/>
      <c r="G8" t="inlineStr">
        <is>
          <t>2026-06-03</t>
        </is>
      </c>
    </row>
    <row r="9">
      <c r="A9" t="inlineStr">
        <is>
          <t>Centre des Monuments Nationaux</t>
        </is>
      </c>
      <c r="B9" t="inlineStr">
        <is>
          <t>18004601300017</t>
        </is>
      </c>
      <c r="C9" t="n">
        <v>1</v>
      </c>
      <c r="D9" t="n">
        <v>65</v>
      </c>
      <c r="E9" t="inlineStr">
        <is>
          <t>CHAUD</t>
        </is>
      </c>
      <c r="F9" t="inlineStr"/>
      <c r="G9" t="inlineStr">
        <is>
          <t>2026-06-17</t>
        </is>
      </c>
    </row>
    <row r="10">
      <c r="A10" t="inlineStr">
        <is>
          <t>Commune de CHATILLON</t>
        </is>
      </c>
      <c r="B10" t="inlineStr"/>
      <c r="C10" t="n">
        <v>1</v>
      </c>
      <c r="D10" t="n">
        <v>65</v>
      </c>
      <c r="E10" t="inlineStr">
        <is>
          <t>CHAUD</t>
        </is>
      </c>
      <c r="F10" t="inlineStr"/>
      <c r="G10" t="inlineStr">
        <is>
          <t>2026-06-06</t>
        </is>
      </c>
    </row>
    <row r="11">
      <c r="A11" t="inlineStr">
        <is>
          <t>Commune de Montfermeil</t>
        </is>
      </c>
      <c r="B11" t="inlineStr">
        <is>
          <t>21930047200194</t>
        </is>
      </c>
      <c r="C11" t="n">
        <v>1</v>
      </c>
      <c r="D11" t="n">
        <v>65</v>
      </c>
      <c r="E11" t="inlineStr">
        <is>
          <t>CHAUD</t>
        </is>
      </c>
      <c r="F11" t="inlineStr"/>
      <c r="G11" t="inlineStr">
        <is>
          <t>2026-07-01</t>
        </is>
      </c>
    </row>
    <row r="12">
      <c r="A12" t="inlineStr">
        <is>
          <t>Commune de Saulx Les Chartreux</t>
        </is>
      </c>
      <c r="B12" t="inlineStr">
        <is>
          <t>21910587100012</t>
        </is>
      </c>
      <c r="C12" t="n">
        <v>1</v>
      </c>
      <c r="D12" t="n">
        <v>65</v>
      </c>
      <c r="E12" t="inlineStr">
        <is>
          <t>CHAUD</t>
        </is>
      </c>
      <c r="F12" t="inlineStr"/>
      <c r="G12" t="inlineStr">
        <is>
          <t>2026-06-27</t>
        </is>
      </c>
    </row>
    <row r="13">
      <c r="A13" t="inlineStr">
        <is>
          <t>ECOLE NATIONALE DES CHARTES</t>
        </is>
      </c>
      <c r="B13" t="inlineStr">
        <is>
          <t>19753478700043</t>
        </is>
      </c>
      <c r="C13" t="n">
        <v>1</v>
      </c>
      <c r="D13" t="n">
        <v>65</v>
      </c>
      <c r="E13" t="inlineStr">
        <is>
          <t>CHAUD</t>
        </is>
      </c>
      <c r="F13" t="inlineStr">
        <is>
          <t>Paris</t>
        </is>
      </c>
      <c r="G13" t="inlineStr">
        <is>
          <t>2026-06-24</t>
        </is>
      </c>
    </row>
    <row r="14">
      <c r="A14" t="inlineStr">
        <is>
          <t>ENC-PSL</t>
        </is>
      </c>
      <c r="B14" t="inlineStr">
        <is>
          <t>19753478700043</t>
        </is>
      </c>
      <c r="C14" t="n">
        <v>1</v>
      </c>
      <c r="D14" t="n">
        <v>65</v>
      </c>
      <c r="E14" t="inlineStr">
        <is>
          <t>CHAUD</t>
        </is>
      </c>
      <c r="F14" t="inlineStr">
        <is>
          <t>Paris</t>
        </is>
      </c>
      <c r="G14" t="inlineStr">
        <is>
          <t>2026-06-25</t>
        </is>
      </c>
    </row>
    <row r="15">
      <c r="A15" t="inlineStr">
        <is>
          <t>MAIRIE DE MERIEL</t>
        </is>
      </c>
      <c r="B15" t="inlineStr">
        <is>
          <t>21950392700010</t>
        </is>
      </c>
      <c r="C15" t="n">
        <v>1</v>
      </c>
      <c r="D15" t="n">
        <v>65</v>
      </c>
      <c r="E15" t="inlineStr">
        <is>
          <t>CHAUD</t>
        </is>
      </c>
      <c r="F15" t="inlineStr"/>
      <c r="G15" t="inlineStr">
        <is>
          <t>2026-06-21</t>
        </is>
      </c>
    </row>
    <row r="16">
      <c r="A16" t="inlineStr">
        <is>
          <t>MAIRIE DE SAINT-CLAIR-SUR6epte</t>
        </is>
      </c>
      <c r="B16" t="inlineStr">
        <is>
          <t>21950541900016</t>
        </is>
      </c>
      <c r="C16" t="n">
        <v>1</v>
      </c>
      <c r="D16" t="n">
        <v>65</v>
      </c>
      <c r="E16" t="inlineStr">
        <is>
          <t>CHAUD</t>
        </is>
      </c>
      <c r="F16" t="inlineStr"/>
      <c r="G16" t="inlineStr">
        <is>
          <t>2026-06-28</t>
        </is>
      </c>
    </row>
    <row r="17">
      <c r="A17" t="inlineStr">
        <is>
          <t>Mairie Boissy Saint Léger</t>
        </is>
      </c>
      <c r="B17" t="inlineStr">
        <is>
          <t>21940004100014</t>
        </is>
      </c>
      <c r="C17" t="n">
        <v>1</v>
      </c>
      <c r="D17" t="n">
        <v>65</v>
      </c>
      <c r="E17" t="inlineStr">
        <is>
          <t>CHAUD</t>
        </is>
      </c>
      <c r="F17" t="inlineStr"/>
      <c r="G17" t="inlineStr">
        <is>
          <t>2026-06-05</t>
        </is>
      </c>
    </row>
    <row r="18">
      <c r="A18" t="inlineStr">
        <is>
          <t>Pantin Habitat</t>
        </is>
      </c>
      <c r="B18" t="inlineStr">
        <is>
          <t>31162223700049</t>
        </is>
      </c>
      <c r="C18" t="n">
        <v>1</v>
      </c>
      <c r="D18" t="n">
        <v>65</v>
      </c>
      <c r="E18" t="inlineStr">
        <is>
          <t>CHAUD</t>
        </is>
      </c>
      <c r="F18" t="inlineStr">
        <is>
          <t>Pantin cedex</t>
        </is>
      </c>
      <c r="G18" t="inlineStr">
        <is>
          <t>2026-06-08</t>
        </is>
      </c>
    </row>
    <row r="19">
      <c r="A19" t="inlineStr">
        <is>
          <t>SPL LEVAPARC</t>
        </is>
      </c>
      <c r="B19" t="inlineStr"/>
      <c r="C19" t="n">
        <v>1</v>
      </c>
      <c r="D19" t="n">
        <v>65</v>
      </c>
      <c r="E19" t="inlineStr">
        <is>
          <t>CHAUD</t>
        </is>
      </c>
      <c r="F19" t="inlineStr"/>
      <c r="G19" t="inlineStr">
        <is>
          <t>2026-06-03</t>
        </is>
      </c>
    </row>
    <row r="20">
      <c r="A20" t="inlineStr">
        <is>
          <t>Ville de Fontenay-aux-Roses</t>
        </is>
      </c>
      <c r="B20" t="inlineStr"/>
      <c r="C20" t="n">
        <v>1</v>
      </c>
      <c r="D20" t="n">
        <v>65</v>
      </c>
      <c r="E20" t="inlineStr">
        <is>
          <t>CHAUD</t>
        </is>
      </c>
      <c r="F20" t="inlineStr"/>
      <c r="G20" t="inlineStr">
        <is>
          <t>2026-06-19</t>
        </is>
      </c>
    </row>
    <row r="21">
      <c r="A21" t="inlineStr">
        <is>
          <t>Commune de Villenoy</t>
        </is>
      </c>
      <c r="B21" t="inlineStr">
        <is>
          <t>21770513600109</t>
        </is>
      </c>
      <c r="C21" t="n">
        <v>1</v>
      </c>
      <c r="D21" t="n">
        <v>60</v>
      </c>
      <c r="E21" t="inlineStr">
        <is>
          <t>TIEDE</t>
        </is>
      </c>
      <c r="F21" t="inlineStr"/>
      <c r="G21" t="inlineStr">
        <is>
          <t>2026-07-01</t>
        </is>
      </c>
    </row>
    <row r="22">
      <c r="A22" t="inlineStr">
        <is>
          <t>MAIRIE DE VILLENEUVE-SAINT-GEORGES</t>
        </is>
      </c>
      <c r="B22" t="inlineStr">
        <is>
          <t>21940078500016</t>
        </is>
      </c>
      <c r="C22" t="n">
        <v>1</v>
      </c>
      <c r="D22" t="n">
        <v>60</v>
      </c>
      <c r="E22" t="inlineStr">
        <is>
          <t>TIEDE</t>
        </is>
      </c>
      <c r="F22" t="inlineStr"/>
      <c r="G22" t="inlineStr">
        <is>
          <t>2026-06-25</t>
        </is>
      </c>
    </row>
    <row r="23">
      <c r="A23" t="inlineStr">
        <is>
          <t>Mairie de Choisy-le-Roi</t>
        </is>
      </c>
      <c r="B23" t="inlineStr">
        <is>
          <t>21940022300018</t>
        </is>
      </c>
      <c r="C23" t="n">
        <v>1</v>
      </c>
      <c r="D23" t="n">
        <v>60</v>
      </c>
      <c r="E23" t="inlineStr">
        <is>
          <t>TIEDE</t>
        </is>
      </c>
      <c r="F23" t="inlineStr"/>
      <c r="G23" t="inlineStr">
        <is>
          <t>2026-06-27</t>
        </is>
      </c>
    </row>
    <row r="24">
      <c r="A24" t="inlineStr">
        <is>
          <t>Mairie de Combs-la-Ville</t>
        </is>
      </c>
      <c r="B24" t="inlineStr">
        <is>
          <t>17770704900017</t>
        </is>
      </c>
      <c r="C24" t="n">
        <v>1</v>
      </c>
      <c r="D24" t="n">
        <v>60</v>
      </c>
      <c r="E24" t="inlineStr">
        <is>
          <t>TIEDE</t>
        </is>
      </c>
      <c r="F24" t="inlineStr"/>
      <c r="G24" t="inlineStr">
        <is>
          <t>2026-06-05</t>
        </is>
      </c>
    </row>
    <row r="25">
      <c r="A25" t="inlineStr">
        <is>
          <t>Sitreva</t>
        </is>
      </c>
      <c r="B25" t="inlineStr">
        <is>
          <t>25280334100236</t>
        </is>
      </c>
      <c r="C25" t="n">
        <v>1</v>
      </c>
      <c r="D25" t="n">
        <v>60</v>
      </c>
      <c r="E25" t="inlineStr">
        <is>
          <t>TIEDE</t>
        </is>
      </c>
      <c r="F25" t="inlineStr">
        <is>
          <t>Rambouillet</t>
        </is>
      </c>
      <c r="G25" t="inlineStr">
        <is>
          <t>2026-06-05</t>
        </is>
      </c>
    </row>
    <row r="26">
      <c r="A26" t="inlineStr">
        <is>
          <t>Ville De Fontainebleau</t>
        </is>
      </c>
      <c r="B26" t="inlineStr"/>
      <c r="C26" t="n">
        <v>1</v>
      </c>
      <c r="D26" t="n">
        <v>60</v>
      </c>
      <c r="E26" t="inlineStr">
        <is>
          <t>TIEDE</t>
        </is>
      </c>
      <c r="F26" t="inlineStr">
        <is>
          <t>Fontainebleau</t>
        </is>
      </c>
      <c r="G26" t="inlineStr">
        <is>
          <t>2026-06-12</t>
        </is>
      </c>
    </row>
    <row r="27">
      <c r="A27" t="inlineStr">
        <is>
          <t>UNIVERSITE PARIS 8</t>
        </is>
      </c>
      <c r="B27" t="inlineStr">
        <is>
          <t>19931827000014</t>
        </is>
      </c>
      <c r="C27" t="n">
        <v>3</v>
      </c>
      <c r="D27" t="n">
        <v>55</v>
      </c>
      <c r="E27" t="inlineStr">
        <is>
          <t>TIEDE</t>
        </is>
      </c>
      <c r="F27" t="inlineStr"/>
      <c r="G27" t="inlineStr">
        <is>
          <t>2026-06-17</t>
        </is>
      </c>
    </row>
    <row r="28">
      <c r="A28" t="inlineStr">
        <is>
          <t>CNFPT - Direction de l'achat public</t>
        </is>
      </c>
      <c r="B28" t="inlineStr"/>
      <c r="C28" t="n">
        <v>2</v>
      </c>
      <c r="D28" t="n">
        <v>55</v>
      </c>
      <c r="E28" t="inlineStr">
        <is>
          <t>TIEDE</t>
        </is>
      </c>
      <c r="F28" t="inlineStr"/>
      <c r="G28" t="inlineStr">
        <is>
          <t>2026-06-28</t>
        </is>
      </c>
    </row>
    <row r="29">
      <c r="A29" t="inlineStr">
        <is>
          <t>CAF77</t>
        </is>
      </c>
      <c r="B29" t="inlineStr">
        <is>
          <t>17750111100476</t>
        </is>
      </c>
      <c r="C29" t="n">
        <v>1</v>
      </c>
      <c r="D29" t="n">
        <v>55</v>
      </c>
      <c r="E29" t="inlineStr">
        <is>
          <t>TIEDE</t>
        </is>
      </c>
      <c r="F29" t="inlineStr"/>
      <c r="G29" t="inlineStr">
        <is>
          <t>2026-07-05</t>
        </is>
      </c>
    </row>
    <row r="30">
      <c r="A30" t="inlineStr">
        <is>
          <t>Département de la Seine-Saint-Denis</t>
        </is>
      </c>
      <c r="B30" t="inlineStr"/>
      <c r="C30" t="n">
        <v>1</v>
      </c>
      <c r="D30" t="n">
        <v>55</v>
      </c>
      <c r="E30" t="inlineStr">
        <is>
          <t>TIEDE</t>
        </is>
      </c>
      <c r="F30" t="inlineStr"/>
      <c r="G30" t="inlineStr">
        <is>
          <t>2026-07-05</t>
        </is>
      </c>
    </row>
    <row r="31">
      <c r="A31" t="inlineStr">
        <is>
          <t>EPMS FONDATION HARDY</t>
        </is>
      </c>
      <c r="B31" t="inlineStr">
        <is>
          <t>26770033400019</t>
        </is>
      </c>
      <c r="C31" t="n">
        <v>1</v>
      </c>
      <c r="D31" t="n">
        <v>55</v>
      </c>
      <c r="E31" t="inlineStr">
        <is>
          <t>TIEDE</t>
        </is>
      </c>
      <c r="F31" t="inlineStr"/>
      <c r="G31" t="inlineStr">
        <is>
          <t>2026-07-05</t>
        </is>
      </c>
    </row>
    <row r="32">
      <c r="A32" t="inlineStr">
        <is>
          <t>MISSION LOCALE DE PARIS</t>
        </is>
      </c>
      <c r="B32" t="inlineStr">
        <is>
          <t>53132862300149</t>
        </is>
      </c>
      <c r="C32" t="n">
        <v>1</v>
      </c>
      <c r="D32" t="n">
        <v>55</v>
      </c>
      <c r="E32" t="inlineStr">
        <is>
          <t>TIEDE</t>
        </is>
      </c>
      <c r="F32" t="inlineStr"/>
      <c r="G32" t="inlineStr">
        <is>
          <t>2026-06-12</t>
        </is>
      </c>
    </row>
    <row r="33">
      <c r="A33" t="inlineStr">
        <is>
          <t>SIAH (Syndicat Mixte d’Aménagement Hydraulique du Croult et du Petit Rosne)</t>
        </is>
      </c>
      <c r="B33" t="inlineStr">
        <is>
          <t>20004931000010</t>
        </is>
      </c>
      <c r="C33" t="n">
        <v>1</v>
      </c>
      <c r="D33" t="n">
        <v>55</v>
      </c>
      <c r="E33" t="inlineStr">
        <is>
          <t>TIEDE</t>
        </is>
      </c>
      <c r="F33" t="inlineStr"/>
      <c r="G33" t="inlineStr">
        <is>
          <t>2026-07-01</t>
        </is>
      </c>
    </row>
    <row r="34">
      <c r="A34" t="inlineStr">
        <is>
          <t>Ville De Paris - Dfa - Sda</t>
        </is>
      </c>
      <c r="B34" t="inlineStr"/>
      <c r="C34" t="n">
        <v>1</v>
      </c>
      <c r="D34" t="n">
        <v>55</v>
      </c>
      <c r="E34" t="inlineStr">
        <is>
          <t>A_VERIFIER</t>
        </is>
      </c>
      <c r="F34" t="inlineStr"/>
      <c r="G34" t="inlineStr">
        <is>
          <t>2026-07-04</t>
        </is>
      </c>
    </row>
    <row r="35">
      <c r="A35" t="inlineStr">
        <is>
          <t>CREPS Île-de-France</t>
        </is>
      </c>
      <c r="B35" t="inlineStr">
        <is>
          <t>19921619300037</t>
        </is>
      </c>
      <c r="C35" t="n">
        <v>1</v>
      </c>
      <c r="D35" t="n">
        <v>50</v>
      </c>
      <c r="E35" t="inlineStr">
        <is>
          <t>TIEDE</t>
        </is>
      </c>
      <c r="F35" t="inlineStr"/>
      <c r="G35" t="inlineStr">
        <is>
          <t>2026-06-09</t>
        </is>
      </c>
    </row>
    <row r="36">
      <c r="A36" t="inlineStr">
        <is>
          <t>Communauté d'agglomération Plaine Vallée</t>
        </is>
      </c>
      <c r="B36" t="inlineStr">
        <is>
          <t>20005638000013</t>
        </is>
      </c>
      <c r="C36" t="n">
        <v>1</v>
      </c>
      <c r="D36" t="n">
        <v>50</v>
      </c>
      <c r="E36" t="inlineStr">
        <is>
          <t>TIEDE</t>
        </is>
      </c>
      <c r="F36" t="inlineStr"/>
      <c r="G36" t="inlineStr">
        <is>
          <t>2026-06-21</t>
        </is>
      </c>
    </row>
    <row r="37">
      <c r="A37" t="inlineStr">
        <is>
          <t>Direction régionale et interdépartementale de l'Environnement, de l'Aménagement et des Transports d'Ile-de-France (DRIEAT-IF)</t>
        </is>
      </c>
      <c r="B37" t="inlineStr">
        <is>
          <t>13002932500011</t>
        </is>
      </c>
      <c r="C37" t="n">
        <v>1</v>
      </c>
      <c r="D37" t="n">
        <v>50</v>
      </c>
      <c r="E37" t="inlineStr">
        <is>
          <t>TIEDE</t>
        </is>
      </c>
      <c r="F37" t="inlineStr"/>
      <c r="G37" t="inlineStr">
        <is>
          <t>2026-06-24</t>
        </is>
      </c>
    </row>
    <row r="38">
      <c r="A38" t="inlineStr">
        <is>
          <t>Hopitaux Universitaires Henri Mondor</t>
        </is>
      </c>
      <c r="B38" t="inlineStr">
        <is>
          <t>26750045200557</t>
        </is>
      </c>
      <c r="C38" t="n">
        <v>1</v>
      </c>
      <c r="D38" t="n">
        <v>50</v>
      </c>
      <c r="E38" t="inlineStr">
        <is>
          <t>TIEDE</t>
        </is>
      </c>
      <c r="F38" t="inlineStr"/>
      <c r="G38" t="inlineStr">
        <is>
          <t>2026-06-12</t>
        </is>
      </c>
    </row>
    <row r="39">
      <c r="A39" t="inlineStr">
        <is>
          <t>Syndicat interdépartemental pour l'assainissement de l'agglomération parisienne (SIAAP)</t>
        </is>
      </c>
      <c r="B39" t="inlineStr"/>
      <c r="C39" t="n">
        <v>1</v>
      </c>
      <c r="D39" t="n">
        <v>50</v>
      </c>
      <c r="E39" t="inlineStr">
        <is>
          <t>TIEDE</t>
        </is>
      </c>
      <c r="F39" t="inlineStr"/>
      <c r="G39" t="inlineStr">
        <is>
          <t>2026-06-25</t>
        </is>
      </c>
    </row>
    <row r="40">
      <c r="A40" t="inlineStr">
        <is>
          <t>Ville de Poissy</t>
        </is>
      </c>
      <c r="B40" t="inlineStr">
        <is>
          <t>17780005900012</t>
        </is>
      </c>
      <c r="C40" t="n">
        <v>1</v>
      </c>
      <c r="D40" t="n">
        <v>50</v>
      </c>
      <c r="E40" t="inlineStr">
        <is>
          <t>TIEDE</t>
        </is>
      </c>
      <c r="F40" t="inlineStr"/>
      <c r="G40" t="inlineStr">
        <is>
          <t>2026-06-06</t>
        </is>
      </c>
    </row>
    <row r="41">
      <c r="A41" t="inlineStr"/>
      <c r="B41" t="inlineStr"/>
      <c r="C41" t="n">
        <v>2</v>
      </c>
      <c r="D41" t="n">
        <v>45</v>
      </c>
      <c r="E41" t="inlineStr">
        <is>
          <t>A_VERIFIER</t>
        </is>
      </c>
      <c r="F41" t="inlineStr"/>
      <c r="G41" t="inlineStr">
        <is>
          <t>2026-06-21</t>
        </is>
      </c>
    </row>
    <row r="42">
      <c r="A42" t="inlineStr">
        <is>
          <t>Commune d'Alfortville</t>
        </is>
      </c>
      <c r="B42" t="inlineStr">
        <is>
          <t>21940002500017</t>
        </is>
      </c>
      <c r="C42" t="n">
        <v>1</v>
      </c>
      <c r="D42" t="n">
        <v>45</v>
      </c>
      <c r="E42" t="inlineStr">
        <is>
          <t>TIEDE</t>
        </is>
      </c>
      <c r="F42" t="inlineStr"/>
      <c r="G42" t="inlineStr">
        <is>
          <t>2026-06-21</t>
        </is>
      </c>
    </row>
    <row r="43">
      <c r="A43" t="inlineStr">
        <is>
          <t>Epms Fondation Hardy</t>
        </is>
      </c>
      <c r="B43" t="inlineStr"/>
      <c r="C43" t="n">
        <v>1</v>
      </c>
      <c r="D43" t="n">
        <v>45</v>
      </c>
      <c r="E43" t="inlineStr">
        <is>
          <t>A_VERIFIER</t>
        </is>
      </c>
      <c r="F43" t="inlineStr"/>
      <c r="G43" t="inlineStr">
        <is>
          <t>2026-07-05</t>
        </is>
      </c>
    </row>
    <row r="44">
      <c r="A44" t="inlineStr">
        <is>
          <t>OPPIC</t>
        </is>
      </c>
      <c r="B44" t="inlineStr">
        <is>
          <t>18009208200023</t>
        </is>
      </c>
      <c r="C44" t="n">
        <v>1</v>
      </c>
      <c r="D44" t="n">
        <v>45</v>
      </c>
      <c r="E44" t="inlineStr">
        <is>
          <t>TIEDE</t>
        </is>
      </c>
      <c r="F44" t="inlineStr"/>
      <c r="G44" t="inlineStr">
        <is>
          <t>2026-06-21</t>
        </is>
      </c>
    </row>
    <row r="45">
      <c r="A45" t="inlineStr">
        <is>
          <t>Ville de Montrouge</t>
        </is>
      </c>
      <c r="B45" t="inlineStr"/>
      <c r="C45" t="n">
        <v>1</v>
      </c>
      <c r="D45" t="n">
        <v>45</v>
      </c>
      <c r="E45" t="inlineStr">
        <is>
          <t>TIEDE</t>
        </is>
      </c>
      <c r="F45" t="inlineStr"/>
      <c r="G45" t="inlineStr">
        <is>
          <t>2026-06-11</t>
        </is>
      </c>
    </row>
    <row r="46">
      <c r="A46" t="inlineStr">
        <is>
          <t>CENTRE POMPIDOU</t>
        </is>
      </c>
      <c r="B46" t="inlineStr">
        <is>
          <t>18004602100028</t>
        </is>
      </c>
      <c r="C46" t="n">
        <v>1</v>
      </c>
      <c r="D46" t="n">
        <v>40</v>
      </c>
      <c r="E46" t="inlineStr">
        <is>
          <t>TIEDE</t>
        </is>
      </c>
      <c r="F46" t="inlineStr"/>
      <c r="G46" t="inlineStr">
        <is>
          <t>2026-06-19</t>
        </is>
      </c>
    </row>
    <row r="47">
      <c r="A47" t="inlineStr">
        <is>
          <t>Commune de Rueil-Malmaison</t>
        </is>
      </c>
      <c r="B47" t="inlineStr">
        <is>
          <t>21920063100014</t>
        </is>
      </c>
      <c r="C47" t="n">
        <v>1</v>
      </c>
      <c r="D47" t="n">
        <v>35</v>
      </c>
      <c r="E47" t="inlineStr">
        <is>
          <t>FROID</t>
        </is>
      </c>
      <c r="F47" t="inlineStr"/>
      <c r="G47" t="inlineStr">
        <is>
          <t>2026-06-24</t>
        </is>
      </c>
    </row>
    <row r="48">
      <c r="A48" t="inlineStr">
        <is>
          <t>SIGIDURS</t>
        </is>
      </c>
      <c r="B48" t="inlineStr">
        <is>
          <t>25950208600012</t>
        </is>
      </c>
      <c r="C48" t="n">
        <v>1</v>
      </c>
      <c r="D48" t="n">
        <v>35</v>
      </c>
      <c r="E48" t="inlineStr">
        <is>
          <t>FROID</t>
        </is>
      </c>
      <c r="F48" t="inlineStr">
        <is>
          <t>Sarcelles</t>
        </is>
      </c>
      <c r="G48" t="inlineStr">
        <is>
          <t>2026-06-17</t>
        </is>
      </c>
    </row>
    <row r="49">
      <c r="A49" t="inlineStr">
        <is>
          <t>Mairie de Maisons-Laffitte</t>
        </is>
      </c>
      <c r="B49" t="inlineStr">
        <is>
          <t>21780358400010</t>
        </is>
      </c>
      <c r="C49" t="n">
        <v>1</v>
      </c>
      <c r="D49" t="n">
        <v>30</v>
      </c>
      <c r="E49" t="inlineStr">
        <is>
          <t>FROID</t>
        </is>
      </c>
      <c r="F49" t="inlineStr"/>
      <c r="G49" t="inlineStr">
        <is>
          <t>2026-06-03</t>
        </is>
      </c>
    </row>
    <row r="50">
      <c r="A50" t="inlineStr">
        <is>
          <t>Centre nationale du cinéma</t>
        </is>
      </c>
      <c r="B50" t="inlineStr">
        <is>
          <t>18004603900186</t>
        </is>
      </c>
      <c r="C50" t="n">
        <v>1</v>
      </c>
      <c r="D50" t="n">
        <v>25</v>
      </c>
      <c r="E50" t="inlineStr">
        <is>
          <t>FROID</t>
        </is>
      </c>
      <c r="F50" t="inlineStr"/>
      <c r="G50" t="inlineStr">
        <is>
          <t>2026-06-24</t>
        </is>
      </c>
    </row>
    <row r="51">
      <c r="A51" t="inlineStr">
        <is>
          <t>Département du Val-de-Marne</t>
        </is>
      </c>
      <c r="B51" t="inlineStr">
        <is>
          <t>22940028800010</t>
        </is>
      </c>
      <c r="C51" t="n">
        <v>1</v>
      </c>
      <c r="D51" t="n">
        <v>25</v>
      </c>
      <c r="E51" t="inlineStr">
        <is>
          <t>FROID</t>
        </is>
      </c>
      <c r="F51" t="inlineStr"/>
      <c r="G51" t="inlineStr">
        <is>
          <t>2026-06-07</t>
        </is>
      </c>
    </row>
    <row r="52">
      <c r="A52" t="inlineStr">
        <is>
          <t>Etablissement Public Territorial Plaine Commune</t>
        </is>
      </c>
      <c r="B52" t="inlineStr">
        <is>
          <t>20005786700018</t>
        </is>
      </c>
      <c r="C52" t="n">
        <v>1</v>
      </c>
      <c r="D52" t="n">
        <v>25</v>
      </c>
      <c r="E52" t="inlineStr">
        <is>
          <t>FROID</t>
        </is>
      </c>
      <c r="F52" t="inlineStr"/>
      <c r="G52" t="inlineStr">
        <is>
          <t>2026-06-28</t>
        </is>
      </c>
    </row>
    <row r="53">
      <c r="A53" t="inlineStr">
        <is>
          <t>ville de Houilles</t>
        </is>
      </c>
      <c r="B53" t="inlineStr">
        <is>
          <t>21780311300018</t>
        </is>
      </c>
      <c r="C53" t="n">
        <v>1</v>
      </c>
      <c r="D53" t="n">
        <v>25</v>
      </c>
      <c r="E53" t="inlineStr">
        <is>
          <t>FROID</t>
        </is>
      </c>
      <c r="F53" t="inlineStr"/>
      <c r="G53" t="inlineStr">
        <is>
          <t>2026-07-01</t>
        </is>
      </c>
    </row>
    <row r="54">
      <c r="A54" t="inlineStr">
        <is>
          <t>CA GRAND PARIS SUD SEINE ESSONNE SENART</t>
        </is>
      </c>
      <c r="B54" t="inlineStr">
        <is>
          <t>20005922800011</t>
        </is>
      </c>
      <c r="C54" t="n">
        <v>1</v>
      </c>
      <c r="D54" t="n">
        <v>20</v>
      </c>
      <c r="E54" t="inlineStr">
        <is>
          <t>FROID</t>
        </is>
      </c>
      <c r="F54" t="inlineStr"/>
      <c r="G54" t="inlineStr">
        <is>
          <t>2026-06-21</t>
        </is>
      </c>
    </row>
    <row r="55">
      <c r="A55" t="inlineStr">
        <is>
          <t>Ratp Cap Ateliers Championnet</t>
        </is>
      </c>
      <c r="B55" t="inlineStr">
        <is>
          <t>17750111101763</t>
        </is>
      </c>
      <c r="C55" t="n">
        <v>1</v>
      </c>
      <c r="D55" t="n">
        <v>15</v>
      </c>
      <c r="E55" t="inlineStr">
        <is>
          <t>FROID</t>
        </is>
      </c>
      <c r="F55" t="inlineStr"/>
      <c r="G55" t="inlineStr">
        <is>
          <t>2026-06-03</t>
        </is>
      </c>
    </row>
    <row r="56">
      <c r="A56" t="inlineStr">
        <is>
          <t>Mairie de La Rochette</t>
        </is>
      </c>
      <c r="B56" t="inlineStr">
        <is>
          <t>21040170900014</t>
        </is>
      </c>
      <c r="C56" t="n">
        <v>1</v>
      </c>
      <c r="D56" t="n">
        <v>0</v>
      </c>
      <c r="E56" t="inlineStr">
        <is>
          <t>FROID</t>
        </is>
      </c>
      <c r="F56" t="inlineStr"/>
      <c r="G56" t="inlineStr">
        <is>
          <t>2026-06-07</t>
        </is>
      </c>
    </row>
    <row r="57">
      <c r="A57" t="inlineStr">
        <is>
          <t>Ministère de l'Intérieur</t>
        </is>
      </c>
      <c r="B57" t="inlineStr">
        <is>
          <t>12001404800074</t>
        </is>
      </c>
      <c r="C57" t="n">
        <v>1</v>
      </c>
      <c r="D57" t="n">
        <v>0</v>
      </c>
      <c r="E57" t="inlineStr">
        <is>
          <t>FROID</t>
        </is>
      </c>
      <c r="F57" t="inlineStr"/>
      <c r="G57" t="inlineStr">
        <is>
          <t>2026-06-07</t>
        </is>
      </c>
    </row>
    <row r="58">
      <c r="A58" t="inlineStr">
        <is>
          <t>Plate-forme commissariat Paris</t>
        </is>
      </c>
      <c r="B58" t="inlineStr">
        <is>
          <t>13001534000016</t>
        </is>
      </c>
      <c r="C58" t="n">
        <v>1</v>
      </c>
      <c r="D58" t="n">
        <v>0</v>
      </c>
      <c r="E58" t="inlineStr">
        <is>
          <t>FROID</t>
        </is>
      </c>
      <c r="F58" t="inlineStr"/>
      <c r="G58" t="inlineStr">
        <is>
          <t>2026-06-18</t>
        </is>
      </c>
    </row>
  </sheetData>
  <pageMargins left="0.75" right="0.75" top="1" bottom="1" header="0.5" footer="0.5"/>
  <tableParts count="1">
    <tablePart xmlns:r="http://schemas.openxmlformats.org/officeDocument/2006/relationships" r:id="rId1"/>
  </tableParts>
</worksheet>
</file>

<file path=xl/worksheets/sheet14.xml><?xml version="1.0" encoding="utf-8"?>
<worksheet xmlns="http://schemas.openxmlformats.org/spreadsheetml/2006/main">
  <sheetPr>
    <outlinePr summaryBelow="1" summaryRight="1"/>
    <pageSetUpPr/>
  </sheetPr>
  <dimension ref="A1:G18"/>
  <sheetViews>
    <sheetView workbookViewId="0">
      <pane ySplit="1" topLeftCell="A2" activePane="bottomLeft" state="frozen"/>
      <selection pane="bottomLeft" activeCell="A1" sqref="A1"/>
    </sheetView>
  </sheetViews>
  <sheetFormatPr baseColWidth="8" defaultRowHeight="15"/>
  <cols>
    <col width="13" customWidth="1" min="1" max="1"/>
    <col width="26" customWidth="1" min="2" max="2"/>
    <col width="10" customWidth="1" min="3" max="3"/>
    <col width="13" customWidth="1" min="4" max="4"/>
    <col width="10" customWidth="1" min="5" max="5"/>
    <col width="15" customWidth="1" min="6" max="6"/>
    <col width="55" customWidth="1" min="7" max="7"/>
  </cols>
  <sheetData>
    <row r="1">
      <c r="A1" s="12" t="inlineStr">
        <is>
          <t>departement</t>
        </is>
      </c>
      <c r="B1" s="12" t="inlineStr">
        <is>
          <t>ville</t>
        </is>
      </c>
      <c r="C1" s="12" t="inlineStr">
        <is>
          <t>nb_ao</t>
        </is>
      </c>
      <c r="D1" s="12" t="inlineStr">
        <is>
          <t>score_moyen</t>
        </is>
      </c>
      <c r="E1" s="12" t="inlineStr">
        <is>
          <t>nb_chaud</t>
        </is>
      </c>
      <c r="F1" s="12" t="inlineStr">
        <is>
          <t>nb_a_verifier</t>
        </is>
      </c>
      <c r="G1" s="12" t="inlineStr">
        <is>
          <t>acheteurs</t>
        </is>
      </c>
    </row>
    <row r="2">
      <c r="A2" t="inlineStr">
        <is>
          <t>92</t>
        </is>
      </c>
      <c r="B2" t="inlineStr"/>
      <c r="C2" t="n">
        <v>6</v>
      </c>
      <c r="D2" t="n">
        <v>54.2</v>
      </c>
      <c r="E2" t="n">
        <v>3</v>
      </c>
      <c r="F2" t="n">
        <v>0</v>
      </c>
      <c r="G2" t="inlineStr">
        <is>
          <t>Ville de Fontenay-aux-Roses, Commune de CHATILLON, SPL LEVAPARC, CREPS Île-de-France, Ville de Montrouge</t>
        </is>
      </c>
    </row>
    <row r="3">
      <c r="A3" t="inlineStr">
        <is>
          <t>75</t>
        </is>
      </c>
      <c r="B3" t="inlineStr">
        <is>
          <t>Paris</t>
        </is>
      </c>
      <c r="C3" t="n">
        <v>2</v>
      </c>
      <c r="D3" t="n">
        <v>65</v>
      </c>
      <c r="E3" t="n">
        <v>2</v>
      </c>
      <c r="F3" t="n">
        <v>0</v>
      </c>
      <c r="G3" t="inlineStr">
        <is>
          <t>ENC-PSL, ECOLE NATIONALE DES CHARTES</t>
        </is>
      </c>
    </row>
    <row r="4">
      <c r="A4" t="inlineStr">
        <is>
          <t>95</t>
        </is>
      </c>
      <c r="B4" t="inlineStr"/>
      <c r="C4" t="n">
        <v>4</v>
      </c>
      <c r="D4" t="n">
        <v>58.8</v>
      </c>
      <c r="E4" t="n">
        <v>2</v>
      </c>
      <c r="F4" t="n">
        <v>0</v>
      </c>
      <c r="G4" t="inlineStr">
        <is>
          <t>MAIRIE DE SAINT-CLAIR-SUR6epte, MAIRIE DE MERIEL, SIAH (Syndicat Mixte d’Aménagement Hydraulique du Croult et du Petit Rosne), Communauté d'agglomération Plaine Vallée</t>
        </is>
      </c>
    </row>
    <row r="5">
      <c r="A5" t="inlineStr">
        <is>
          <t>93</t>
        </is>
      </c>
      <c r="B5" t="inlineStr"/>
      <c r="C5" t="n">
        <v>7</v>
      </c>
      <c r="D5" t="n">
        <v>55.7</v>
      </c>
      <c r="E5" t="n">
        <v>2</v>
      </c>
      <c r="F5" t="n">
        <v>0</v>
      </c>
      <c r="G5" t="inlineStr">
        <is>
          <t>MAIRIE DES LILAS, Commune de Montfermeil, Département de la Seine-Saint-Denis, UNIVERSITE PARIS 8, Etablissement Public Territorial Plaine Commune</t>
        </is>
      </c>
    </row>
    <row r="6">
      <c r="A6" t="inlineStr">
        <is>
          <t>91</t>
        </is>
      </c>
      <c r="B6" t="inlineStr"/>
      <c r="C6" t="n">
        <v>3</v>
      </c>
      <c r="D6" t="n">
        <v>53.3</v>
      </c>
      <c r="E6" t="n">
        <v>2</v>
      </c>
      <c r="F6" t="n">
        <v>0</v>
      </c>
      <c r="G6" t="inlineStr">
        <is>
          <t>Ville de Longjumeau, Commune de Saulx Les Chartreux, CA GRAND PARIS SUD SEINE ESSONNE SENART</t>
        </is>
      </c>
    </row>
    <row r="7">
      <c r="A7" t="inlineStr">
        <is>
          <t>75</t>
        </is>
      </c>
      <c r="B7" t="inlineStr"/>
      <c r="C7" t="n">
        <v>14</v>
      </c>
      <c r="D7" t="n">
        <v>46.8</v>
      </c>
      <c r="E7" t="n">
        <v>2</v>
      </c>
      <c r="F7" t="n">
        <v>0</v>
      </c>
      <c r="G7" t="inlineStr">
        <is>
          <t>VILLE de PARIS - DFA - SDA, Centre des Monuments Nationaux, CAF77, CNFPT - Direction de l'achat public, MISSION LOCALE DE PARIS</t>
        </is>
      </c>
    </row>
    <row r="8">
      <c r="A8" t="inlineStr">
        <is>
          <t>92</t>
        </is>
      </c>
      <c r="B8" t="inlineStr">
        <is>
          <t>Asnières sur seine</t>
        </is>
      </c>
      <c r="C8" t="n">
        <v>1</v>
      </c>
      <c r="D8" t="n">
        <v>75</v>
      </c>
      <c r="E8" t="n">
        <v>1</v>
      </c>
      <c r="F8" t="n">
        <v>0</v>
      </c>
      <c r="G8" t="inlineStr">
        <is>
          <t>Mairie d'Asnières sur Seine</t>
        </is>
      </c>
    </row>
    <row r="9">
      <c r="A9" t="inlineStr">
        <is>
          <t>92</t>
        </is>
      </c>
      <c r="B9" t="inlineStr">
        <is>
          <t>FLEURY-LES-AUBRAIS CEDEX</t>
        </is>
      </c>
      <c r="C9" t="n">
        <v>1</v>
      </c>
      <c r="D9" t="n">
        <v>70</v>
      </c>
      <c r="E9" t="n">
        <v>1</v>
      </c>
      <c r="F9" t="n">
        <v>0</v>
      </c>
      <c r="G9" t="inlineStr">
        <is>
          <t>DAPSA/PFAF-S</t>
        </is>
      </c>
    </row>
    <row r="10">
      <c r="A10" t="inlineStr">
        <is>
          <t>93</t>
        </is>
      </c>
      <c r="B10" t="inlineStr">
        <is>
          <t>Romainville</t>
        </is>
      </c>
      <c r="C10" t="n">
        <v>1</v>
      </c>
      <c r="D10" t="n">
        <v>70</v>
      </c>
      <c r="E10" t="n">
        <v>1</v>
      </c>
      <c r="F10" t="n">
        <v>0</v>
      </c>
      <c r="G10" t="inlineStr">
        <is>
          <t>MAIRIE DE ROMAINVILLE</t>
        </is>
      </c>
    </row>
    <row r="11">
      <c r="A11" t="inlineStr">
        <is>
          <t>93</t>
        </is>
      </c>
      <c r="B11" t="inlineStr">
        <is>
          <t>Pantin cedex</t>
        </is>
      </c>
      <c r="C11" t="n">
        <v>1</v>
      </c>
      <c r="D11" t="n">
        <v>65</v>
      </c>
      <c r="E11" t="n">
        <v>1</v>
      </c>
      <c r="F11" t="n">
        <v>0</v>
      </c>
      <c r="G11" t="inlineStr">
        <is>
          <t>Pantin Habitat</t>
        </is>
      </c>
    </row>
    <row r="12">
      <c r="A12" t="inlineStr">
        <is>
          <t>94</t>
        </is>
      </c>
      <c r="B12" t="inlineStr"/>
      <c r="C12" t="n">
        <v>5</v>
      </c>
      <c r="D12" t="n">
        <v>51</v>
      </c>
      <c r="E12" t="n">
        <v>1</v>
      </c>
      <c r="F12" t="n">
        <v>0</v>
      </c>
      <c r="G12" t="inlineStr">
        <is>
          <t>Mairie Boissy Saint Léger, Mairie de Choisy-le-Roi, MAIRIE DE VILLENEUVE-SAINT-GEORGES, Commune d'Alfortville, Département du Val-de-Marne</t>
        </is>
      </c>
    </row>
    <row r="13">
      <c r="A13" t="inlineStr">
        <is>
          <t>78</t>
        </is>
      </c>
      <c r="B13" t="inlineStr"/>
      <c r="C13" t="n">
        <v>5</v>
      </c>
      <c r="D13" t="n">
        <v>35</v>
      </c>
      <c r="E13" t="n">
        <v>1</v>
      </c>
      <c r="F13" t="n">
        <v>0</v>
      </c>
      <c r="G13" t="inlineStr">
        <is>
          <t>Mairie de Mantes La Jolie, Ville de Poissy, Mairie de Maisons-Laffitte, ville de Houilles, Plate-forme commissariat Paris</t>
        </is>
      </c>
    </row>
    <row r="14">
      <c r="A14" t="inlineStr">
        <is>
          <t>77</t>
        </is>
      </c>
      <c r="B14" t="inlineStr">
        <is>
          <t>Fontainebleau</t>
        </is>
      </c>
      <c r="C14" t="n">
        <v>1</v>
      </c>
      <c r="D14" t="n">
        <v>60</v>
      </c>
      <c r="E14" t="n">
        <v>0</v>
      </c>
      <c r="F14" t="n">
        <v>0</v>
      </c>
      <c r="G14" t="inlineStr">
        <is>
          <t>Ville De Fontainebleau</t>
        </is>
      </c>
    </row>
    <row r="15">
      <c r="A15" t="inlineStr">
        <is>
          <t>78</t>
        </is>
      </c>
      <c r="B15" t="inlineStr">
        <is>
          <t>Rambouillet</t>
        </is>
      </c>
      <c r="C15" t="n">
        <v>1</v>
      </c>
      <c r="D15" t="n">
        <v>60</v>
      </c>
      <c r="E15" t="n">
        <v>0</v>
      </c>
      <c r="F15" t="n">
        <v>0</v>
      </c>
      <c r="G15" t="inlineStr">
        <is>
          <t>Sitreva</t>
        </is>
      </c>
    </row>
    <row r="16">
      <c r="A16" t="inlineStr"/>
      <c r="B16" t="inlineStr"/>
      <c r="C16" t="n">
        <v>4</v>
      </c>
      <c r="D16" t="n">
        <v>47.5</v>
      </c>
      <c r="E16" t="n">
        <v>0</v>
      </c>
      <c r="F16" t="n">
        <v>4</v>
      </c>
      <c r="G16" t="inlineStr">
        <is>
          <t>Ville De Paris - Dfa - Sda, Epms Fondation Hardy</t>
        </is>
      </c>
    </row>
    <row r="17">
      <c r="A17" t="inlineStr">
        <is>
          <t>77</t>
        </is>
      </c>
      <c r="B17" t="inlineStr"/>
      <c r="C17" t="n">
        <v>4</v>
      </c>
      <c r="D17" t="n">
        <v>43.8</v>
      </c>
      <c r="E17" t="n">
        <v>0</v>
      </c>
      <c r="F17" t="n">
        <v>0</v>
      </c>
      <c r="G17" t="inlineStr">
        <is>
          <t>Commune de Villenoy, Mairie de Combs-la-Ville, EPMS FONDATION HARDY, Mairie de La Rochette</t>
        </is>
      </c>
    </row>
    <row r="18">
      <c r="A18" t="inlineStr">
        <is>
          <t>95</t>
        </is>
      </c>
      <c r="B18" t="inlineStr">
        <is>
          <t>Sarcelles</t>
        </is>
      </c>
      <c r="C18" t="n">
        <v>1</v>
      </c>
      <c r="D18" t="n">
        <v>35</v>
      </c>
      <c r="E18" t="n">
        <v>0</v>
      </c>
      <c r="F18" t="n">
        <v>0</v>
      </c>
      <c r="G18" t="inlineStr">
        <is>
          <t>SIGIDURS</t>
        </is>
      </c>
    </row>
  </sheetData>
  <pageMargins left="0.75" right="0.75" top="1" bottom="1" header="0.5" footer="0.5"/>
  <tableParts count="1">
    <tablePart xmlns:r="http://schemas.openxmlformats.org/officeDocument/2006/relationships" r:id="rId1"/>
  </tableParts>
</worksheet>
</file>

<file path=xl/worksheets/sheet15.xml><?xml version="1.0" encoding="utf-8"?>
<worksheet xmlns="http://schemas.openxmlformats.org/spreadsheetml/2006/main">
  <sheetPr>
    <outlinePr summaryBelow="1" summaryRight="1"/>
    <pageSetUpPr/>
  </sheetPr>
  <dimension ref="A1:B221"/>
  <sheetViews>
    <sheetView workbookViewId="0">
      <pane ySplit="1" topLeftCell="A2" activePane="bottomLeft" state="frozen"/>
      <selection pane="bottomLeft" activeCell="A1" sqref="A1"/>
    </sheetView>
  </sheetViews>
  <sheetFormatPr baseColWidth="8" defaultRowHeight="15"/>
  <cols>
    <col width="26" customWidth="1" min="1" max="1"/>
    <col width="55" customWidth="1" min="2" max="2"/>
  </cols>
  <sheetData>
    <row r="1">
      <c r="A1" s="12" t="inlineStr">
        <is>
          <t>section</t>
        </is>
      </c>
      <c r="B1" s="12" t="inlineStr">
        <is>
          <t>contenu</t>
        </is>
      </c>
    </row>
    <row r="2">
      <c r="A2" t="inlineStr">
        <is>
          <t>1. Utilisation</t>
        </is>
      </c>
      <c r="B2" t="inlineStr">
        <is>
          <t>Enregistrer une copie du fichier en .xlsm, puis importer AO_CHRUTH_VBA.bas dans l'editeur VBA.</t>
        </is>
      </c>
    </row>
    <row r="3">
      <c r="A3" t="inlineStr">
        <is>
          <t>2. Bouton</t>
        </is>
      </c>
      <c r="B3" t="inlineStr">
        <is>
          <t>Creer une forme ou un bouton Excel et affecter la macro Update_AO_CHRUTH.</t>
        </is>
      </c>
    </row>
    <row r="4">
      <c r="A4" t="inlineStr">
        <is>
          <t>2b. Bouton notifications</t>
        </is>
      </c>
      <c r="B4" t="inlineStr">
        <is>
          <t>Creer un 2e bouton (ex. dans l'onglet Parametres) et affecter la macro Basculer_Notifications : il bascule Parametres!B2 entre ON/OFF (vert/rouge) et coupe/reactive les emails d'alerte. La cellule B2 affiche l'etat courant.</t>
        </is>
      </c>
    </row>
    <row r="5">
      <c r="A5" t="inlineStr">
        <is>
          <t>2c. Bouton collecte</t>
        </is>
      </c>
      <c r="B5" t="inlineStr">
        <is>
          <t>Creer un bouton dans Parametres et affecter la macro Basculer_Collecte_Donnees : il bascule Parametres!B3 entre ON/OFF et coupe/reactive la collecte reseau.</t>
        </is>
      </c>
    </row>
    <row r="6">
      <c r="A6" t="inlineStr">
        <is>
          <t>3. Securite</t>
        </is>
      </c>
      <c r="B6" t="inlineStr">
        <is>
          <t>Excel peut bloquer les macros. Activer seulement si le fichier reste local et controle.</t>
        </is>
      </c>
    </row>
    <row r="7">
      <c r="A7" t="inlineStr">
        <is>
          <t>4. Code VBA</t>
        </is>
      </c>
      <c r="B7" t="inlineStr">
        <is>
          <t>Le code complet est aussi exporte dans AO_CHRUTH_VBA.bas.</t>
        </is>
      </c>
    </row>
    <row r="8">
      <c r="A8" t="inlineStr">
        <is>
          <t>VBA</t>
        </is>
      </c>
      <c r="B8" t="inlineStr">
        <is>
          <t>Attribute VB_Name = "AO_CHRUTH"</t>
        </is>
      </c>
    </row>
    <row r="9">
      <c r="A9" t="inlineStr">
        <is>
          <t>VBA</t>
        </is>
      </c>
      <c r="B9" t="inlineStr">
        <is>
          <t>Option Explicit</t>
        </is>
      </c>
    </row>
    <row r="10">
      <c r="A10" t="inlineStr">
        <is>
          <t>VBA</t>
        </is>
      </c>
      <c r="B10" t="inlineStr"/>
    </row>
    <row r="11">
      <c r="A11" t="inlineStr">
        <is>
          <t>VBA</t>
        </is>
      </c>
      <c r="B11" t="inlineStr">
        <is>
          <t>Sub Update_AO_CHRUTH()</t>
        </is>
      </c>
    </row>
    <row r="12">
      <c r="A12" t="inlineStr">
        <is>
          <t>VBA</t>
        </is>
      </c>
      <c r="B12" t="inlineStr">
        <is>
          <t xml:space="preserve">    Dim projet As String</t>
        </is>
      </c>
    </row>
    <row r="13">
      <c r="A13" t="inlineStr">
        <is>
          <t>VBA</t>
        </is>
      </c>
      <c r="B13" t="inlineStr">
        <is>
          <t xml:space="preserve">    Dim region As String</t>
        </is>
      </c>
    </row>
    <row r="14">
      <c r="A14" t="inlineStr">
        <is>
          <t>VBA</t>
        </is>
      </c>
      <c r="B14" t="inlineStr">
        <is>
          <t xml:space="preserve">    Dim cmd As String</t>
        </is>
      </c>
    </row>
    <row r="15">
      <c r="A15" t="inlineStr">
        <is>
          <t>VBA</t>
        </is>
      </c>
      <c r="B15" t="inlineStr">
        <is>
          <t xml:space="preserve">    projet = ThisWorkbook.Path &amp; "\.."</t>
        </is>
      </c>
    </row>
    <row r="16">
      <c r="A16" t="inlineStr">
        <is>
          <t>VBA</t>
        </is>
      </c>
      <c r="B16" t="inlineStr">
        <is>
          <t xml:space="preserve">    region = ""</t>
        </is>
      </c>
    </row>
    <row r="17">
      <c r="A17" t="inlineStr">
        <is>
          <t>VBA</t>
        </is>
      </c>
      <c r="B17" t="inlineStr">
        <is>
          <t xml:space="preserve">    On Error Resume Next</t>
        </is>
      </c>
    </row>
    <row r="18">
      <c r="A18" t="inlineStr">
        <is>
          <t>VBA</t>
        </is>
      </c>
      <c r="B18" t="inlineStr">
        <is>
          <t xml:space="preserve">    region = Trim(CStr(ThisWorkbook.Sheets("Parametres").Range("B1").Value))</t>
        </is>
      </c>
    </row>
    <row r="19">
      <c r="A19" t="inlineStr">
        <is>
          <t>VBA</t>
        </is>
      </c>
      <c r="B19" t="inlineStr">
        <is>
          <t xml:space="preserve">    On Error GoTo 0</t>
        </is>
      </c>
    </row>
    <row r="20">
      <c r="A20" t="inlineStr">
        <is>
          <t>VBA</t>
        </is>
      </c>
      <c r="B20" t="inlineStr">
        <is>
          <t xml:space="preserve">    cmd = "cmd.exe /c cd /d """ &amp; projet &amp; """ &amp;&amp; python outils\refresh_runner.py ao"</t>
        </is>
      </c>
    </row>
    <row r="21">
      <c r="A21" t="inlineStr">
        <is>
          <t>VBA</t>
        </is>
      </c>
      <c r="B21" t="inlineStr">
        <is>
          <t xml:space="preserve">    If Len(region) &gt; 0 Then cmd = cmd &amp; " """ &amp; region &amp; """"</t>
        </is>
      </c>
    </row>
    <row r="22">
      <c r="A22" t="inlineStr">
        <is>
          <t>VBA</t>
        </is>
      </c>
      <c r="B22" t="inlineStr">
        <is>
          <t xml:space="preserve">    Shell cmd, vbNormalFocus</t>
        </is>
      </c>
    </row>
    <row r="23">
      <c r="A23" t="inlineStr">
        <is>
          <t>VBA</t>
        </is>
      </c>
      <c r="B23" t="inlineStr">
        <is>
          <t xml:space="preserve">    ThisWorkbook.Close SaveChanges:=False</t>
        </is>
      </c>
    </row>
    <row r="24">
      <c r="A24" t="inlineStr">
        <is>
          <t>VBA</t>
        </is>
      </c>
      <c r="B24" t="inlineStr">
        <is>
          <t>End Sub</t>
        </is>
      </c>
    </row>
    <row r="25">
      <c r="A25" t="inlineStr">
        <is>
          <t>VBA</t>
        </is>
      </c>
      <c r="B25" t="inlineStr"/>
    </row>
    <row r="26">
      <c r="A26" t="inlineStr">
        <is>
          <t>VBA</t>
        </is>
      </c>
      <c r="B26" t="inlineStr">
        <is>
          <t>Sub Aller_AO_Region()</t>
        </is>
      </c>
    </row>
    <row r="27">
      <c r="A27" t="inlineStr">
        <is>
          <t>VBA</t>
        </is>
      </c>
      <c r="B27" t="inlineStr">
        <is>
          <t xml:space="preserve">    On Error Resume Next</t>
        </is>
      </c>
    </row>
    <row r="28">
      <c r="A28" t="inlineStr">
        <is>
          <t>VBA</t>
        </is>
      </c>
      <c r="B28" t="inlineStr">
        <is>
          <t xml:space="preserve">    Sheets("AO_Region").Activate</t>
        </is>
      </c>
    </row>
    <row r="29">
      <c r="A29" t="inlineStr">
        <is>
          <t>VBA</t>
        </is>
      </c>
      <c r="B29" t="inlineStr">
        <is>
          <t xml:space="preserve">    On Error GoTo 0</t>
        </is>
      </c>
    </row>
    <row r="30">
      <c r="A30" t="inlineStr">
        <is>
          <t>VBA</t>
        </is>
      </c>
      <c r="B30" t="inlineStr">
        <is>
          <t>End Sub</t>
        </is>
      </c>
    </row>
    <row r="31">
      <c r="A31" t="inlineStr">
        <is>
          <t>VBA</t>
        </is>
      </c>
      <c r="B31" t="inlineStr"/>
    </row>
    <row r="32">
      <c r="A32" t="inlineStr">
        <is>
          <t>VBA</t>
        </is>
      </c>
      <c r="B32" t="inlineStr">
        <is>
          <t>Sub Aller_AO_Chauds()</t>
        </is>
      </c>
    </row>
    <row r="33">
      <c r="A33" t="inlineStr">
        <is>
          <t>VBA</t>
        </is>
      </c>
      <c r="B33" t="inlineStr">
        <is>
          <t xml:space="preserve">    Sheets("AO_CHAUDS").Activate</t>
        </is>
      </c>
    </row>
    <row r="34">
      <c r="A34" t="inlineStr">
        <is>
          <t>VBA</t>
        </is>
      </c>
      <c r="B34" t="inlineStr">
        <is>
          <t>End Sub</t>
        </is>
      </c>
    </row>
    <row r="35">
      <c r="A35" t="inlineStr">
        <is>
          <t>VBA</t>
        </is>
      </c>
      <c r="B35" t="inlineStr"/>
    </row>
    <row r="36">
      <c r="A36" t="inlineStr">
        <is>
          <t>VBA</t>
        </is>
      </c>
      <c r="B36" t="inlineStr">
        <is>
          <t>Sub Aller_CRM()</t>
        </is>
      </c>
    </row>
    <row r="37">
      <c r="A37" t="inlineStr">
        <is>
          <t>VBA</t>
        </is>
      </c>
      <c r="B37" t="inlineStr">
        <is>
          <t xml:space="preserve">    Sheets("CRM_Suivi").Activate</t>
        </is>
      </c>
    </row>
    <row r="38">
      <c r="A38" t="inlineStr">
        <is>
          <t>VBA</t>
        </is>
      </c>
      <c r="B38" t="inlineStr">
        <is>
          <t>End Sub</t>
        </is>
      </c>
    </row>
    <row r="39">
      <c r="A39" t="inlineStr">
        <is>
          <t>VBA</t>
        </is>
      </c>
      <c r="B39" t="inlineStr"/>
    </row>
    <row r="40">
      <c r="A40" t="inlineStr">
        <is>
          <t>VBA</t>
        </is>
      </c>
      <c r="B40" t="inlineStr">
        <is>
          <t>Sub Filtrer_AO_Chauds()</t>
        </is>
      </c>
    </row>
    <row r="41">
      <c r="A41" t="inlineStr">
        <is>
          <t>VBA</t>
        </is>
      </c>
      <c r="B41" t="inlineStr">
        <is>
          <t xml:space="preserve">    Sheets("AO_Tous").Activate</t>
        </is>
      </c>
    </row>
    <row r="42">
      <c r="A42" t="inlineStr">
        <is>
          <t>VBA</t>
        </is>
      </c>
      <c r="B42" t="inlineStr">
        <is>
          <t xml:space="preserve">    If ActiveSheet.AutoFilterMode Then ActiveSheet.AutoFilterMode = False</t>
        </is>
      </c>
    </row>
    <row r="43">
      <c r="A43" t="inlineStr">
        <is>
          <t>VBA</t>
        </is>
      </c>
      <c r="B43" t="inlineStr">
        <is>
          <t xml:space="preserve">    Range("A1").CurrentRegion.AutoFilter Field:=33, Criteria1:="CHAUD"</t>
        </is>
      </c>
    </row>
    <row r="44">
      <c r="A44" t="inlineStr">
        <is>
          <t>VBA</t>
        </is>
      </c>
      <c r="B44" t="inlineStr">
        <is>
          <t>End Sub</t>
        </is>
      </c>
    </row>
    <row r="45">
      <c r="A45" t="inlineStr">
        <is>
          <t>VBA</t>
        </is>
      </c>
      <c r="B45" t="inlineStr"/>
    </row>
    <row r="46">
      <c r="A46" t="inlineStr">
        <is>
          <t>VBA</t>
        </is>
      </c>
      <c r="B46" t="inlineStr">
        <is>
          <t>Sub Basculer_Collecte_Donnees()</t>
        </is>
      </c>
    </row>
    <row r="47">
      <c r="A47" t="inlineStr">
        <is>
          <t>VBA</t>
        </is>
      </c>
      <c r="B47" t="inlineStr">
        <is>
          <t xml:space="preserve">    ' Active / desactive la collecte reseau CHRUTH.</t>
        </is>
      </c>
    </row>
    <row r="48">
      <c r="A48" t="inlineStr">
        <is>
          <t>VBA</t>
        </is>
      </c>
      <c r="B48" t="inlineStr">
        <is>
          <t xml:space="preserve">    ' OFF = les boutons retraitent/exportent les donnees locales sans appeler BOAMP/DCE.</t>
        </is>
      </c>
    </row>
    <row r="49">
      <c r="A49" t="inlineStr">
        <is>
          <t>VBA</t>
        </is>
      </c>
      <c r="B49" t="inlineStr">
        <is>
          <t xml:space="preserve">    Dim ws As Worksheet</t>
        </is>
      </c>
    </row>
    <row r="50">
      <c r="A50" t="inlineStr">
        <is>
          <t>VBA</t>
        </is>
      </c>
      <c r="B50" t="inlineStr">
        <is>
          <t xml:space="preserve">    Dim etat As String</t>
        </is>
      </c>
    </row>
    <row r="51">
      <c r="A51" t="inlineStr">
        <is>
          <t>VBA</t>
        </is>
      </c>
      <c r="B51" t="inlineStr">
        <is>
          <t xml:space="preserve">    Dim nouveau As String</t>
        </is>
      </c>
    </row>
    <row r="52">
      <c r="A52" t="inlineStr">
        <is>
          <t>VBA</t>
        </is>
      </c>
      <c r="B52" t="inlineStr">
        <is>
          <t xml:space="preserve">    Dim projet As String</t>
        </is>
      </c>
    </row>
    <row r="53">
      <c r="A53" t="inlineStr">
        <is>
          <t>VBA</t>
        </is>
      </c>
      <c r="B53" t="inlineStr">
        <is>
          <t xml:space="preserve">    On Error Resume Next</t>
        </is>
      </c>
    </row>
    <row r="54">
      <c r="A54" t="inlineStr">
        <is>
          <t>VBA</t>
        </is>
      </c>
      <c r="B54" t="inlineStr">
        <is>
          <t xml:space="preserve">    Set ws = ThisWorkbook.Sheets("Parametres")</t>
        </is>
      </c>
    </row>
    <row r="55">
      <c r="A55" t="inlineStr">
        <is>
          <t>VBA</t>
        </is>
      </c>
      <c r="B55" t="inlineStr">
        <is>
          <t xml:space="preserve">    On Error GoTo 0</t>
        </is>
      </c>
    </row>
    <row r="56">
      <c r="A56" t="inlineStr">
        <is>
          <t>VBA</t>
        </is>
      </c>
      <c r="B56" t="inlineStr">
        <is>
          <t xml:space="preserve">    If ws Is Nothing Then</t>
        </is>
      </c>
    </row>
    <row r="57">
      <c r="A57" t="inlineStr">
        <is>
          <t>VBA</t>
        </is>
      </c>
      <c r="B57" t="inlineStr">
        <is>
          <t xml:space="preserve">        MsgBox "Onglet Parametres introuvable.", vbExclamation</t>
        </is>
      </c>
    </row>
    <row r="58">
      <c r="A58" t="inlineStr">
        <is>
          <t>VBA</t>
        </is>
      </c>
      <c r="B58" t="inlineStr">
        <is>
          <t xml:space="preserve">        Exit Sub</t>
        </is>
      </c>
    </row>
    <row r="59">
      <c r="A59" t="inlineStr">
        <is>
          <t>VBA</t>
        </is>
      </c>
      <c r="B59" t="inlineStr">
        <is>
          <t xml:space="preserve">    End If</t>
        </is>
      </c>
    </row>
    <row r="60">
      <c r="A60" t="inlineStr">
        <is>
          <t>VBA</t>
        </is>
      </c>
      <c r="B60" t="inlineStr">
        <is>
          <t xml:space="preserve">    etat = UCase(Trim(CStr(ws.Range("B3").Value)))</t>
        </is>
      </c>
    </row>
    <row r="61">
      <c r="A61" t="inlineStr">
        <is>
          <t>VBA</t>
        </is>
      </c>
      <c r="B61" t="inlineStr">
        <is>
          <t xml:space="preserve">    If etat = "OFF" Then</t>
        </is>
      </c>
    </row>
    <row r="62">
      <c r="A62" t="inlineStr">
        <is>
          <t>VBA</t>
        </is>
      </c>
      <c r="B62" t="inlineStr">
        <is>
          <t xml:space="preserve">        nouveau = "ON"</t>
        </is>
      </c>
    </row>
    <row r="63">
      <c r="A63" t="inlineStr">
        <is>
          <t>VBA</t>
        </is>
      </c>
      <c r="B63" t="inlineStr">
        <is>
          <t xml:space="preserve">    Else</t>
        </is>
      </c>
    </row>
    <row r="64">
      <c r="A64" t="inlineStr">
        <is>
          <t>VBA</t>
        </is>
      </c>
      <c r="B64" t="inlineStr">
        <is>
          <t xml:space="preserve">        nouveau = "OFF"</t>
        </is>
      </c>
    </row>
    <row r="65">
      <c r="A65" t="inlineStr">
        <is>
          <t>VBA</t>
        </is>
      </c>
      <c r="B65" t="inlineStr">
        <is>
          <t xml:space="preserve">    End If</t>
        </is>
      </c>
    </row>
    <row r="66">
      <c r="A66" t="inlineStr">
        <is>
          <t>VBA</t>
        </is>
      </c>
      <c r="B66" t="inlineStr">
        <is>
          <t xml:space="preserve">    ws.Range("B3").Value = nouveau</t>
        </is>
      </c>
    </row>
    <row r="67">
      <c r="A67" t="inlineStr">
        <is>
          <t>VBA</t>
        </is>
      </c>
      <c r="B67" t="inlineStr">
        <is>
          <t xml:space="preserve">    If nouveau = "ON" Then</t>
        </is>
      </c>
    </row>
    <row r="68">
      <c r="A68" t="inlineStr">
        <is>
          <t>VBA</t>
        </is>
      </c>
      <c r="B68" t="inlineStr">
        <is>
          <t xml:space="preserve">        ws.Range("B3").Interior.Color = RGB(198, 239, 206)</t>
        </is>
      </c>
    </row>
    <row r="69">
      <c r="A69" t="inlineStr">
        <is>
          <t>VBA</t>
        </is>
      </c>
      <c r="B69" t="inlineStr">
        <is>
          <t xml:space="preserve">    Else</t>
        </is>
      </c>
    </row>
    <row r="70">
      <c r="A70" t="inlineStr">
        <is>
          <t>VBA</t>
        </is>
      </c>
      <c r="B70" t="inlineStr">
        <is>
          <t xml:space="preserve">        ws.Range("B3").Interior.Color = RGB(255, 199, 206)</t>
        </is>
      </c>
    </row>
    <row r="71">
      <c r="A71" t="inlineStr">
        <is>
          <t>VBA</t>
        </is>
      </c>
      <c r="B71" t="inlineStr">
        <is>
          <t xml:space="preserve">    End If</t>
        </is>
      </c>
    </row>
    <row r="72">
      <c r="A72" t="inlineStr">
        <is>
          <t>VBA</t>
        </is>
      </c>
      <c r="B72" t="inlineStr">
        <is>
          <t xml:space="preserve">    projet = ThisWorkbook.Path &amp; "\.."</t>
        </is>
      </c>
    </row>
    <row r="73">
      <c r="A73" t="inlineStr">
        <is>
          <t>VBA</t>
        </is>
      </c>
      <c r="B73" t="inlineStr">
        <is>
          <t xml:space="preserve">    Shell "cmd.exe /c cd /d """ &amp; projet &amp; """ &amp;&amp; python outils\set_collecte.py " &amp; nouveau, vbHide</t>
        </is>
      </c>
    </row>
    <row r="74">
      <c r="A74" t="inlineStr">
        <is>
          <t>VBA</t>
        </is>
      </c>
      <c r="B74" t="inlineStr">
        <is>
          <t xml:space="preserve">    ThisWorkbook.Save</t>
        </is>
      </c>
    </row>
    <row r="75">
      <c r="A75" t="inlineStr">
        <is>
          <t>VBA</t>
        </is>
      </c>
      <c r="B75" t="inlineStr">
        <is>
          <t xml:space="preserve">    MsgBox "Collecte de donnees : " &amp; nouveau, vbInformation</t>
        </is>
      </c>
    </row>
    <row r="76">
      <c r="A76" t="inlineStr">
        <is>
          <t>VBA</t>
        </is>
      </c>
      <c r="B76" t="inlineStr">
        <is>
          <t>End Sub</t>
        </is>
      </c>
    </row>
    <row r="77">
      <c r="A77" t="inlineStr">
        <is>
          <t>VBA</t>
        </is>
      </c>
      <c r="B77" t="inlineStr"/>
    </row>
    <row r="78">
      <c r="A78" t="inlineStr">
        <is>
          <t>VBA</t>
        </is>
      </c>
      <c r="B78" t="inlineStr">
        <is>
          <t>Sub Basculer_Notifications()</t>
        </is>
      </c>
    </row>
    <row r="79">
      <c r="A79" t="inlineStr">
        <is>
          <t>VBA</t>
        </is>
      </c>
      <c r="B79" t="inlineStr">
        <is>
          <t xml:space="preserve">    ' Active / desactive les alertes email CHRUTH (coupe les emails seulement ;</t>
        </is>
      </c>
    </row>
    <row r="80">
      <c r="A80" t="inlineStr">
        <is>
          <t>VBA</t>
        </is>
      </c>
      <c r="B80" t="inlineStr">
        <is>
          <t xml:space="preserve">    ' la collecte et la mise a jour du tableur continuent). L'etat est persiste</t>
        </is>
      </c>
    </row>
    <row r="81">
      <c r="A81" t="inlineStr">
        <is>
          <t>VBA</t>
        </is>
      </c>
      <c r="B81" t="inlineStr">
        <is>
          <t xml:space="preserve">    ' cote Python via outils\set_notifications.py pour survivre aux refresh.</t>
        </is>
      </c>
    </row>
    <row r="82">
      <c r="A82" t="inlineStr">
        <is>
          <t>VBA</t>
        </is>
      </c>
      <c r="B82" t="inlineStr">
        <is>
          <t xml:space="preserve">    Dim ws As Worksheet</t>
        </is>
      </c>
    </row>
    <row r="83">
      <c r="A83" t="inlineStr">
        <is>
          <t>VBA</t>
        </is>
      </c>
      <c r="B83" t="inlineStr">
        <is>
          <t xml:space="preserve">    Dim etat As String</t>
        </is>
      </c>
    </row>
    <row r="84">
      <c r="A84" t="inlineStr">
        <is>
          <t>VBA</t>
        </is>
      </c>
      <c r="B84" t="inlineStr">
        <is>
          <t xml:space="preserve">    Dim nouveau As String</t>
        </is>
      </c>
    </row>
    <row r="85">
      <c r="A85" t="inlineStr">
        <is>
          <t>VBA</t>
        </is>
      </c>
      <c r="B85" t="inlineStr">
        <is>
          <t xml:space="preserve">    Dim projet As String</t>
        </is>
      </c>
    </row>
    <row r="86">
      <c r="A86" t="inlineStr">
        <is>
          <t>VBA</t>
        </is>
      </c>
      <c r="B86" t="inlineStr">
        <is>
          <t xml:space="preserve">    On Error Resume Next</t>
        </is>
      </c>
    </row>
    <row r="87">
      <c r="A87" t="inlineStr">
        <is>
          <t>VBA</t>
        </is>
      </c>
      <c r="B87" t="inlineStr">
        <is>
          <t xml:space="preserve">    Set ws = ThisWorkbook.Sheets("Parametres")</t>
        </is>
      </c>
    </row>
    <row r="88">
      <c r="A88" t="inlineStr">
        <is>
          <t>VBA</t>
        </is>
      </c>
      <c r="B88" t="inlineStr">
        <is>
          <t xml:space="preserve">    On Error GoTo 0</t>
        </is>
      </c>
    </row>
    <row r="89">
      <c r="A89" t="inlineStr">
        <is>
          <t>VBA</t>
        </is>
      </c>
      <c r="B89" t="inlineStr">
        <is>
          <t xml:space="preserve">    If ws Is Nothing Then</t>
        </is>
      </c>
    </row>
    <row r="90">
      <c r="A90" t="inlineStr">
        <is>
          <t>VBA</t>
        </is>
      </c>
      <c r="B90" t="inlineStr">
        <is>
          <t xml:space="preserve">        MsgBox "Onglet Parametres introuvable.", vbExclamation</t>
        </is>
      </c>
    </row>
    <row r="91">
      <c r="A91" t="inlineStr">
        <is>
          <t>VBA</t>
        </is>
      </c>
      <c r="B91" t="inlineStr">
        <is>
          <t xml:space="preserve">        Exit Sub</t>
        </is>
      </c>
    </row>
    <row r="92">
      <c r="A92" t="inlineStr">
        <is>
          <t>VBA</t>
        </is>
      </c>
      <c r="B92" t="inlineStr">
        <is>
          <t xml:space="preserve">    End If</t>
        </is>
      </c>
    </row>
    <row r="93">
      <c r="A93" t="inlineStr">
        <is>
          <t>VBA</t>
        </is>
      </c>
      <c r="B93" t="inlineStr">
        <is>
          <t xml:space="preserve">    etat = UCase(Trim(CStr(ws.Range("B2").Value)))</t>
        </is>
      </c>
    </row>
    <row r="94">
      <c r="A94" t="inlineStr">
        <is>
          <t>VBA</t>
        </is>
      </c>
      <c r="B94" t="inlineStr">
        <is>
          <t xml:space="preserve">    If etat = "OFF" Then</t>
        </is>
      </c>
    </row>
    <row r="95">
      <c r="A95" t="inlineStr">
        <is>
          <t>VBA</t>
        </is>
      </c>
      <c r="B95" t="inlineStr">
        <is>
          <t xml:space="preserve">        nouveau = "ON"</t>
        </is>
      </c>
    </row>
    <row r="96">
      <c r="A96" t="inlineStr">
        <is>
          <t>VBA</t>
        </is>
      </c>
      <c r="B96" t="inlineStr">
        <is>
          <t xml:space="preserve">    Else</t>
        </is>
      </c>
    </row>
    <row r="97">
      <c r="A97" t="inlineStr">
        <is>
          <t>VBA</t>
        </is>
      </c>
      <c r="B97" t="inlineStr">
        <is>
          <t xml:space="preserve">        nouveau = "OFF"</t>
        </is>
      </c>
    </row>
    <row r="98">
      <c r="A98" t="inlineStr">
        <is>
          <t>VBA</t>
        </is>
      </c>
      <c r="B98" t="inlineStr">
        <is>
          <t xml:space="preserve">    End If</t>
        </is>
      </c>
    </row>
    <row r="99">
      <c r="A99" t="inlineStr">
        <is>
          <t>VBA</t>
        </is>
      </c>
      <c r="B99" t="inlineStr">
        <is>
          <t xml:space="preserve">    ws.Range("B2").Value = nouveau</t>
        </is>
      </c>
    </row>
    <row r="100">
      <c r="A100" t="inlineStr">
        <is>
          <t>VBA</t>
        </is>
      </c>
      <c r="B100" t="inlineStr">
        <is>
          <t xml:space="preserve">    If nouveau = "ON" Then</t>
        </is>
      </c>
    </row>
    <row r="101">
      <c r="A101" t="inlineStr">
        <is>
          <t>VBA</t>
        </is>
      </c>
      <c r="B101" t="inlineStr">
        <is>
          <t xml:space="preserve">        ws.Range("B2").Interior.Color = RGB(198, 239, 206)</t>
        </is>
      </c>
    </row>
    <row r="102">
      <c r="A102" t="inlineStr">
        <is>
          <t>VBA</t>
        </is>
      </c>
      <c r="B102" t="inlineStr">
        <is>
          <t xml:space="preserve">    Else</t>
        </is>
      </c>
    </row>
    <row r="103">
      <c r="A103" t="inlineStr">
        <is>
          <t>VBA</t>
        </is>
      </c>
      <c r="B103" t="inlineStr">
        <is>
          <t xml:space="preserve">        ws.Range("B2").Interior.Color = RGB(255, 199, 206)</t>
        </is>
      </c>
    </row>
    <row r="104">
      <c r="A104" t="inlineStr">
        <is>
          <t>VBA</t>
        </is>
      </c>
      <c r="B104" t="inlineStr">
        <is>
          <t xml:space="preserve">    End If</t>
        </is>
      </c>
    </row>
    <row r="105">
      <c r="A105" t="inlineStr">
        <is>
          <t>VBA</t>
        </is>
      </c>
      <c r="B105" t="inlineStr">
        <is>
          <t xml:space="preserve">    projet = ThisWorkbook.Path &amp; "\.."</t>
        </is>
      </c>
    </row>
    <row r="106">
      <c r="A106" t="inlineStr">
        <is>
          <t>VBA</t>
        </is>
      </c>
      <c r="B106" t="inlineStr">
        <is>
          <t xml:space="preserve">    Shell "cmd.exe /c cd /d """ &amp; projet &amp; """ &amp;&amp; python outils\set_notifications.py " &amp; nouveau, vbHide</t>
        </is>
      </c>
    </row>
    <row r="107">
      <c r="A107" t="inlineStr">
        <is>
          <t>VBA</t>
        </is>
      </c>
      <c r="B107" t="inlineStr">
        <is>
          <t xml:space="preserve">    ThisWorkbook.Save</t>
        </is>
      </c>
    </row>
    <row r="108">
      <c r="A108" t="inlineStr">
        <is>
          <t>VBA</t>
        </is>
      </c>
      <c r="B108" t="inlineStr">
        <is>
          <t xml:space="preserve">    MsgBox "Notifications email : " &amp; nouveau, vbInformation</t>
        </is>
      </c>
    </row>
    <row r="109">
      <c r="A109" t="inlineStr">
        <is>
          <t>VBA</t>
        </is>
      </c>
      <c r="B109" t="inlineStr">
        <is>
          <t>End Sub</t>
        </is>
      </c>
    </row>
    <row r="110">
      <c r="A110" t="inlineStr">
        <is>
          <t>VBA</t>
        </is>
      </c>
      <c r="B110" t="inlineStr"/>
    </row>
    <row r="111">
      <c r="A111" t="inlineStr">
        <is>
          <t>VBA</t>
        </is>
      </c>
      <c r="B111" t="inlineStr">
        <is>
          <t>Sub Enregistrer_Destinataires()</t>
        </is>
      </c>
    </row>
    <row r="112">
      <c r="A112" t="inlineStr">
        <is>
          <t>VBA</t>
        </is>
      </c>
      <c r="B112" t="inlineStr">
        <is>
          <t xml:space="preserve">    ' Enregistre la liste des destinataires saisie dans l'onglet Parametres</t>
        </is>
      </c>
    </row>
    <row r="113">
      <c r="A113" t="inlineStr">
        <is>
          <t>VBA</t>
        </is>
      </c>
      <c r="B113" t="inlineStr">
        <is>
          <t xml:space="preserve">    ' (colonne B a partir de la ligne 5) pour les prochaines alertes email.</t>
        </is>
      </c>
    </row>
    <row r="114">
      <c r="A114" t="inlineStr">
        <is>
          <t>VBA</t>
        </is>
      </c>
      <c r="B114" t="inlineStr">
        <is>
          <t xml:space="preserve">    Dim projet As String</t>
        </is>
      </c>
    </row>
    <row r="115">
      <c r="A115" t="inlineStr">
        <is>
          <t>VBA</t>
        </is>
      </c>
      <c r="B115" t="inlineStr">
        <is>
          <t xml:space="preserve">    Dim sh As Object</t>
        </is>
      </c>
    </row>
    <row r="116">
      <c r="A116" t="inlineStr">
        <is>
          <t>VBA</t>
        </is>
      </c>
      <c r="B116" t="inlineStr">
        <is>
          <t xml:space="preserve">    Dim rc As Long</t>
        </is>
      </c>
    </row>
    <row r="117">
      <c r="A117" t="inlineStr">
        <is>
          <t>VBA</t>
        </is>
      </c>
      <c r="B117" t="inlineStr">
        <is>
          <t xml:space="preserve">    ThisWorkbook.Save</t>
        </is>
      </c>
    </row>
    <row r="118">
      <c r="A118" t="inlineStr">
        <is>
          <t>VBA</t>
        </is>
      </c>
      <c r="B118" t="inlineStr">
        <is>
          <t xml:space="preserve">    projet = ThisWorkbook.Path &amp; "\.."</t>
        </is>
      </c>
    </row>
    <row r="119">
      <c r="A119" t="inlineStr">
        <is>
          <t>VBA</t>
        </is>
      </c>
      <c r="B119" t="inlineStr">
        <is>
          <t xml:space="preserve">    Set sh = CreateObject("WScript.Shell")</t>
        </is>
      </c>
    </row>
    <row r="120">
      <c r="A120" t="inlineStr">
        <is>
          <t>VBA</t>
        </is>
      </c>
      <c r="B120" t="inlineStr">
        <is>
          <t xml:space="preserve">    rc = sh.Run("cmd /c cd /d """ &amp; projet &amp; """ &amp;&amp; python outils\sync_destinataires.py", 0, True)</t>
        </is>
      </c>
    </row>
    <row r="121">
      <c r="A121" t="inlineStr">
        <is>
          <t>VBA</t>
        </is>
      </c>
      <c r="B121" t="inlineStr">
        <is>
          <t xml:space="preserve">    If rc = 0 Then</t>
        </is>
      </c>
    </row>
    <row r="122">
      <c r="A122" t="inlineStr">
        <is>
          <t>VBA</t>
        </is>
      </c>
      <c r="B122" t="inlineStr">
        <is>
          <t xml:space="preserve">        MsgBox "Destinataires enregistres. Ils recevront les prochaines alertes.", vbInformation</t>
        </is>
      </c>
    </row>
    <row r="123">
      <c r="A123" t="inlineStr">
        <is>
          <t>VBA</t>
        </is>
      </c>
      <c r="B123" t="inlineStr">
        <is>
          <t xml:space="preserve">    Else</t>
        </is>
      </c>
    </row>
    <row r="124">
      <c r="A124" t="inlineStr">
        <is>
          <t>VBA</t>
        </is>
      </c>
      <c r="B124" t="inlineStr">
        <is>
          <t xml:space="preserve">        MsgBox "Aucune adresse valide trouvee (colonne B a partir de la ligne 5).", vbExclamation</t>
        </is>
      </c>
    </row>
    <row r="125">
      <c r="A125" t="inlineStr">
        <is>
          <t>VBA</t>
        </is>
      </c>
      <c r="B125" t="inlineStr">
        <is>
          <t xml:space="preserve">    End If</t>
        </is>
      </c>
    </row>
    <row r="126">
      <c r="A126" t="inlineStr">
        <is>
          <t>VBA</t>
        </is>
      </c>
      <c r="B126" t="inlineStr">
        <is>
          <t>End Sub</t>
        </is>
      </c>
    </row>
    <row r="127">
      <c r="A127" t="inlineStr">
        <is>
          <t>VBA</t>
        </is>
      </c>
      <c r="B127" t="inlineStr"/>
    </row>
    <row r="128">
      <c r="A128" t="inlineStr">
        <is>
          <t>VBA</t>
        </is>
      </c>
      <c r="B128" t="inlineStr">
        <is>
          <t>Sub Generer_Message_AO()</t>
        </is>
      </c>
    </row>
    <row r="129">
      <c r="A129" t="inlineStr">
        <is>
          <t>VBA</t>
        </is>
      </c>
      <c r="B129" t="inlineStr">
        <is>
          <t xml:space="preserve">    ' Genere le message IA (email + script) pour l'AO de la ligne selectionnee.</t>
        </is>
      </c>
    </row>
    <row r="130">
      <c r="A130" t="inlineStr">
        <is>
          <t>VBA</t>
        </is>
      </c>
      <c r="B130" t="inlineStr">
        <is>
          <t xml:space="preserve">    ' Lit id_ao sur la feuille active, appelle Python (Ollama), affiche le resultat</t>
        </is>
      </c>
    </row>
    <row r="131">
      <c r="A131" t="inlineStr">
        <is>
          <t>VBA</t>
        </is>
      </c>
      <c r="B131" t="inlineStr">
        <is>
          <t xml:space="preserve">    ' dans l'onglet Message_IA (a copier/coller).</t>
        </is>
      </c>
    </row>
    <row r="132">
      <c r="A132" t="inlineStr">
        <is>
          <t>VBA</t>
        </is>
      </c>
      <c r="B132" t="inlineStr">
        <is>
          <t xml:space="preserve">    Dim idCol As Long, lastCol As Long, c As Long, idAO As String</t>
        </is>
      </c>
    </row>
    <row r="133">
      <c r="A133" t="inlineStr">
        <is>
          <t>VBA</t>
        </is>
      </c>
      <c r="B133" t="inlineStr">
        <is>
          <t xml:space="preserve">    Dim projet As String, sh As Object, rc As Long, fichier As String</t>
        </is>
      </c>
    </row>
    <row r="134">
      <c r="A134" t="inlineStr">
        <is>
          <t>VBA</t>
        </is>
      </c>
      <c r="B134" t="inlineStr">
        <is>
          <t xml:space="preserve">    Dim ws As Worksheet, stream As Object, contenu As String, lignes() As String, i As Long</t>
        </is>
      </c>
    </row>
    <row r="135">
      <c r="A135" t="inlineStr">
        <is>
          <t>VBA</t>
        </is>
      </c>
      <c r="B135" t="inlineStr">
        <is>
          <t xml:space="preserve">    On Error GoTo Erreur</t>
        </is>
      </c>
    </row>
    <row r="136">
      <c r="A136" t="inlineStr">
        <is>
          <t>VBA</t>
        </is>
      </c>
      <c r="B136" t="inlineStr"/>
    </row>
    <row r="137">
      <c r="A137" t="inlineStr">
        <is>
          <t>VBA</t>
        </is>
      </c>
      <c r="B137" t="inlineStr">
        <is>
          <t xml:space="preserve">    lastCol = Cells(1, Columns.Count).End(xlToLeft).Column</t>
        </is>
      </c>
    </row>
    <row r="138">
      <c r="A138" t="inlineStr">
        <is>
          <t>VBA</t>
        </is>
      </c>
      <c r="B138" t="inlineStr">
        <is>
          <t xml:space="preserve">    For c = 1 To lastCol</t>
        </is>
      </c>
    </row>
    <row r="139">
      <c r="A139" t="inlineStr">
        <is>
          <t>VBA</t>
        </is>
      </c>
      <c r="B139" t="inlineStr">
        <is>
          <t xml:space="preserve">        If LCase(Trim(CStr(Cells(1, c).Value))) = "id_ao" Then idCol = c: Exit For</t>
        </is>
      </c>
    </row>
    <row r="140">
      <c r="A140" t="inlineStr">
        <is>
          <t>VBA</t>
        </is>
      </c>
      <c r="B140" t="inlineStr">
        <is>
          <t xml:space="preserve">    Next c</t>
        </is>
      </c>
    </row>
    <row r="141">
      <c r="A141" t="inlineStr">
        <is>
          <t>VBA</t>
        </is>
      </c>
      <c r="B141" t="inlineStr">
        <is>
          <t xml:space="preserve">    If idCol = 0 Then</t>
        </is>
      </c>
    </row>
    <row r="142">
      <c r="A142" t="inlineStr">
        <is>
          <t>VBA</t>
        </is>
      </c>
      <c r="B142" t="inlineStr">
        <is>
          <t xml:space="preserve">        MsgBox "Place-toi sur l'onglet AO_Nettoyage_IDF (colonne id_ao requise).", vbExclamation</t>
        </is>
      </c>
    </row>
    <row r="143">
      <c r="A143" t="inlineStr">
        <is>
          <t>VBA</t>
        </is>
      </c>
      <c r="B143" t="inlineStr">
        <is>
          <t xml:space="preserve">        Exit Sub</t>
        </is>
      </c>
    </row>
    <row r="144">
      <c r="A144" t="inlineStr">
        <is>
          <t>VBA</t>
        </is>
      </c>
      <c r="B144" t="inlineStr">
        <is>
          <t xml:space="preserve">    End If</t>
        </is>
      </c>
    </row>
    <row r="145">
      <c r="A145" t="inlineStr">
        <is>
          <t>VBA</t>
        </is>
      </c>
      <c r="B145" t="inlineStr">
        <is>
          <t xml:space="preserve">    If ActiveCell.Row &lt; 2 Then</t>
        </is>
      </c>
    </row>
    <row r="146">
      <c r="A146" t="inlineStr">
        <is>
          <t>VBA</t>
        </is>
      </c>
      <c r="B146" t="inlineStr">
        <is>
          <t xml:space="preserve">        MsgBox "Selectionne d'abord une ligne d'appel d'offres.", vbInformation</t>
        </is>
      </c>
    </row>
    <row r="147">
      <c r="A147" t="inlineStr">
        <is>
          <t>VBA</t>
        </is>
      </c>
      <c r="B147" t="inlineStr">
        <is>
          <t xml:space="preserve">        Exit Sub</t>
        </is>
      </c>
    </row>
    <row r="148">
      <c r="A148" t="inlineStr">
        <is>
          <t>VBA</t>
        </is>
      </c>
      <c r="B148" t="inlineStr">
        <is>
          <t xml:space="preserve">    End If</t>
        </is>
      </c>
    </row>
    <row r="149">
      <c r="A149" t="inlineStr">
        <is>
          <t>VBA</t>
        </is>
      </c>
      <c r="B149" t="inlineStr">
        <is>
          <t xml:space="preserve">    idAO = Trim(CStr(Cells(ActiveCell.Row, idCol).Value))</t>
        </is>
      </c>
    </row>
    <row r="150">
      <c r="A150" t="inlineStr">
        <is>
          <t>VBA</t>
        </is>
      </c>
      <c r="B150" t="inlineStr">
        <is>
          <t xml:space="preserve">    If idAO = "" Then</t>
        </is>
      </c>
    </row>
    <row r="151">
      <c r="A151" t="inlineStr">
        <is>
          <t>VBA</t>
        </is>
      </c>
      <c r="B151" t="inlineStr">
        <is>
          <t xml:space="preserve">        MsgBox "Pas d'identifiant sur cette ligne.", vbInformation</t>
        </is>
      </c>
    </row>
    <row r="152">
      <c r="A152" t="inlineStr">
        <is>
          <t>VBA</t>
        </is>
      </c>
      <c r="B152" t="inlineStr">
        <is>
          <t xml:space="preserve">        Exit Sub</t>
        </is>
      </c>
    </row>
    <row r="153">
      <c r="A153" t="inlineStr">
        <is>
          <t>VBA</t>
        </is>
      </c>
      <c r="B153" t="inlineStr">
        <is>
          <t xml:space="preserve">    End If</t>
        </is>
      </c>
    </row>
    <row r="154">
      <c r="A154" t="inlineStr">
        <is>
          <t>VBA</t>
        </is>
      </c>
      <c r="B154" t="inlineStr"/>
    </row>
    <row r="155">
      <c r="A155" t="inlineStr">
        <is>
          <t>VBA</t>
        </is>
      </c>
      <c r="B155" t="inlineStr">
        <is>
          <t xml:space="preserve">    projet = ThisWorkbook.Path &amp; "\.."</t>
        </is>
      </c>
    </row>
    <row r="156">
      <c r="A156" t="inlineStr">
        <is>
          <t>VBA</t>
        </is>
      </c>
      <c r="B156" t="inlineStr">
        <is>
          <t xml:space="preserve">    Application.StatusBar = "Generation du message IA en cours (Ollama)..."</t>
        </is>
      </c>
    </row>
    <row r="157">
      <c r="A157" t="inlineStr">
        <is>
          <t>VBA</t>
        </is>
      </c>
      <c r="B157" t="inlineStr">
        <is>
          <t xml:space="preserve">    Set sh = CreateObject("WScript.Shell")</t>
        </is>
      </c>
    </row>
    <row r="158">
      <c r="A158" t="inlineStr">
        <is>
          <t>VBA</t>
        </is>
      </c>
      <c r="B158" t="inlineStr">
        <is>
          <t xml:space="preserve">    rc = sh.Run("cmd /c cd /d """ &amp; projet &amp; """ &amp;&amp; python outils\generer_message_ao.py """ &amp; idAO &amp; """", 0, True)</t>
        </is>
      </c>
    </row>
    <row r="159">
      <c r="A159" t="inlineStr">
        <is>
          <t>VBA</t>
        </is>
      </c>
      <c r="B159" t="inlineStr">
        <is>
          <t xml:space="preserve">    Application.StatusBar = False</t>
        </is>
      </c>
    </row>
    <row r="160">
      <c r="A160" t="inlineStr">
        <is>
          <t>VBA</t>
        </is>
      </c>
      <c r="B160" t="inlineStr"/>
    </row>
    <row r="161">
      <c r="A161" t="inlineStr">
        <is>
          <t>VBA</t>
        </is>
      </c>
      <c r="B161" t="inlineStr">
        <is>
          <t xml:space="preserve">    fichier = projet &amp; "\output\_message_ao.txt"</t>
        </is>
      </c>
    </row>
    <row r="162">
      <c r="A162" t="inlineStr">
        <is>
          <t>VBA</t>
        </is>
      </c>
      <c r="B162" t="inlineStr">
        <is>
          <t xml:space="preserve">    If Dir(fichier) = "" Then</t>
        </is>
      </c>
    </row>
    <row r="163">
      <c r="A163" t="inlineStr">
        <is>
          <t>VBA</t>
        </is>
      </c>
      <c r="B163" t="inlineStr">
        <is>
          <t xml:space="preserve">        MsgBox "Generation echouee (fichier non produit). Verifie Python/Ollama.", vbExclamation</t>
        </is>
      </c>
    </row>
    <row r="164">
      <c r="A164" t="inlineStr">
        <is>
          <t>VBA</t>
        </is>
      </c>
      <c r="B164" t="inlineStr">
        <is>
          <t xml:space="preserve">        Exit Sub</t>
        </is>
      </c>
    </row>
    <row r="165">
      <c r="A165" t="inlineStr">
        <is>
          <t>VBA</t>
        </is>
      </c>
      <c r="B165" t="inlineStr">
        <is>
          <t xml:space="preserve">    End If</t>
        </is>
      </c>
    </row>
    <row r="166">
      <c r="A166" t="inlineStr">
        <is>
          <t>VBA</t>
        </is>
      </c>
      <c r="B166" t="inlineStr"/>
    </row>
    <row r="167">
      <c r="A167" t="inlineStr">
        <is>
          <t>VBA</t>
        </is>
      </c>
      <c r="B167" t="inlineStr">
        <is>
          <t xml:space="preserve">    Set stream = CreateObject("ADODB.Stream")</t>
        </is>
      </c>
    </row>
    <row r="168">
      <c r="A168" t="inlineStr">
        <is>
          <t>VBA</t>
        </is>
      </c>
      <c r="B168" t="inlineStr">
        <is>
          <t xml:space="preserve">    stream.Charset = "utf-8"</t>
        </is>
      </c>
    </row>
    <row r="169">
      <c r="A169" t="inlineStr">
        <is>
          <t>VBA</t>
        </is>
      </c>
      <c r="B169" t="inlineStr">
        <is>
          <t xml:space="preserve">    stream.Open</t>
        </is>
      </c>
    </row>
    <row r="170">
      <c r="A170" t="inlineStr">
        <is>
          <t>VBA</t>
        </is>
      </c>
      <c r="B170" t="inlineStr">
        <is>
          <t xml:space="preserve">    stream.LoadFromFile fichier</t>
        </is>
      </c>
    </row>
    <row r="171">
      <c r="A171" t="inlineStr">
        <is>
          <t>VBA</t>
        </is>
      </c>
      <c r="B171" t="inlineStr">
        <is>
          <t xml:space="preserve">    contenu = stream.ReadText</t>
        </is>
      </c>
    </row>
    <row r="172">
      <c r="A172" t="inlineStr">
        <is>
          <t>VBA</t>
        </is>
      </c>
      <c r="B172" t="inlineStr">
        <is>
          <t xml:space="preserve">    stream.Close</t>
        </is>
      </c>
    </row>
    <row r="173">
      <c r="A173" t="inlineStr">
        <is>
          <t>VBA</t>
        </is>
      </c>
      <c r="B173" t="inlineStr"/>
    </row>
    <row r="174">
      <c r="A174" t="inlineStr">
        <is>
          <t>VBA</t>
        </is>
      </c>
      <c r="B174" t="inlineStr">
        <is>
          <t xml:space="preserve">    On Error Resume Next</t>
        </is>
      </c>
    </row>
    <row r="175">
      <c r="A175" t="inlineStr">
        <is>
          <t>VBA</t>
        </is>
      </c>
      <c r="B175" t="inlineStr">
        <is>
          <t xml:space="preserve">    Set ws = ThisWorkbook.Sheets("Message_IA")</t>
        </is>
      </c>
    </row>
    <row r="176">
      <c r="A176" t="inlineStr">
        <is>
          <t>VBA</t>
        </is>
      </c>
      <c r="B176" t="inlineStr">
        <is>
          <t xml:space="preserve">    On Error GoTo Erreur</t>
        </is>
      </c>
    </row>
    <row r="177">
      <c r="A177" t="inlineStr">
        <is>
          <t>VBA</t>
        </is>
      </c>
      <c r="B177" t="inlineStr">
        <is>
          <t xml:space="preserve">    If ws Is Nothing Then</t>
        </is>
      </c>
    </row>
    <row r="178">
      <c r="A178" t="inlineStr">
        <is>
          <t>VBA</t>
        </is>
      </c>
      <c r="B178" t="inlineStr">
        <is>
          <t xml:space="preserve">        Set ws = ThisWorkbook.Sheets.Add(After:=ThisWorkbook.Sheets(ThisWorkbook.Sheets.Count))</t>
        </is>
      </c>
    </row>
    <row r="179">
      <c r="A179" t="inlineStr">
        <is>
          <t>VBA</t>
        </is>
      </c>
      <c r="B179" t="inlineStr">
        <is>
          <t xml:space="preserve">        ws.Name = "Message_IA"</t>
        </is>
      </c>
    </row>
    <row r="180">
      <c r="A180" t="inlineStr">
        <is>
          <t>VBA</t>
        </is>
      </c>
      <c r="B180" t="inlineStr">
        <is>
          <t xml:space="preserve">    End If</t>
        </is>
      </c>
    </row>
    <row r="181">
      <c r="A181" t="inlineStr">
        <is>
          <t>VBA</t>
        </is>
      </c>
      <c r="B181" t="inlineStr">
        <is>
          <t xml:space="preserve">    ws.Cells.Clear</t>
        </is>
      </c>
    </row>
    <row r="182">
      <c r="A182" t="inlineStr">
        <is>
          <t>VBA</t>
        </is>
      </c>
      <c r="B182" t="inlineStr">
        <is>
          <t xml:space="preserve">    ws.Columns(1).NumberFormat = "@"   ' texte : sinon "===..." est pris pour une formule (erreur 1004)</t>
        </is>
      </c>
    </row>
    <row r="183">
      <c r="A183" t="inlineStr">
        <is>
          <t>VBA</t>
        </is>
      </c>
      <c r="B183" t="inlineStr">
        <is>
          <t xml:space="preserve">    lignes = Split(Replace(contenu, vbCrLf, vbLf), vbLf)</t>
        </is>
      </c>
    </row>
    <row r="184">
      <c r="A184" t="inlineStr">
        <is>
          <t>VBA</t>
        </is>
      </c>
      <c r="B184" t="inlineStr">
        <is>
          <t xml:space="preserve">    For i = 0 To UBound(lignes)</t>
        </is>
      </c>
    </row>
    <row r="185">
      <c r="A185" t="inlineStr">
        <is>
          <t>VBA</t>
        </is>
      </c>
      <c r="B185" t="inlineStr">
        <is>
          <t xml:space="preserve">        ws.Cells(i + 1, 1).Value = lignes(i)</t>
        </is>
      </c>
    </row>
    <row r="186">
      <c r="A186" t="inlineStr">
        <is>
          <t>VBA</t>
        </is>
      </c>
      <c r="B186" t="inlineStr">
        <is>
          <t xml:space="preserve">    Next i</t>
        </is>
      </c>
    </row>
    <row r="187">
      <c r="A187" t="inlineStr">
        <is>
          <t>VBA</t>
        </is>
      </c>
      <c r="B187" t="inlineStr">
        <is>
          <t xml:space="preserve">    ws.Columns(1).ColumnWidth = 110</t>
        </is>
      </c>
    </row>
    <row r="188">
      <c r="A188" t="inlineStr">
        <is>
          <t>VBA</t>
        </is>
      </c>
      <c r="B188" t="inlineStr">
        <is>
          <t xml:space="preserve">    ws.Activate</t>
        </is>
      </c>
    </row>
    <row r="189">
      <c r="A189" t="inlineStr">
        <is>
          <t>VBA</t>
        </is>
      </c>
      <c r="B189" t="inlineStr">
        <is>
          <t xml:space="preserve">    ws.Range("A1").Select</t>
        </is>
      </c>
    </row>
    <row r="190">
      <c r="A190" t="inlineStr">
        <is>
          <t>VBA</t>
        </is>
      </c>
      <c r="B190" t="inlineStr">
        <is>
          <t xml:space="preserve">    MsgBox "Message genere dans l'onglet Message_IA (copier/coller depuis la colonne A).", vbInformation</t>
        </is>
      </c>
    </row>
    <row r="191">
      <c r="A191" t="inlineStr">
        <is>
          <t>VBA</t>
        </is>
      </c>
      <c r="B191" t="inlineStr">
        <is>
          <t xml:space="preserve">    Exit Sub</t>
        </is>
      </c>
    </row>
    <row r="192">
      <c r="A192" t="inlineStr">
        <is>
          <t>VBA</t>
        </is>
      </c>
      <c r="B192" t="inlineStr">
        <is>
          <t>Erreur:</t>
        </is>
      </c>
    </row>
    <row r="193">
      <c r="A193" t="inlineStr">
        <is>
          <t>VBA</t>
        </is>
      </c>
      <c r="B193" t="inlineStr">
        <is>
          <t xml:space="preserve">    Application.StatusBar = False</t>
        </is>
      </c>
    </row>
    <row r="194">
      <c r="A194" t="inlineStr">
        <is>
          <t>VBA</t>
        </is>
      </c>
      <c r="B194" t="inlineStr">
        <is>
          <t xml:space="preserve">    MsgBox "Erreur generation message : " &amp; Err.Number &amp; " - " &amp; Err.Description, vbExclamation</t>
        </is>
      </c>
    </row>
    <row r="195">
      <c r="A195" t="inlineStr">
        <is>
          <t>VBA</t>
        </is>
      </c>
      <c r="B195" t="inlineStr">
        <is>
          <t>End Sub</t>
        </is>
      </c>
    </row>
    <row r="196">
      <c r="A196" t="inlineStr">
        <is>
          <t>VBA</t>
        </is>
      </c>
      <c r="B196" t="inlineStr"/>
    </row>
    <row r="197">
      <c r="A197" t="inlineStr">
        <is>
          <t>VBA</t>
        </is>
      </c>
      <c r="B197" t="inlineStr">
        <is>
          <t>Sub Ouvrir_Lien_AO()</t>
        </is>
      </c>
    </row>
    <row r="198">
      <c r="A198" t="inlineStr">
        <is>
          <t>VBA</t>
        </is>
      </c>
      <c r="B198" t="inlineStr">
        <is>
          <t xml:space="preserve">    Dim urlCol As Long</t>
        </is>
      </c>
    </row>
    <row r="199">
      <c r="A199" t="inlineStr">
        <is>
          <t>VBA</t>
        </is>
      </c>
      <c r="B199" t="inlineStr">
        <is>
          <t xml:space="preserve">    Dim lastCol As Long</t>
        </is>
      </c>
    </row>
    <row r="200">
      <c r="A200" t="inlineStr">
        <is>
          <t>VBA</t>
        </is>
      </c>
      <c r="B200" t="inlineStr">
        <is>
          <t xml:space="preserve">    Dim c As Long</t>
        </is>
      </c>
    </row>
    <row r="201">
      <c r="A201" t="inlineStr">
        <is>
          <t>VBA</t>
        </is>
      </c>
      <c r="B201" t="inlineStr">
        <is>
          <t xml:space="preserve">    lastCol = Cells(1, Columns.Count).End(xlToLeft).Column</t>
        </is>
      </c>
    </row>
    <row r="202">
      <c r="A202" t="inlineStr">
        <is>
          <t>VBA</t>
        </is>
      </c>
      <c r="B202" t="inlineStr">
        <is>
          <t xml:space="preserve">    For c = 1 To lastCol</t>
        </is>
      </c>
    </row>
    <row r="203">
      <c r="A203" t="inlineStr">
        <is>
          <t>VBA</t>
        </is>
      </c>
      <c r="B203" t="inlineStr">
        <is>
          <t xml:space="preserve">        If Cells(1, c).Value = "url_avis" Then</t>
        </is>
      </c>
    </row>
    <row r="204">
      <c r="A204" t="inlineStr">
        <is>
          <t>VBA</t>
        </is>
      </c>
      <c r="B204" t="inlineStr">
        <is>
          <t xml:space="preserve">            urlCol = c</t>
        </is>
      </c>
    </row>
    <row r="205">
      <c r="A205" t="inlineStr">
        <is>
          <t>VBA</t>
        </is>
      </c>
      <c r="B205" t="inlineStr">
        <is>
          <t xml:space="preserve">            Exit For</t>
        </is>
      </c>
    </row>
    <row r="206">
      <c r="A206" t="inlineStr">
        <is>
          <t>VBA</t>
        </is>
      </c>
      <c r="B206" t="inlineStr">
        <is>
          <t xml:space="preserve">        End If</t>
        </is>
      </c>
    </row>
    <row r="207">
      <c r="A207" t="inlineStr">
        <is>
          <t>VBA</t>
        </is>
      </c>
      <c r="B207" t="inlineStr">
        <is>
          <t xml:space="preserve">    Next c</t>
        </is>
      </c>
    </row>
    <row r="208">
      <c r="A208" t="inlineStr">
        <is>
          <t>VBA</t>
        </is>
      </c>
      <c r="B208" t="inlineStr">
        <is>
          <t xml:space="preserve">    If urlCol = 0 Then</t>
        </is>
      </c>
    </row>
    <row r="209">
      <c r="A209" t="inlineStr">
        <is>
          <t>VBA</t>
        </is>
      </c>
      <c r="B209" t="inlineStr">
        <is>
          <t xml:space="preserve">        MsgBox "Colonne url_avis introuvable.", vbExclamation</t>
        </is>
      </c>
    </row>
    <row r="210">
      <c r="A210" t="inlineStr">
        <is>
          <t>VBA</t>
        </is>
      </c>
      <c r="B210" t="inlineStr">
        <is>
          <t xml:space="preserve">        Exit Sub</t>
        </is>
      </c>
    </row>
    <row r="211">
      <c r="A211" t="inlineStr">
        <is>
          <t>VBA</t>
        </is>
      </c>
      <c r="B211" t="inlineStr">
        <is>
          <t xml:space="preserve">    End If</t>
        </is>
      </c>
    </row>
    <row r="212">
      <c r="A212" t="inlineStr">
        <is>
          <t>VBA</t>
        </is>
      </c>
      <c r="B212" t="inlineStr">
        <is>
          <t xml:space="preserve">    If ActiveCell.Row &lt; 2 Then</t>
        </is>
      </c>
    </row>
    <row r="213">
      <c r="A213" t="inlineStr">
        <is>
          <t>VBA</t>
        </is>
      </c>
      <c r="B213" t="inlineStr">
        <is>
          <t xml:space="preserve">        MsgBox "Selectionne une ligne AO.", vbInformation</t>
        </is>
      </c>
    </row>
    <row r="214">
      <c r="A214" t="inlineStr">
        <is>
          <t>VBA</t>
        </is>
      </c>
      <c r="B214" t="inlineStr">
        <is>
          <t xml:space="preserve">        Exit Sub</t>
        </is>
      </c>
    </row>
    <row r="215">
      <c r="A215" t="inlineStr">
        <is>
          <t>VBA</t>
        </is>
      </c>
      <c r="B215" t="inlineStr">
        <is>
          <t xml:space="preserve">    End If</t>
        </is>
      </c>
    </row>
    <row r="216">
      <c r="A216" t="inlineStr">
        <is>
          <t>VBA</t>
        </is>
      </c>
      <c r="B216" t="inlineStr">
        <is>
          <t xml:space="preserve">    If Cells(ActiveCell.Row, urlCol).Value &lt;&gt; "" Then</t>
        </is>
      </c>
    </row>
    <row r="217">
      <c r="A217" t="inlineStr">
        <is>
          <t>VBA</t>
        </is>
      </c>
      <c r="B217" t="inlineStr">
        <is>
          <t xml:space="preserve">        ThisWorkbook.FollowHyperlink Cells(ActiveCell.Row, urlCol).Value</t>
        </is>
      </c>
    </row>
    <row r="218">
      <c r="A218" t="inlineStr">
        <is>
          <t>VBA</t>
        </is>
      </c>
      <c r="B218" t="inlineStr">
        <is>
          <t xml:space="preserve">    Else</t>
        </is>
      </c>
    </row>
    <row r="219">
      <c r="A219" t="inlineStr">
        <is>
          <t>VBA</t>
        </is>
      </c>
      <c r="B219" t="inlineStr">
        <is>
          <t xml:space="preserve">        MsgBox "Aucun lien source sur cette ligne.", vbInformation</t>
        </is>
      </c>
    </row>
    <row r="220">
      <c r="A220" t="inlineStr">
        <is>
          <t>VBA</t>
        </is>
      </c>
      <c r="B220" t="inlineStr">
        <is>
          <t xml:space="preserve">    End If</t>
        </is>
      </c>
    </row>
    <row r="221">
      <c r="A221" t="inlineStr">
        <is>
          <t>VBA</t>
        </is>
      </c>
      <c r="B221" t="inlineStr">
        <is>
          <t>End Sub</t>
        </is>
      </c>
    </row>
  </sheetData>
  <pageMargins left="0.75" right="0.75" top="1" bottom="1" header="0.5" footer="0.5"/>
  <tableParts count="1">
    <tablePart xmlns:r="http://schemas.openxmlformats.org/officeDocument/2006/relationships" r:id="rId1"/>
  </tableParts>
</worksheet>
</file>

<file path=xl/worksheets/sheet16.xml><?xml version="1.0" encoding="utf-8"?>
<worksheet xmlns="http://schemas.openxmlformats.org/spreadsheetml/2006/main">
  <sheetPr>
    <outlinePr summaryBelow="1" summaryRight="1"/>
    <pageSetUpPr/>
  </sheetPr>
  <dimension ref="A1:G93"/>
  <sheetViews>
    <sheetView workbookViewId="0">
      <pane ySplit="1" topLeftCell="A2" activePane="bottomLeft" state="frozen"/>
      <selection pane="bottomLeft" activeCell="A1" sqref="A1"/>
    </sheetView>
  </sheetViews>
  <sheetFormatPr baseColWidth="8" defaultRowHeight="15"/>
  <cols>
    <col width="10" customWidth="1" min="1" max="1"/>
    <col width="34" customWidth="1" min="2" max="2"/>
    <col width="10" customWidth="1" min="3" max="3"/>
    <col width="10" customWidth="1" min="4" max="4"/>
    <col width="10" customWidth="1" min="5" max="5"/>
    <col width="21" customWidth="1" min="6" max="6"/>
    <col width="55" customWidth="1" min="7" max="7"/>
  </cols>
  <sheetData>
    <row r="1">
      <c r="A1" s="12" t="inlineStr">
        <is>
          <t>id</t>
        </is>
      </c>
      <c r="B1" s="12" t="inlineStr">
        <is>
          <t>run_at</t>
        </is>
      </c>
      <c r="C1" s="12" t="inlineStr">
        <is>
          <t>source</t>
        </is>
      </c>
      <c r="D1" s="12" t="inlineStr">
        <is>
          <t>fetched</t>
        </is>
      </c>
      <c r="E1" s="12" t="inlineStr">
        <is>
          <t>kept</t>
        </is>
      </c>
      <c r="F1" s="12" t="inlineStr">
        <is>
          <t>inserted_or_updated</t>
        </is>
      </c>
      <c r="G1" s="12" t="inlineStr">
        <is>
          <t>details</t>
        </is>
      </c>
    </row>
    <row r="2">
      <c r="A2" t="n">
        <v>92</v>
      </c>
      <c r="B2" t="inlineStr">
        <is>
          <t>2026-07-06T08:29:27.123846+00:00</t>
        </is>
      </c>
      <c r="C2" t="inlineStr">
        <is>
          <t>BOAMP</t>
        </is>
      </c>
      <c r="D2" t="n">
        <v>490</v>
      </c>
      <c r="E2" t="n">
        <v>19</v>
      </c>
      <c r="F2" t="n">
        <v>19</v>
      </c>
      <c r="G2" t="inlineStr">
        <is>
          <t>{"raw_path": "C:\\Users\\marce\\Downloads\\CHRUTH_LIVRAISON_NO_CODE\\data\\ao_raw\\boamp_collect_20260706_102926.json", "skipped_reasons": {"hors IDF": 107, "aucun mot-cle CHRUTH": 186, "avis non actif ou attribution": 125, "exclusion dure": 52, "exclusion metier": 1}, "kept_reasons": {"ok": 19}, "where": "(\"nettoyage\" OR \"proprete\" OR \"entretien des locaux\" OR \"entretien locaux\" OR \"nettoyage de vitres\" OR \"bionettoyage\" OR \"menage\" OR \"hygiene des locaux\" OR \"entretien menager\" OR \"proprete des locaux\" OR \"desinfection\") AND dateparution &gt;= date'2026-06-22'", "strict_budget": false, "idf_only": true}</t>
        </is>
      </c>
    </row>
    <row r="3">
      <c r="A3" t="n">
        <v>91</v>
      </c>
      <c r="B3" t="inlineStr">
        <is>
          <t>2026-07-06T08:23:52.978430+00:00</t>
        </is>
      </c>
      <c r="C3" t="inlineStr">
        <is>
          <t>BOAMP</t>
        </is>
      </c>
      <c r="D3" t="n">
        <v>490</v>
      </c>
      <c r="E3" t="n">
        <v>19</v>
      </c>
      <c r="F3" t="n">
        <v>19</v>
      </c>
      <c r="G3" t="inlineStr">
        <is>
          <t>{"raw_path": "C:\\Users\\marce\\Downloads\\CHRUTH_LIVRAISON_NO_CODE\\data\\ao_raw\\boamp_collect_20260706_102352.json", "skipped_reasons": {"hors IDF": 107, "aucun mot-cle CHRUTH": 186, "avis non actif ou attribution": 125, "exclusion dure": 52, "exclusion metier": 1}, "kept_reasons": {"ok": 19}, "where": "(\"nettoyage\" OR \"proprete\" OR \"entretien des locaux\" OR \"entretien locaux\" OR \"nettoyage de vitres\" OR \"bionettoyage\" OR \"menage\" OR \"hygiene des locaux\" OR \"entretien menager\" OR \"proprete des locaux\" OR \"desinfection\") AND dateparution &gt;= date'2026-06-22'", "strict_budget": false, "idf_only": true}</t>
        </is>
      </c>
    </row>
    <row r="4">
      <c r="A4" t="n">
        <v>90</v>
      </c>
      <c r="B4" t="inlineStr">
        <is>
          <t>2026-07-06T07:28:53.935593+00:00</t>
        </is>
      </c>
      <c r="C4" t="inlineStr">
        <is>
          <t>BOAMP</t>
        </is>
      </c>
      <c r="D4" t="n">
        <v>490</v>
      </c>
      <c r="E4" t="n">
        <v>19</v>
      </c>
      <c r="F4" t="n">
        <v>19</v>
      </c>
      <c r="G4" t="inlineStr">
        <is>
          <t>{"raw_path": "C:\\Users\\marce\\Downloads\\CHRUTH_LIVRAISON_NO_CODE\\data\\ao_raw\\boamp_collect_20260706_092853.json", "skipped_reasons": {"hors IDF": 107, "aucun mot-cle CHRUTH": 185, "avis non actif ou attribution": 126, "exclusion dure": 52, "exclusion metier": 1}, "kept_reasons": {"ok": 19}, "where": "(\"nettoyage\" OR \"proprete\" OR \"entretien des locaux\" OR \"entretien locaux\" OR \"nettoyage de vitres\" OR \"bionettoyage\" OR \"menage\" OR \"hygiene des locaux\" OR \"entretien menager\" OR \"proprete des locaux\" OR \"desinfection\") AND dateparution &gt;= date'2026-06-22'", "strict_budget": false, "idf_only": true}</t>
        </is>
      </c>
    </row>
    <row r="5">
      <c r="A5" t="n">
        <v>89</v>
      </c>
      <c r="B5" t="inlineStr">
        <is>
          <t>2026-07-06T06:29:07.343686+00:00</t>
        </is>
      </c>
      <c r="C5" t="inlineStr">
        <is>
          <t>BOAMP</t>
        </is>
      </c>
      <c r="D5" t="n">
        <v>489</v>
      </c>
      <c r="E5" t="n">
        <v>19</v>
      </c>
      <c r="F5" t="n">
        <v>19</v>
      </c>
      <c r="G5" t="inlineStr">
        <is>
          <t>{"raw_path": "C:\\Users\\marce\\Downloads\\CHRUTH_LIVRAISON_NO_CODE\\data\\ao_raw\\boamp_collect_20260706_082907.json", "skipped_reasons": {"aucun mot-cle CHRUTH": 186, "avis non actif ou attribution": 125, "hors IDF": 106, "exclusion dure": 52, "exclusion metier": 1}, "kept_reasons": {"ok": 19}, "where": "(\"nettoyage\" OR \"proprete\" OR \"entretien des locaux\" OR \"entretien locaux\" OR \"nettoyage de vitres\" OR \"bionettoyage\" OR \"menage\" OR \"hygiene des locaux\" OR \"entretien menager\" OR \"proprete des locaux\" OR \"desinfection\") AND dateparution &gt;= date'2026-06-22'", "strict_budget": false, "idf_only": true}</t>
        </is>
      </c>
    </row>
    <row r="6">
      <c r="A6" t="n">
        <v>88</v>
      </c>
      <c r="B6" t="inlineStr">
        <is>
          <t>2026-07-06T06:29:07.216512+00:00</t>
        </is>
      </c>
      <c r="C6" t="inlineStr">
        <is>
          <t>BOAMP</t>
        </is>
      </c>
      <c r="D6" t="n">
        <v>489</v>
      </c>
      <c r="E6" t="n">
        <v>19</v>
      </c>
      <c r="F6" t="n">
        <v>19</v>
      </c>
      <c r="G6" t="inlineStr">
        <is>
          <t>{"raw_path": "C:\\Users\\marce\\Downloads\\CHRUTH_LIVRAISON_NO_CODE\\data\\ao_raw\\boamp_collect_20260706_082907.json", "skipped_reasons": {"aucun mot-cle CHRUTH": 186, "avis non actif ou attribution": 125, "hors IDF": 106, "exclusion dure": 52, "exclusion metier": 1}, "kept_reasons": {"ok": 19}, "where": "(\"nettoyage\" OR \"proprete\" OR \"entretien des locaux\" OR \"entretien locaux\" OR \"nettoyage de vitres\" OR \"bionettoyage\" OR \"menage\" OR \"hygiene des locaux\" OR \"entretien menager\" OR \"proprete des locaux\" OR \"desinfection\") AND dateparution &gt;= date'2026-06-22'", "strict_budget": false, "idf_only": true}</t>
        </is>
      </c>
    </row>
    <row r="7">
      <c r="A7" t="n">
        <v>87</v>
      </c>
      <c r="B7" t="inlineStr">
        <is>
          <t>2026-07-05T19:56:41.236989+00:00</t>
        </is>
      </c>
      <c r="C7" t="inlineStr">
        <is>
          <t>BOAMP</t>
        </is>
      </c>
      <c r="D7" t="n">
        <v>535</v>
      </c>
      <c r="E7" t="n">
        <v>23</v>
      </c>
      <c r="F7" t="n">
        <v>23</v>
      </c>
      <c r="G7" t="inlineStr">
        <is>
          <t>{"raw_path": "C:\\Users\\marce\\Downloads\\CHRUTH_LIVRAISON_NO_CODE\\data\\ao_raw\\boamp_collect_20260705_215640.json", "skipped_reasons": {"aucun mot-cle CHRUTH": 207, "avis non actif ou attribution": 131, "hors IDF": 115, "exclusion dure": 58, "exclusion metier": 1}, "kept_reasons": {"ok": 23},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8">
      <c r="A8" t="n">
        <v>86</v>
      </c>
      <c r="B8" t="inlineStr">
        <is>
          <t>2026-07-05T18:58:09.950359+00:00</t>
        </is>
      </c>
      <c r="C8" t="inlineStr">
        <is>
          <t>BOAMP</t>
        </is>
      </c>
      <c r="D8" t="n">
        <v>534</v>
      </c>
      <c r="E8" t="n">
        <v>23</v>
      </c>
      <c r="F8" t="n">
        <v>23</v>
      </c>
      <c r="G8" t="inlineStr">
        <is>
          <t>{"raw_path": "C:\\Users\\marce\\Downloads\\CHRUTH_LIVRAISON_NO_CODE\\data\\ao_raw\\boamp_collect_20260705_205809.json", "skipped_reasons": {"aucun mot-cle CHRUTH": 206, "avis non actif ou attribution": 132, "hors IDF": 114, "exclusion dure": 58, "exclusion metier": 1}, "kept_reasons": {"ok": 23},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9">
      <c r="A9" t="n">
        <v>85</v>
      </c>
      <c r="B9" t="inlineStr">
        <is>
          <t>2026-07-05T18:08:48.560673+00:00</t>
        </is>
      </c>
      <c r="C9" t="inlineStr">
        <is>
          <t>BOAMP</t>
        </is>
      </c>
      <c r="D9" t="n">
        <v>531</v>
      </c>
      <c r="E9" t="n">
        <v>23</v>
      </c>
      <c r="F9" t="n">
        <v>23</v>
      </c>
      <c r="G9" t="inlineStr">
        <is>
          <t>{"raw_path": "C:\\Users\\marce\\Downloads\\CHRUTH_LIVRAISON_NO_CODE\\data\\ao_raw\\boamp_collect_20260705_200847.json", "skipped_reasons": {"aucun mot-cle CHRUTH": 206, "avis non actif ou attribution": 131, "hors IDF": 113, "exclusion dure": 57, "exclusion metier": 1}, "kept_reasons": {"ok": 23},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0">
      <c r="A10" t="n">
        <v>84</v>
      </c>
      <c r="B10" t="inlineStr">
        <is>
          <t>2026-07-05T16:56:36.843371+00:00</t>
        </is>
      </c>
      <c r="C10" t="inlineStr">
        <is>
          <t>BOAMP</t>
        </is>
      </c>
      <c r="D10" t="n">
        <v>533</v>
      </c>
      <c r="E10" t="n">
        <v>24</v>
      </c>
      <c r="F10" t="n">
        <v>24</v>
      </c>
      <c r="G10" t="inlineStr">
        <is>
          <t>{"raw_path": "C:\\Users\\marce\\Downloads\\CHRUTH_LIVRAISON_NO_CODE\\data\\ao_raw\\boamp_collect_20260705_185636.json", "skipped_reasons": {"aucun mot-cle CHRUTH": 213, "avis non actif ou attribution": 127, "hors IDF": 111, "exclusion dure": 57, "exclusion metier": 1}, "kept_reasons": {"ok": 24},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1">
      <c r="A11" t="n">
        <v>83</v>
      </c>
      <c r="B11" t="inlineStr">
        <is>
          <t>2026-07-05T15:57:34.340852+00:00</t>
        </is>
      </c>
      <c r="C11" t="inlineStr">
        <is>
          <t>BOAMP</t>
        </is>
      </c>
      <c r="D11" t="n">
        <v>526</v>
      </c>
      <c r="E11" t="n">
        <v>22</v>
      </c>
      <c r="F11" t="n">
        <v>22</v>
      </c>
      <c r="G11" t="inlineStr">
        <is>
          <t>{"raw_path": "C:\\Users\\marce\\Downloads\\CHRUTH_LIVRAISON_NO_CODE\\data\\ao_raw\\boamp_collect_20260705_175733.json", "skipped_reasons": {"aucun mot-cle CHRUTH": 199, "avis non actif ou attribution": 134, "hors IDF": 111, "exclusion dure": 59, "exclusion metier": 1}, "kept_reasons": {"ok": 22},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2">
      <c r="A12" t="n">
        <v>82</v>
      </c>
      <c r="B12" t="inlineStr">
        <is>
          <t>2026-07-05T14:59:50.123884+00:00</t>
        </is>
      </c>
      <c r="C12" t="inlineStr">
        <is>
          <t>BOAMP</t>
        </is>
      </c>
      <c r="D12" t="n">
        <v>526</v>
      </c>
      <c r="E12" t="n">
        <v>21</v>
      </c>
      <c r="F12" t="n">
        <v>21</v>
      </c>
      <c r="G12" t="inlineStr">
        <is>
          <t>{"raw_path": "C:\\Users\\marce\\Downloads\\CHRUTH_LIVRAISON_NO_CODE\\data\\ao_raw\\boamp_collect_20260705_165949.json", "skipped_reasons": {"aucun mot-cle CHRUTH": 201, "avis non actif ou attribution": 131, "hors IDF": 111, "exclusion dure": 61, "exclusion metier": 1}, "kept_reasons": {"ok": 21},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3">
      <c r="A13" t="n">
        <v>81</v>
      </c>
      <c r="B13" t="inlineStr">
        <is>
          <t>2026-07-05T14:50:39.027326+00:00</t>
        </is>
      </c>
      <c r="C13" t="inlineStr">
        <is>
          <t>BOAMP</t>
        </is>
      </c>
      <c r="D13" t="n">
        <v>509</v>
      </c>
      <c r="E13" t="n">
        <v>24</v>
      </c>
      <c r="F13" t="n">
        <v>24</v>
      </c>
      <c r="G13" t="inlineStr">
        <is>
          <t>{"raw_path": "C:\\Users\\marce\\Downloads\\CHRUTH_LIVRAISON_NO_CODE\\data\\ao_raw\\boamp_collect_20260705_165038.json", "skipped_reasons": {"aucun mot-cle CHRUTH": 196, "avis non actif ou attribution": 123, "hors IDF": 109, "exclusion dure": 56, "exclusion metier": 1}, "kept_reasons": {"ok": 24},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4">
      <c r="A14" t="n">
        <v>80</v>
      </c>
      <c r="B14" t="inlineStr">
        <is>
          <t>2026-07-05T11:56:41.669309+00:00</t>
        </is>
      </c>
      <c r="C14" t="inlineStr">
        <is>
          <t>BOAMP</t>
        </is>
      </c>
      <c r="D14" t="n">
        <v>507</v>
      </c>
      <c r="E14" t="n">
        <v>22</v>
      </c>
      <c r="F14" t="n">
        <v>22</v>
      </c>
      <c r="G14" t="inlineStr">
        <is>
          <t>{"raw_path": "C:\\Users\\marce\\Downloads\\CHRUTH_LIVRAISON_NO_CODE\\data\\ao_raw\\boamp_collect_20260705_135641.json", "skipped_reasons": {"aucun mot-cle CHRUTH": 194, "avis non actif ou attribution": 124, "hors IDF": 110, "exclusion dure": 56, "exclusion metier": 1}, "kept_reasons": {"ok": 22},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5">
      <c r="A15" t="n">
        <v>79</v>
      </c>
      <c r="B15" t="inlineStr">
        <is>
          <t>2026-07-05T10:57:03.902105+00:00</t>
        </is>
      </c>
      <c r="C15" t="inlineStr">
        <is>
          <t>BOAMP</t>
        </is>
      </c>
      <c r="D15" t="n">
        <v>507</v>
      </c>
      <c r="E15" t="n">
        <v>22</v>
      </c>
      <c r="F15" t="n">
        <v>22</v>
      </c>
      <c r="G15" t="inlineStr">
        <is>
          <t>{"raw_path": "C:\\Users\\marce\\Downloads\\CHRUTH_LIVRAISON_NO_CODE\\data\\ao_raw\\boamp_collect_20260705_125703.json", "skipped_reasons": {"aucun mot-cle CHRUTH": 193, "avis non actif ou attribution": 123, "hors IDF": 110, "exclusion dure": 58, "exclusion metier": 1}, "kept_reasons": {"ok": 22},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6">
      <c r="A16" t="n">
        <v>78</v>
      </c>
      <c r="B16" t="inlineStr">
        <is>
          <t>2026-07-05T09:56:51.651407+00:00</t>
        </is>
      </c>
      <c r="C16" t="inlineStr">
        <is>
          <t>BOAMP</t>
        </is>
      </c>
      <c r="D16" t="n">
        <v>502</v>
      </c>
      <c r="E16" t="n">
        <v>22</v>
      </c>
      <c r="F16" t="n">
        <v>22</v>
      </c>
      <c r="G16" t="inlineStr">
        <is>
          <t>{"raw_path": "C:\\Users\\marce\\Downloads\\CHRUTH_LIVRAISON_NO_CODE\\data\\ao_raw\\boamp_collect_20260705_115651.json", "skipped_reasons": {"aucun mot-cle CHRUTH": 192, "avis non actif ou attribution": 122, "hors IDF": 108, "exclusion dure": 57, "exclusion metier": 1}, "kept_reasons": {"ok": 22}, "where": "(\"nettoyage\" OR \"proprete\" OR \"entretien des locaux\" OR \"entretien locaux\" OR \"nettoyage de vitres\" OR \"bionettoyage\" OR \"menage\" OR \"hygiene des locaux\" OR \"entretien menager\" OR \"proprete des locaux\" OR \"desinfection\") AND dateparution &gt;= date'2026-06-21'", "strict_budget": false, "idf_only": true}</t>
        </is>
      </c>
    </row>
    <row r="17">
      <c r="A17" t="n">
        <v>77</v>
      </c>
      <c r="B17" t="inlineStr">
        <is>
          <t>2026-07-04T20:09:19.531451+00:00</t>
        </is>
      </c>
      <c r="C17" t="inlineStr">
        <is>
          <t>BOAMP</t>
        </is>
      </c>
      <c r="D17" t="n">
        <v>509</v>
      </c>
      <c r="E17" t="n">
        <v>21</v>
      </c>
      <c r="F17" t="n">
        <v>21</v>
      </c>
      <c r="G17" t="inlineStr">
        <is>
          <t>{"raw_path": "C:\\Users\\marce\\Downloads\\CHRUTH_LIVRAISON_NO_CODE\\data\\ao_raw\\boamp_collect_20260704_220919.json", "skipped_reasons": {"aucun mot-cle CHRUTH": 193, "avis non actif ou attribution": 125, "exclusion dure": 59, "hors IDF": 110,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18">
      <c r="A18" t="n">
        <v>76</v>
      </c>
      <c r="B18" t="inlineStr">
        <is>
          <t>2026-07-04T19:54:45.141715+00:00</t>
        </is>
      </c>
      <c r="C18" t="inlineStr">
        <is>
          <t>BOAMP</t>
        </is>
      </c>
      <c r="D18" t="n">
        <v>509</v>
      </c>
      <c r="E18" t="n">
        <v>21</v>
      </c>
      <c r="F18" t="n">
        <v>21</v>
      </c>
      <c r="G18" t="inlineStr">
        <is>
          <t>{"raw_path": "C:\\Users\\marce\\Downloads\\CHRUTH_LIVRAISON_NO_CODE\\data\\ao_raw\\boamp_collect_20260704_215444.json", "skipped_reasons": {"aucun mot-cle CHRUTH": 193, "avis non actif ou attribution": 125, "exclusion dure": 59, "hors IDF": 110,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19">
      <c r="A19" t="n">
        <v>75</v>
      </c>
      <c r="B19" t="inlineStr">
        <is>
          <t>2026-07-04T13:17:01.977357+00:00</t>
        </is>
      </c>
      <c r="C19" t="inlineStr">
        <is>
          <t>BOAMP</t>
        </is>
      </c>
      <c r="D19" t="n">
        <v>482</v>
      </c>
      <c r="E19" t="n">
        <v>21</v>
      </c>
      <c r="F19" t="n">
        <v>21</v>
      </c>
      <c r="G19" t="inlineStr">
        <is>
          <t>{"raw_path": "C:\\Users\\marce\\Downloads\\CHRUTH_LIVRAISON_NO_CODE\\data\\ao_raw\\boamp_collect_20260704_151701.json",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0">
      <c r="A20" t="n">
        <v>74</v>
      </c>
      <c r="B20" t="inlineStr">
        <is>
          <t>2026-07-04T11:10:13.967845+00:00</t>
        </is>
      </c>
      <c r="C20" t="inlineStr">
        <is>
          <t>BOAMP</t>
        </is>
      </c>
      <c r="D20" t="n">
        <v>482</v>
      </c>
      <c r="E20" t="n">
        <v>21</v>
      </c>
      <c r="F20" t="n">
        <v>21</v>
      </c>
      <c r="G20" t="inlineStr">
        <is>
          <t>{"raw_path": "C:\\Users\\marce\\Downloads\\CHRUTH_LIVRAISON_NO_CODE\\data\\ao_raw\\boamp_collect_20260704_131013.json",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1">
      <c r="A21" t="n">
        <v>73</v>
      </c>
      <c r="B21" t="inlineStr">
        <is>
          <t>2026-07-04T10:16:08.606254+00:00</t>
        </is>
      </c>
      <c r="C21" t="inlineStr">
        <is>
          <t>BOAMP</t>
        </is>
      </c>
      <c r="D21" t="n">
        <v>482</v>
      </c>
      <c r="E21" t="n">
        <v>21</v>
      </c>
      <c r="F21" t="n">
        <v>21</v>
      </c>
      <c r="G21" t="inlineStr">
        <is>
          <t>{"raw_path": "C:\\Users\\marce\\Downloads\\CHRUTH_LIVRAISON_NO_CODE\\data\\ao_raw\\boamp_collect_20260704_121608.json",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2">
      <c r="A22" t="n">
        <v>72</v>
      </c>
      <c r="B22" t="inlineStr">
        <is>
          <t>2026-07-04T09:16:56.261832+00:00</t>
        </is>
      </c>
      <c r="C22" t="inlineStr">
        <is>
          <t>BOAMP</t>
        </is>
      </c>
      <c r="D22" t="n">
        <v>482</v>
      </c>
      <c r="E22" t="n">
        <v>21</v>
      </c>
      <c r="F22" t="n">
        <v>21</v>
      </c>
      <c r="G22" t="inlineStr">
        <is>
          <t>{"raw_path": "C:\\Users\\marce\\Downloads\\CHRUTH_LIVRAISON_NO_CODE\\data\\ao_raw\\boamp_collect_20260704_111655.json",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3">
      <c r="A23" t="n">
        <v>71</v>
      </c>
      <c r="B23" t="inlineStr">
        <is>
          <t>2026-07-04T07:09:07.188728+00:00</t>
        </is>
      </c>
      <c r="C23" t="inlineStr">
        <is>
          <t>BOAMP</t>
        </is>
      </c>
      <c r="D23" t="n">
        <v>482</v>
      </c>
      <c r="E23" t="n">
        <v>21</v>
      </c>
      <c r="F23" t="n">
        <v>21</v>
      </c>
      <c r="G23" t="inlineStr">
        <is>
          <t>{"raw_path": "C:\\Users\\marce\\Downloads\\CHRUTH_LIVRAISON_NO_CODE\\data\\ao_raw\\boamp_collect_20260704_090907.json",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4">
      <c r="A24" t="n">
        <v>70</v>
      </c>
      <c r="B24" t="inlineStr">
        <is>
          <t>2026-07-04T05:47:41.307897+00:00</t>
        </is>
      </c>
      <c r="C24" t="inlineStr">
        <is>
          <t>BOAMP</t>
        </is>
      </c>
      <c r="D24" t="n">
        <v>482</v>
      </c>
      <c r="E24" t="n">
        <v>21</v>
      </c>
      <c r="F24" t="n">
        <v>21</v>
      </c>
      <c r="G24" t="inlineStr">
        <is>
          <t>{"raw_path": "C:\\Users\\marce\\Downloads\\CHRUTH_LIVRAISON_NO_CODE\\data\\ao_raw\\boamp_collect_20260704_074741.json",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5">
      <c r="A25" t="n">
        <v>69</v>
      </c>
      <c r="B25" t="inlineStr">
        <is>
          <t>2026-07-04T05:40:44.611523+00:00</t>
        </is>
      </c>
      <c r="C25" t="inlineStr">
        <is>
          <t>BOAMP</t>
        </is>
      </c>
      <c r="D25" t="n">
        <v>482</v>
      </c>
      <c r="E25" t="n">
        <v>21</v>
      </c>
      <c r="F25" t="n">
        <v>21</v>
      </c>
      <c r="G25" t="inlineStr">
        <is>
          <t>{"raw_path": "C:\\Users\\marce\\Downloads\\CHRUTH_LIVRAISON_NO_CODE\\data\\ao_raw\\boamp_collect_20260704_074044.json", "skipped_reasons": {"hors IDF": 104, "exclusion dure": 57, "aucun mot-cle CHRUTH": 180, "avis non actif ou attribution": 119, "exclusion metier": 1}, "kept_reasons": {"ok": 21}, "where": "(\"nettoyage\" OR \"proprete\" OR \"entretien des locaux\" OR \"entretien locaux\" OR \"nettoyage de vitres\" OR \"bionettoyage\" OR \"menage\" OR \"hygiene des locaux\" OR \"entretien menager\" OR \"proprete des locaux\" OR \"desinfection\") AND dateparution &gt;= date'2026-06-20'", "strict_budget": false, "idf_only": true}</t>
        </is>
      </c>
    </row>
    <row r="26">
      <c r="A26" t="n">
        <v>68</v>
      </c>
      <c r="B26" t="inlineStr">
        <is>
          <t>2026-07-03T18:25:45.695511+00:00</t>
        </is>
      </c>
      <c r="C26" t="inlineStr">
        <is>
          <t>BOAMP</t>
        </is>
      </c>
      <c r="D26" t="n">
        <v>530</v>
      </c>
      <c r="E26" t="n">
        <v>26</v>
      </c>
      <c r="F26" t="n">
        <v>26</v>
      </c>
      <c r="G26" t="inlineStr">
        <is>
          <t>{"raw_path": "C:\\Users\\marce\\Downloads\\CHRUTH_LIVRAISON_NO_CODE\\data\\ao_raw\\boamp_collect_20260703_202545.json", "skipped_reasons": {"hors IDF": 126, "exclusion dure": 54, "aucun mot-cle CHRUTH": 195, "avis non actif ou attribution": 128, "exclusion metier": 1}, "kept_reasons": {"ok": 26}, "where": "(\"nettoyage\" OR \"proprete\" OR \"entretien des locaux\" OR \"entretien locaux\" OR \"nettoyage de vitres\" OR \"bionettoyage\" OR \"menage\" OR \"hygiene des locaux\" OR \"entretien menager\" OR \"proprete des locaux\" OR \"desinfection\") AND dateparution &gt;= date'2026-06-19'", "strict_budget": false, "idf_only": true}</t>
        </is>
      </c>
    </row>
    <row r="27">
      <c r="A27" t="n">
        <v>67</v>
      </c>
      <c r="B27" t="inlineStr">
        <is>
          <t>2026-07-03T18:00:33.290906+00:00</t>
        </is>
      </c>
      <c r="C27" t="inlineStr">
        <is>
          <t>BOAMP</t>
        </is>
      </c>
      <c r="D27" t="n">
        <v>530</v>
      </c>
      <c r="E27" t="n">
        <v>26</v>
      </c>
      <c r="F27" t="n">
        <v>26</v>
      </c>
      <c r="G27" t="inlineStr">
        <is>
          <t>{"raw_path": "C:\\Users\\marce\\Downloads\\CHRUTH_LIVRAISON_NO_CODE\\data\\ao_raw\\boamp_collect_20260703_200033.json", "skipped_reasons": {"hors IDF": 126, "exclusion dure": 55, "aucun mot-cle CHRUTH": 194, "avis non actif ou attribution": 128, "exclusion metier": 1}, "kept_reasons": {"ok": 26}, "where": "(\"nettoyage\" OR \"proprete\" OR \"entretien des locaux\" OR \"entretien locaux\" OR \"nettoyage de vitres\" OR \"bionettoyage\" OR \"menage\" OR \"hygiene des locaux\" OR \"entretien menager\" OR \"proprete des locaux\" OR \"desinfection\") AND dateparution &gt;= date'2026-06-19'", "strict_budget": false, "idf_only": true}</t>
        </is>
      </c>
    </row>
    <row r="28">
      <c r="A28" t="n">
        <v>66</v>
      </c>
      <c r="B28" t="inlineStr">
        <is>
          <t>2026-07-03T12:22:29.911942+00:00</t>
        </is>
      </c>
      <c r="C28" t="inlineStr">
        <is>
          <t>BOAMP</t>
        </is>
      </c>
      <c r="D28" t="n">
        <v>524</v>
      </c>
      <c r="E28" t="n">
        <v>26</v>
      </c>
      <c r="F28" t="n">
        <v>26</v>
      </c>
      <c r="G28" t="inlineStr">
        <is>
          <t>{"raw_path": "C:\\Users\\marce\\Downloads\\CHRUTH_LIVRAISON_NO_CODE\\data\\ao_raw\\boamp_collect_20260703_142229.json", "skipped_reasons": {"hors IDF": 123, "exclusion dure": 53, "aucun mot-cle CHRUTH": 193, "avis non actif ou attribution": 128, "exclusion metier": 1}, "kept_reasons": {"ok": 26}, "where": "(\"nettoyage\" OR \"proprete\" OR \"entretien des locaux\" OR \"entretien locaux\" OR \"nettoyage de vitres\" OR \"bionettoyage\" OR \"menage\" OR \"hygiene des locaux\" OR \"entretien menager\" OR \"proprete des locaux\" OR \"desinfection\") AND dateparution &gt;= date'2026-06-19'", "strict_budget": false, "idf_only": true}</t>
        </is>
      </c>
    </row>
    <row r="29">
      <c r="A29" t="n">
        <v>65</v>
      </c>
      <c r="B29" t="inlineStr">
        <is>
          <t>2026-07-03T05:27:52.435306+00:00</t>
        </is>
      </c>
      <c r="C29" t="inlineStr">
        <is>
          <t>BOAMP</t>
        </is>
      </c>
      <c r="D29" t="n">
        <v>517</v>
      </c>
      <c r="E29" t="n">
        <v>26</v>
      </c>
      <c r="F29" t="n">
        <v>26</v>
      </c>
      <c r="G29" t="inlineStr">
        <is>
          <t>{"raw_path": "C:\\Users\\marce\\Downloads\\CHRUTH_LIVRAISON_NO_CODE\\data\\ao_raw\\boamp_collect_20260703_072752.json", "skipped_reasons": {"aucun mot-cle CHRUTH": 192, "hors IDF": 129, "avis non actif ou attribution": 128, "exclusion dure": 41, "exclusion metier": 1}, "kept_reasons": {"ok": 26}, "where": "(\"nettoyage\" OR \"proprete\" OR \"entretien des locaux\" OR \"entretien locaux\" OR \"nettoyage de vitres\" OR \"bionettoyage\" OR \"menage\" OR \"hygiene des locaux\" OR \"entretien menager\" OR \"proprete des locaux\" OR \"desinfection\") AND dateparution &gt;= date'2026-06-19'", "strict_budget": false, "idf_only": true}</t>
        </is>
      </c>
    </row>
    <row r="30">
      <c r="A30" t="n">
        <v>64</v>
      </c>
      <c r="B30" t="inlineStr">
        <is>
          <t>2026-07-02T11:23:12.508639+00:00</t>
        </is>
      </c>
      <c r="C30" t="inlineStr">
        <is>
          <t>BOAMP</t>
        </is>
      </c>
      <c r="D30" t="n">
        <v>516</v>
      </c>
      <c r="E30" t="n">
        <v>27</v>
      </c>
      <c r="F30" t="n">
        <v>27</v>
      </c>
      <c r="G30" t="inlineStr">
        <is>
          <t>{"raw_path": "C:\\Users\\marce\\Downloads\\CHRUTH_LIVRAISON_NO_CODE\\data\\ao_raw\\boamp_collect_20260702_132312.json", "skipped_reasons": {"avis non actif ou attribution": 135, "aucun mot-cle CHRUTH": 184, "exclusion dure": 41, "hors IDF": 128, "exclusion metier": 1}, "kept_reasons": {"ok": 27}, "where": "(\"nettoyage\" OR \"proprete\" OR \"entretien des locaux\" OR \"entretien locaux\" OR \"nettoyage de vitres\" OR \"bionettoyage\" OR \"menage\" OR \"hygiene des locaux\" OR \"entretien menager\" OR \"proprete des locaux\" OR \"desinfection\") AND dateparution &gt;= date'2026-06-18'", "strict_budget": false, "idf_only": true}</t>
        </is>
      </c>
    </row>
    <row r="31">
      <c r="A31" t="n">
        <v>63</v>
      </c>
      <c r="B31" t="inlineStr">
        <is>
          <t>2026-06-22T17:17:08.986450+00:00</t>
        </is>
      </c>
      <c r="C31" t="inlineStr">
        <is>
          <t>BOAMP</t>
        </is>
      </c>
      <c r="D31" t="n">
        <v>499</v>
      </c>
      <c r="E31" t="n">
        <v>29</v>
      </c>
      <c r="F31" t="n">
        <v>29</v>
      </c>
      <c r="G31" t="inlineStr">
        <is>
          <t>{"raw_path": "C:\\Users\\marce\\Downloads\\CHRUTH_Data\\data\\ao_raw\\boamp_collect_20260622_191708.json", "skipped_reasons": {"hors IDF": 129, "aucun mot-cle CHRUTH": 172, "avis non actif ou attribution": 115, "exclusion dure": 54}, "kept_reasons": {"ok": 29}, "where": "(\"nettoyage\" OR \"proprete\" OR \"entretien des locaux\" OR \"entretien locaux\" OR \"nettoyage de vitres\" OR \"bionettoyage\" OR \"menage\" OR \"hygiene des locaux\" OR \"entretien menager\" OR \"proprete des locaux\" OR \"desinfection\") AND dateparution &gt;= date'2026-06-08'", "strict_budget": false, "idf_only": true}</t>
        </is>
      </c>
    </row>
    <row r="32">
      <c r="A32" t="n">
        <v>62</v>
      </c>
      <c r="B32" t="inlineStr">
        <is>
          <t>2026-06-22T16:50:35.510210+00:00</t>
        </is>
      </c>
      <c r="C32" t="inlineStr">
        <is>
          <t>BOAMP</t>
        </is>
      </c>
      <c r="D32" t="n">
        <v>499</v>
      </c>
      <c r="E32" t="n">
        <v>29</v>
      </c>
      <c r="F32" t="n">
        <v>29</v>
      </c>
      <c r="G32" t="inlineStr">
        <is>
          <t>{"raw_path": "C:\\Users\\marce\\Downloads\\CHRUTH_Data\\data\\ao_raw\\boamp_collect_20260622_185035.json", "skipped_reasons": {"hors IDF": 129, "aucun mot-cle CHRUTH": 172, "avis non actif ou attribution": 115, "exclusion dure": 54}, "kept_reasons": {"ok": 29}, "where": "(\"nettoyage\" OR \"proprete\" OR \"entretien des locaux\" OR \"entretien locaux\" OR \"nettoyage de vitres\" OR \"bionettoyage\" OR \"menage\" OR \"hygiene des locaux\" OR \"entretien menager\" OR \"proprete des locaux\" OR \"desinfection\") AND dateparution &gt;= date'2026-06-08'", "strict_budget": false, "idf_only": true}</t>
        </is>
      </c>
    </row>
    <row r="33">
      <c r="A33" t="n">
        <v>61</v>
      </c>
      <c r="B33" t="inlineStr">
        <is>
          <t>2026-06-22T06:35:24.073485+00:00</t>
        </is>
      </c>
      <c r="C33" t="inlineStr">
        <is>
          <t>BOAMP</t>
        </is>
      </c>
      <c r="D33" t="n">
        <v>488</v>
      </c>
      <c r="E33" t="n">
        <v>29</v>
      </c>
      <c r="F33" t="n">
        <v>29</v>
      </c>
      <c r="G33" t="inlineStr">
        <is>
          <t>{"raw_path": "C:\\Users\\marce\\Downloads\\CHRUTH_Data\\data\\ao_raw\\boamp_collect_20260622_083523.json", "skipped_reasons": {"aucun mot-cle CHRUTH": 168, "avis non actif ou attribution": 114, "hors IDF": 123, "exclusion dure": 54}, "kept_reasons": {"ok": 29}, "where": "(\"nettoyage\" OR \"proprete\" OR \"entretien des locaux\" OR \"entretien locaux\" OR \"nettoyage de vitres\" OR \"bionettoyage\" OR \"menage\" OR \"hygiene des locaux\" OR \"entretien menager\" OR \"proprete des locaux\" OR \"desinfection\") AND dateparution &gt;= date'2026-06-08'", "strict_budget": false, "idf_only": true}</t>
        </is>
      </c>
    </row>
    <row r="34">
      <c r="A34" t="n">
        <v>60</v>
      </c>
      <c r="B34" t="inlineStr">
        <is>
          <t>2026-06-21T20:16:07.578058+00:00</t>
        </is>
      </c>
      <c r="C34" t="inlineStr">
        <is>
          <t>BOAMP</t>
        </is>
      </c>
      <c r="D34" t="n">
        <v>521</v>
      </c>
      <c r="E34" t="n">
        <v>34</v>
      </c>
      <c r="F34" t="n">
        <v>34</v>
      </c>
      <c r="G34" t="inlineStr">
        <is>
          <t>{"raw_path": "C:\\Users\\marce\\Downloads\\CHRUTH_Data\\data\\ao_raw\\boamp_collect_20260621_221607.json", "skipped_reasons": {"avis non actif ou attribution": 120, "hors IDF": 135, "aucun mot-cle CHRUTH": 174, "exclusion dure": 58}, "kept_reasons": {"ok": 32, "ok mot-cle secondaire": 2}, "where": "(\"nettoyage\" OR \"proprete\" OR \"entretien des locaux\" OR \"entretien locaux\" OR \"nettoyage de vitres\" OR \"bionettoyage\" OR \"menage\" OR \"hygiene des locaux\" OR \"entretien menager\" OR \"proprete des locaux\" OR \"desinfection\") AND dateparution &gt;= date'2026-06-07'", "strict_budget": false, "idf_only": true}</t>
        </is>
      </c>
    </row>
    <row r="35">
      <c r="A35" t="n">
        <v>59</v>
      </c>
      <c r="B35" t="inlineStr">
        <is>
          <t>2026-06-21T19:16:16.432137+00:00</t>
        </is>
      </c>
      <c r="C35" t="inlineStr">
        <is>
          <t>BOAMP</t>
        </is>
      </c>
      <c r="D35" t="n">
        <v>521</v>
      </c>
      <c r="E35" t="n">
        <v>34</v>
      </c>
      <c r="F35" t="n">
        <v>34</v>
      </c>
      <c r="G35" t="inlineStr">
        <is>
          <t>{"raw_path": "C:\\Users\\marce\\Downloads\\CHRUTH_Data\\data\\ao_raw\\boamp_collect_20260621_211616.json", "skipped_reasons": {"avis non actif ou attribution": 120, "hors IDF": 135, "aucun mot-cle CHRUTH": 174, "exclusion dure": 58}, "kept_reasons": {"ok": 32, "ok mot-cle secondaire": 2}, "where": "(\"nettoyage\" OR \"proprete\" OR \"entretien des locaux\" OR \"entretien locaux\" OR \"nettoyage de vitres\" OR \"bionettoyage\" OR \"menage\" OR \"hygiene des locaux\" OR \"entretien menager\" OR \"proprete des locaux\" OR \"desinfection\") AND dateparution &gt;= date'2026-06-07'", "strict_budget": false, "idf_only": true}</t>
        </is>
      </c>
    </row>
    <row r="36">
      <c r="A36" t="n">
        <v>58</v>
      </c>
      <c r="B36" t="inlineStr">
        <is>
          <t>2026-06-21T18:16:20.857116+00:00</t>
        </is>
      </c>
      <c r="C36" t="inlineStr">
        <is>
          <t>BOAMP</t>
        </is>
      </c>
      <c r="D36" t="n">
        <v>521</v>
      </c>
      <c r="E36" t="n">
        <v>34</v>
      </c>
      <c r="F36" t="n">
        <v>34</v>
      </c>
      <c r="G36" t="inlineStr">
        <is>
          <t>{"raw_path": "C:\\Users\\marce\\Downloads\\CHRUTH_Data\\data\\ao_raw\\boamp_collect_20260621_201620.json", "skipped_reasons": {"avis non actif ou attribution": 120, "hors IDF": 135, "aucun mot-cle CHRUTH": 174, "exclusion dure": 58}, "kept_reasons": {"ok": 32, "ok mot-cle secondaire": 2}, "where": "(\"nettoyage\" OR \"proprete\" OR \"entretien des locaux\" OR \"entretien locaux\" OR \"nettoyage de vitres\" OR \"bionettoyage\" OR \"menage\" OR \"hygiene des locaux\" OR \"entretien menager\" OR \"proprete des locaux\" OR \"desinfection\") AND dateparution &gt;= date'2026-06-07'", "strict_budget": false, "idf_only": true}</t>
        </is>
      </c>
    </row>
    <row r="37">
      <c r="A37" t="n">
        <v>57</v>
      </c>
      <c r="B37" t="inlineStr">
        <is>
          <t>2026-06-21T18:09:28.954710+00:00</t>
        </is>
      </c>
      <c r="C37" t="inlineStr">
        <is>
          <t>BOAMP</t>
        </is>
      </c>
      <c r="D37" t="n">
        <v>521</v>
      </c>
      <c r="E37" t="n">
        <v>34</v>
      </c>
      <c r="F37" t="n">
        <v>34</v>
      </c>
      <c r="G37" t="inlineStr">
        <is>
          <t>{"raw_path": "C:\\Users\\marce\\Downloads\\CHRUTH_Data\\data\\ao_raw\\boamp_collect_20260621_200928.json", "skipped_reasons": {"avis non actif ou attribution": 120, "hors IDF": 135, "aucun mot-cle CHRUTH": 174, "exclusion dure": 58}, "kept_reasons": {"ok": 32, "ok mot-cle secondaire": 2}, "where": "(\"nettoyage\" OR \"proprete\" OR \"entretien des locaux\" OR \"entretien locaux\" OR \"nettoyage de vitres\" OR \"bionettoyage\" OR \"menage\" OR \"hygiene des locaux\" OR \"entretien menager\" OR \"proprete des locaux\" OR \"desinfection\") AND dateparution &gt;= date'2026-06-07'", "strict_budget": false, "idf_only": true}</t>
        </is>
      </c>
    </row>
    <row r="38">
      <c r="A38" t="n">
        <v>56</v>
      </c>
      <c r="B38" t="inlineStr">
        <is>
          <t>2026-06-21T18:00:05.538079+00:00</t>
        </is>
      </c>
      <c r="C38" t="inlineStr">
        <is>
          <t>BOAMP</t>
        </is>
      </c>
      <c r="D38" t="n">
        <v>521</v>
      </c>
      <c r="E38" t="n">
        <v>34</v>
      </c>
      <c r="F38" t="n">
        <v>34</v>
      </c>
      <c r="G38" t="inlineStr">
        <is>
          <t>{"raw_path": "C:\\Users\\marce\\Downloads\\CHRUTH_Data\\data\\ao_raw\\boamp_collect_20260621_200005.json", "skipped_reasons": {"avis non actif ou attribution": 120, "hors IDF": 135, "aucun mot-cle CHRUTH": 174, "exclusion dure": 58}, "kept_reasons": {"ok": 32, "ok mot-cle secondaire": 2}, "where": "(\"nettoyage\" OR \"proprete\" OR \"entretien des locaux\" OR \"entretien locaux\" OR \"nettoyage de vitres\" OR \"bionettoyage\" OR \"menage\" OR \"hygiene des locaux\" OR \"entretien menager\" OR \"proprete des locaux\" OR \"desinfection\") AND dateparution &gt;= date'2026-06-07'", "strict_budget": false, "idf_only": true}</t>
        </is>
      </c>
    </row>
    <row r="39">
      <c r="A39" t="n">
        <v>55</v>
      </c>
      <c r="B39" t="inlineStr">
        <is>
          <t>2026-06-20T21:08:57.273238+00:00</t>
        </is>
      </c>
      <c r="C39" t="inlineStr">
        <is>
          <t>BOAMP</t>
        </is>
      </c>
      <c r="D39" t="n">
        <v>495</v>
      </c>
      <c r="E39" t="n">
        <v>30</v>
      </c>
      <c r="F39" t="n">
        <v>30</v>
      </c>
      <c r="G39" t="inlineStr">
        <is>
          <t>{"raw_path": "C:\\Users\\marce\\Downloads\\CHRUTH_Data\\data\\ao_raw\\boamp_collect_20260620_230856.json", "skipped_reasons": {"aucun mot-cle CHRUTH": 160, "hors IDF": 131, "avis non actif ou attribution": 118, "exclusion dure": 56}, "kept_reasons": {"ok": 28,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0">
      <c r="A40" t="n">
        <v>54</v>
      </c>
      <c r="B40" t="inlineStr">
        <is>
          <t>2026-06-20T20:16:04.203865+00:00</t>
        </is>
      </c>
      <c r="C40" t="inlineStr">
        <is>
          <t>BOAMP</t>
        </is>
      </c>
      <c r="D40" t="n">
        <v>495</v>
      </c>
      <c r="E40" t="n">
        <v>30</v>
      </c>
      <c r="F40" t="n">
        <v>30</v>
      </c>
      <c r="G40" t="inlineStr">
        <is>
          <t>{"raw_path": "C:\\Users\\marce\\Downloads\\CHRUTH_Data\\data\\ao_raw\\boamp_collect_20260620_221603.json", "skipped_reasons": {"aucun mot-cle CHRUTH": 160, "hors IDF": 131, "avis non actif ou attribution": 118, "exclusion dure": 56}, "kept_reasons": {"ok": 28,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1">
      <c r="A41" t="n">
        <v>53</v>
      </c>
      <c r="B41" t="inlineStr">
        <is>
          <t>2026-06-20T20:09:19.692962+00:00</t>
        </is>
      </c>
      <c r="C41" t="inlineStr">
        <is>
          <t>BOAMP</t>
        </is>
      </c>
      <c r="D41" t="n">
        <v>495</v>
      </c>
      <c r="E41" t="n">
        <v>30</v>
      </c>
      <c r="F41" t="n">
        <v>30</v>
      </c>
      <c r="G41" t="inlineStr">
        <is>
          <t>{"raw_path": "C:\\Users\\marce\\Downloads\\CHRUTH_Data\\data\\ao_raw\\boamp_collect_20260620_220919.json", "skipped_reasons": {"aucun mot-cle CHRUTH": 160, "hors IDF": 131, "avis non actif ou attribution": 118, "exclusion dure": 56}, "kept_reasons": {"ok": 28,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2">
      <c r="A42" t="n">
        <v>52</v>
      </c>
      <c r="B42" t="inlineStr">
        <is>
          <t>2026-06-20T19:31:41.475753+00:00</t>
        </is>
      </c>
      <c r="C42" t="inlineStr">
        <is>
          <t>BOAMP</t>
        </is>
      </c>
      <c r="D42" t="n">
        <v>495</v>
      </c>
      <c r="E42" t="n">
        <v>30</v>
      </c>
      <c r="F42" t="n">
        <v>30</v>
      </c>
      <c r="G42" t="inlineStr">
        <is>
          <t>{"raw_path": "C:\\Users\\marce\\Downloads\\CHRUTH_Data\\data\\ao_raw\\boamp_collect_20260620_213141.json", "skipped_reasons": {"aucun mot-cle CHRUTH": 160, "hors IDF": 131, "avis non actif ou attribution": 118, "exclusion dure": 56}, "kept_reasons": {"ok": 28,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3">
      <c r="A43" t="n">
        <v>51</v>
      </c>
      <c r="B43" t="inlineStr">
        <is>
          <t>2026-06-20T10:38:09.332743+00:00</t>
        </is>
      </c>
      <c r="C43" t="inlineStr">
        <is>
          <t>BOAMP</t>
        </is>
      </c>
      <c r="D43" t="n">
        <v>477</v>
      </c>
      <c r="E43" t="n">
        <v>29</v>
      </c>
      <c r="F43" t="n">
        <v>29</v>
      </c>
      <c r="G43" t="inlineStr">
        <is>
          <t>{"raw_path": "C:\\Users\\marce\\Downloads\\CHRUTH_Data\\data\\ao_raw\\boamp_collect_20260620_123807.json", "skipped_reasons": {"hors IDF": 127, "aucun mot-cle CHRUTH": 153, "avis non actif ou attribution": 114, "exclusion dure": 54}, "kept_reasons": {"ok": 27,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4">
      <c r="A44" t="n">
        <v>50</v>
      </c>
      <c r="B44" t="inlineStr">
        <is>
          <t>2026-06-20T09:15:26.117949+00:00</t>
        </is>
      </c>
      <c r="C44" t="inlineStr">
        <is>
          <t>BOAMP</t>
        </is>
      </c>
      <c r="D44" t="n">
        <v>477</v>
      </c>
      <c r="E44" t="n">
        <v>29</v>
      </c>
      <c r="F44" t="n">
        <v>29</v>
      </c>
      <c r="G44" t="inlineStr">
        <is>
          <t>{"raw_path": "C:\\Users\\marce\\Downloads\\CHRUTH_Data\\data\\ao_raw\\boamp_collect_20260620_111525.json", "skipped_reasons": {"hors IDF": 127, "aucun mot-cle CHRUTH": 153, "avis non actif ou attribution": 114, "exclusion dure": 54}, "kept_reasons": {"ok": 27,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5">
      <c r="A45" t="n">
        <v>49</v>
      </c>
      <c r="B45" t="inlineStr">
        <is>
          <t>2026-06-19T22:15:51.470071+00:00</t>
        </is>
      </c>
      <c r="C45" t="inlineStr">
        <is>
          <t>BOAMP</t>
        </is>
      </c>
      <c r="D45" t="n">
        <v>477</v>
      </c>
      <c r="E45" t="n">
        <v>29</v>
      </c>
      <c r="F45" t="n">
        <v>29</v>
      </c>
      <c r="G45" t="inlineStr">
        <is>
          <t>{"raw_path": "C:\\Users\\marce\\Downloads\\CHRUTH_Data\\data\\ao_raw\\boamp_collect_20260620_001551.json", "skipped_reasons": {"hors IDF": 127, "aucun mot-cle CHRUTH": 153, "avis non actif ou attribution": 114, "exclusion dure": 54}, "kept_reasons": {"ok": 27,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6">
      <c r="A46" t="n">
        <v>48</v>
      </c>
      <c r="B46" t="inlineStr">
        <is>
          <t>2026-06-19T22:09:05.705131+00:00</t>
        </is>
      </c>
      <c r="C46" t="inlineStr">
        <is>
          <t>BOAMP</t>
        </is>
      </c>
      <c r="D46" t="n">
        <v>477</v>
      </c>
      <c r="E46" t="n">
        <v>29</v>
      </c>
      <c r="F46" t="n">
        <v>29</v>
      </c>
      <c r="G46" t="inlineStr">
        <is>
          <t>{"raw_path": "C:\\Users\\marce\\Downloads\\CHRUTH_Data\\data\\ao_raw\\boamp_collect_20260620_000905.json", "skipped_reasons": {"hors IDF": 127, "aucun mot-cle CHRUTH": 153, "avis non actif ou attribution": 114, "exclusion dure": 54}, "kept_reasons": {"ok": 27, "ok mot-cle secondaire": 2}, "where": "(\"nettoyage\" OR \"proprete\" OR \"entretien des locaux\" OR \"entretien locaux\" OR \"nettoyage de vitres\" OR \"bionettoyage\" OR \"menage\" OR \"hygiene des locaux\" OR \"entretien menager\" OR \"proprete des locaux\" OR \"desinfection\") AND dateparution &gt;= date'2026-06-06'", "strict_budget": false, "idf_only": true}</t>
        </is>
      </c>
    </row>
    <row r="47">
      <c r="A47" t="n">
        <v>47</v>
      </c>
      <c r="B47" t="inlineStr">
        <is>
          <t>2026-06-19T21:58:24.447383+00:00</t>
        </is>
      </c>
      <c r="C47" t="inlineStr">
        <is>
          <t>BOAMP</t>
        </is>
      </c>
      <c r="D47" t="n">
        <v>524</v>
      </c>
      <c r="E47" t="n">
        <v>32</v>
      </c>
      <c r="F47" t="n">
        <v>32</v>
      </c>
      <c r="G47" t="inlineStr">
        <is>
          <t>{"raw_path": "C:\\Users\\marce\\Downloads\\CHRUTH_Data\\data\\ao_raw\\boamp_collect_20260619_235824.json", "skipped_reasons": {"hors IDF": 132, "aucun mot-cle CHRUTH": 173, "avis non actif ou attribution": 130, "exclusion dure": 57}, "kept_reasons": {"ok": 30, "ok mot-cle secondaire": 2}, "where": "(\"nettoyage\" OR \"proprete\" OR \"entretien des locaux\" OR \"entretien locaux\" OR \"nettoyage de vitres\" OR \"bionettoyage\" OR \"menage\" OR \"hygiene des locaux\" OR \"entretien menager\" OR \"proprete des locaux\" OR \"desinfection\") AND dateparution &gt;= date'2026-06-05'", "strict_budget": false, "idf_only": true}</t>
        </is>
      </c>
    </row>
    <row r="48">
      <c r="A48" t="n">
        <v>46</v>
      </c>
      <c r="B48" t="inlineStr">
        <is>
          <t>2026-06-19T21:09:14.155491+00:00</t>
        </is>
      </c>
      <c r="C48" t="inlineStr">
        <is>
          <t>BOAMP</t>
        </is>
      </c>
      <c r="D48" t="n">
        <v>524</v>
      </c>
      <c r="E48" t="n">
        <v>32</v>
      </c>
      <c r="F48" t="n">
        <v>32</v>
      </c>
      <c r="G48" t="inlineStr">
        <is>
          <t>{"raw_path": "C:\\Users\\marce\\Downloads\\CHRUTH_Data\\data\\ao_raw\\boamp_collect_20260619_230913.json", "skipped_reasons": {"hors IDF": 132, "aucun mot-cle CHRUTH": 173, "avis non actif ou attribution": 130, "exclusion dure": 57}, "kept_reasons": {"ok": 30, "ok mot-cle secondaire": 2}, "where": "(\"nettoyage\" OR \"proprete\" OR \"entretien des locaux\" OR \"entretien locaux\" OR \"nettoyage de vitres\" OR \"bionettoyage\" OR \"menage\" OR \"hygiene des locaux\" OR \"entretien menager\" OR \"proprete des locaux\" OR \"desinfection\") AND dateparution &gt;= date'2026-06-05'", "strict_budget": false, "idf_only": true}</t>
        </is>
      </c>
    </row>
    <row r="49">
      <c r="A49" t="n">
        <v>45</v>
      </c>
      <c r="B49" t="inlineStr">
        <is>
          <t>2026-06-19T20:55:22.852682+00:00</t>
        </is>
      </c>
      <c r="C49" t="inlineStr">
        <is>
          <t>BOAMP</t>
        </is>
      </c>
      <c r="D49" t="n">
        <v>524</v>
      </c>
      <c r="E49" t="n">
        <v>32</v>
      </c>
      <c r="F49" t="n">
        <v>32</v>
      </c>
      <c r="G49" t="inlineStr">
        <is>
          <t>{"raw_path": "C:\\Users\\marce\\Downloads\\CHRUTH_Data\\data\\ao_raw\\boamp_collect_20260619_225522.json", "skipped_reasons": {"hors IDF": 132, "aucun mot-cle CHRUTH": 173, "avis non actif ou attribution": 130, "exclusion dure": 57}, "kept_reasons": {"ok": 30, "ok mot-cle secondaire": 2}, "where": "(\"nettoyage\" OR \"proprete\" OR \"entretien des locaux\" OR \"entretien locaux\" OR \"nettoyage de vitres\" OR \"bionettoyage\" OR \"menage\" OR \"hygiene des locaux\" OR \"entretien menager\" OR \"proprete des locaux\" OR \"desinfection\") AND dateparution &gt;= date'2026-06-05'", "strict_budget": false, "idf_only": true}</t>
        </is>
      </c>
    </row>
    <row r="50">
      <c r="A50" t="n">
        <v>44</v>
      </c>
      <c r="B50" t="inlineStr">
        <is>
          <t>2026-06-19T20:16:13.534664+00:00</t>
        </is>
      </c>
      <c r="C50" t="inlineStr">
        <is>
          <t>BOAMP</t>
        </is>
      </c>
      <c r="D50" t="n">
        <v>524</v>
      </c>
      <c r="E50" t="n">
        <v>32</v>
      </c>
      <c r="F50" t="n">
        <v>32</v>
      </c>
      <c r="G50" t="inlineStr">
        <is>
          <t>{"raw_path": "C:\\Users\\marce\\Downloads\\CHRUTH_Data\\data\\ao_raw\\boamp_collect_20260619_221613.json", "skipped_reasons": {"hors IDF": 132, "aucun mot-cle CHRUTH": 173, "avis non actif ou attribution": 130, "exclusion dure": 57}, "kept_reasons": {"ok": 30, "ok mot-cle secondaire": 2}, "where": "(\"nettoyage\" OR \"proprete\" OR \"entretien des locaux\" OR \"entretien locaux\" OR \"nettoyage de vitres\" OR \"bionettoyage\" OR \"menage\" OR \"hygiene des locaux\" OR \"entretien menager\" OR \"proprete des locaux\" OR \"desinfection\") AND dateparution &gt;= date'2026-06-05'", "strict_budget": false, "idf_only": true}</t>
        </is>
      </c>
    </row>
    <row r="51">
      <c r="A51" t="n">
        <v>43</v>
      </c>
      <c r="B51" t="inlineStr">
        <is>
          <t>2026-06-18T21:47:40.446972+00:00</t>
        </is>
      </c>
      <c r="C51" t="inlineStr">
        <is>
          <t>BOAMP</t>
        </is>
      </c>
      <c r="D51" t="n">
        <v>516</v>
      </c>
      <c r="E51" t="n">
        <v>30</v>
      </c>
      <c r="F51" t="n">
        <v>30</v>
      </c>
      <c r="G51" t="inlineStr">
        <is>
          <t>{"raw_path": "C:\\Users\\marce\\Downloads\\CHRUTH_Data\\data\\ao_raw\\boamp_collect_20260618_234739.json", "skipped_reasons": {"aucun mot-cle CHRUTH": 177, "hors IDF": 123, "avis non actif ou attribution": 132, "exclusion dure": 54},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52">
      <c r="A52" t="n">
        <v>42</v>
      </c>
      <c r="B52" t="inlineStr">
        <is>
          <t>2026-06-18T20:13:41.662574+00:00</t>
        </is>
      </c>
      <c r="C52" t="inlineStr">
        <is>
          <t>BOAMP</t>
        </is>
      </c>
      <c r="D52" t="n">
        <v>516</v>
      </c>
      <c r="E52" t="n">
        <v>30</v>
      </c>
      <c r="F52" t="n">
        <v>30</v>
      </c>
      <c r="G52" t="inlineStr">
        <is>
          <t>{"raw_path": "C:\\Users\\marce\\Downloads\\CHRUTH_Data\\data\\ao_raw\\boamp_collect_20260618_221341.json", "skipped_reasons": {"aucun mot-cle CHRUTH": 177, "hors IDF": 123, "avis non actif ou attribution": 132, "exclusion dure": 54},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53">
      <c r="A53" t="n">
        <v>41</v>
      </c>
      <c r="B53" t="inlineStr">
        <is>
          <t>2026-06-18T14:08:41.152106+00:00</t>
        </is>
      </c>
      <c r="C53" t="inlineStr">
        <is>
          <t>BOAMP</t>
        </is>
      </c>
      <c r="D53" t="n">
        <v>510</v>
      </c>
      <c r="E53" t="n">
        <v>30</v>
      </c>
      <c r="F53" t="n">
        <v>30</v>
      </c>
      <c r="G53" t="inlineStr">
        <is>
          <t>{"raw_path": "C:\\Users\\marce\\Downloads\\CHRUTH_Data\\data\\ao_raw\\boamp_collect_20260618_160841.json", "skipped_reasons": {"aucun mot-cle CHRUTH": 177, "hors IDF": 121, "avis non actif ou attribution": 129, "exclusion dure": 53},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54">
      <c r="A54" t="n">
        <v>40</v>
      </c>
      <c r="B54" t="inlineStr">
        <is>
          <t>2026-06-18T13:54:43.140437+00:00</t>
        </is>
      </c>
      <c r="C54" t="inlineStr">
        <is>
          <t>BOAMP</t>
        </is>
      </c>
      <c r="D54" t="n">
        <v>510</v>
      </c>
      <c r="E54" t="n">
        <v>30</v>
      </c>
      <c r="F54" t="n">
        <v>30</v>
      </c>
      <c r="G54" t="inlineStr">
        <is>
          <t>{"raw_path": "C:\\Users\\marce\\Downloads\\CHRUTH_Data\\data\\ao_raw\\boamp_collect_20260618_155443.json", "skipped_reasons": {"aucun mot-cle CHRUTH": 177, "hors IDF": 121, "avis non actif ou attribution": 129, "exclusion dure": 53},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55">
      <c r="A55" t="n">
        <v>39</v>
      </c>
      <c r="B55" t="inlineStr">
        <is>
          <t>2026-06-18T13:08:49.256724+00:00</t>
        </is>
      </c>
      <c r="C55" t="inlineStr">
        <is>
          <t>BOAMP</t>
        </is>
      </c>
      <c r="D55" t="n">
        <v>510</v>
      </c>
      <c r="E55" t="n">
        <v>30</v>
      </c>
      <c r="F55" t="n">
        <v>30</v>
      </c>
      <c r="G55" t="inlineStr">
        <is>
          <t>{"raw_path": "C:\\Users\\marce\\Downloads\\CHRUTH_Data\\data\\ao_raw\\boamp_collect_20260618_150849.json", "skipped_reasons": {"aucun mot-cle CHRUTH": 177, "hors IDF": 121, "avis non actif ou attribution": 129, "exclusion dure": 53},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56">
      <c r="A56" t="n">
        <v>38</v>
      </c>
      <c r="B56" t="inlineStr">
        <is>
          <t>2026-06-18T09:12:49.481276+00:00</t>
        </is>
      </c>
      <c r="C56" t="inlineStr">
        <is>
          <t>BOAMP</t>
        </is>
      </c>
      <c r="D56" t="n">
        <v>124</v>
      </c>
      <c r="E56" t="n">
        <v>6</v>
      </c>
      <c r="F56" t="n">
        <v>6</v>
      </c>
      <c r="G56" t="inlineStr">
        <is>
          <t>{"raw_path": "C:\\Users\\marce\\Downloads\\CHRUTH_Data\\data\\ao_raw\\boamp_collect_20260618_111249.json", "skipped_reasons": {"aucun mot-cle CHRUTH": 39, "hors IDF": 32, "avis non actif ou attribution": 34, "exclusion dure": 13}, "kept_reasons": {"ok": 6}, "where": "(\"nettoyage\" OR \"proprete\" OR \"entretien des locaux\" OR \"entretien locaux\" OR \"nettoyage de vitres\" OR \"bionettoyage\" OR \"menage\" OR \"hygiene des locaux\" OR \"entretien menager\" OR \"proprete des locaux\" OR \"desinfection\") AND dateparution &gt;= date'2026-06-16'", "strict_budget": false, "idf_only": true}</t>
        </is>
      </c>
    </row>
    <row r="57">
      <c r="A57" t="n">
        <v>37</v>
      </c>
      <c r="B57" t="inlineStr">
        <is>
          <t>2026-06-18T08:57:47.034275+00:00</t>
        </is>
      </c>
      <c r="C57" t="inlineStr">
        <is>
          <t>BOAMP</t>
        </is>
      </c>
      <c r="D57" t="n">
        <v>124</v>
      </c>
      <c r="E57" t="n">
        <v>6</v>
      </c>
      <c r="F57" t="n">
        <v>6</v>
      </c>
      <c r="G57" t="inlineStr">
        <is>
          <t>{"raw_path": "C:\\Users\\marce\\Downloads\\CHRUTH_Data\\data\\ao_raw\\boamp_collect_20260618_105746.json", "skipped_reasons": {"aucun mot-cle CHRUTH": 39, "hors IDF": 32, "avis non actif ou attribution": 34, "exclusion dure": 13}, "kept_reasons": {"ok": 6}, "where": "(\"nettoyage\" OR \"proprete\" OR \"entretien des locaux\" OR \"entretien locaux\" OR \"nettoyage de vitres\" OR \"bionettoyage\" OR \"menage\" OR \"hygiene des locaux\" OR \"entretien menager\" OR \"proprete des locaux\" OR \"desinfection\") AND dateparution &gt;= date'2026-06-16'", "strict_budget": false, "idf_only": true}</t>
        </is>
      </c>
    </row>
    <row r="58">
      <c r="A58" t="n">
        <v>36</v>
      </c>
      <c r="B58" t="inlineStr">
        <is>
          <t>2026-06-18T08:19:57.156096+00:00</t>
        </is>
      </c>
      <c r="C58" t="inlineStr">
        <is>
          <t>BOAMP</t>
        </is>
      </c>
      <c r="D58" t="n">
        <v>124</v>
      </c>
      <c r="E58" t="n">
        <v>6</v>
      </c>
      <c r="F58" t="n">
        <v>6</v>
      </c>
      <c r="G58" t="inlineStr">
        <is>
          <t>{"raw_path": "C:\\Users\\marce\\Downloads\\CHRUTH_Data\\data\\ao_raw\\boamp_collect_20260618_101957.json", "skipped_reasons": {"aucun mot-cle CHRUTH": 39, "hors IDF": 32, "avis non actif ou attribution": 34, "exclusion dure": 13}, "kept_reasons": {"ok": 6}, "where": "(\"nettoyage\" OR \"proprete\" OR \"entretien des locaux\" OR \"entretien locaux\" OR \"nettoyage de vitres\" OR \"bionettoyage\" OR \"menage\" OR \"hygiene des locaux\" OR \"entretien menager\" OR \"proprete des locaux\" OR \"desinfection\") AND dateparution &gt;= date'2026-06-16'", "strict_budget": false, "idf_only": true}</t>
        </is>
      </c>
    </row>
    <row r="59">
      <c r="A59" t="n">
        <v>35</v>
      </c>
      <c r="B59" t="inlineStr">
        <is>
          <t>2026-06-18T08:16:39.971720+00:00</t>
        </is>
      </c>
      <c r="C59" t="inlineStr">
        <is>
          <t>BOAMP</t>
        </is>
      </c>
      <c r="D59" t="n">
        <v>504</v>
      </c>
      <c r="E59" t="n">
        <v>30</v>
      </c>
      <c r="F59" t="n">
        <v>30</v>
      </c>
      <c r="G59" t="inlineStr">
        <is>
          <t>{"raw_path": "C:\\Users\\marce\\Downloads\\CHRUTH_Data\\data\\ao_raw\\boamp_collect_20260618_101639.json", "skipped_reasons": {"aucun mot-cle CHRUTH": 177, "hors IDF": 119, "avis non actif ou attribution": 126, "exclusion dure": 52}, "kept_reasons": {"ok": 28, "ok mot-cle secondaire": 2}, "where": "(\"nettoyage\" OR \"proprete\" OR \"entretien des locaux\" OR \"entretien locaux\" OR \"nettoyage de vitres\" OR \"bionettoyage\" OR \"menage\" OR \"hygiene des locaux\" OR \"entretien menager\" OR \"proprete des locaux\" OR \"desinfection\") AND dateparution &gt;= date'2026-06-04'", "strict_budget": false, "idf_only": true}</t>
        </is>
      </c>
    </row>
    <row r="60">
      <c r="A60" t="n">
        <v>34</v>
      </c>
      <c r="B60" t="inlineStr">
        <is>
          <t>2026-06-18T08:07:30.571866+00:00</t>
        </is>
      </c>
      <c r="C60" t="inlineStr">
        <is>
          <t>BOAMP</t>
        </is>
      </c>
      <c r="D60" t="n">
        <v>122</v>
      </c>
      <c r="E60" t="n">
        <v>6</v>
      </c>
      <c r="F60" t="n">
        <v>6</v>
      </c>
      <c r="G60" t="inlineStr">
        <is>
          <t>{"raw_path": "C:\\Users\\marce\\Downloads\\CHRUTH_Data\\data\\ao_raw\\boamp_collect_20260618_100730.json", "skipped_reasons": {"aucun mot-cle CHRUTH": 38, "hors IDF": 31, "avis non actif ou attribution": 34, "exclusion dure": 13}, "kept_reasons": {"ok": 6}, "where": "(\"nettoyage\" OR \"proprete\" OR \"entretien des locaux\" OR \"entretien locaux\" OR \"nettoyage de vitres\" OR \"bionettoyage\" OR \"menage\" OR \"hygiene des locaux\" OR \"entretien menager\" OR \"proprete des locaux\" OR \"desinfection\") AND dateparution &gt;= date'2026-06-16'", "strict_budget": false, "idf_only": true}</t>
        </is>
      </c>
    </row>
    <row r="61">
      <c r="A61" t="n">
        <v>33</v>
      </c>
      <c r="B61" t="inlineStr">
        <is>
          <t>2026-06-17T21:54:52.827409+00:00</t>
        </is>
      </c>
      <c r="C61" t="inlineStr">
        <is>
          <t>BOAMP</t>
        </is>
      </c>
      <c r="D61" t="n">
        <v>527</v>
      </c>
      <c r="E61" t="n">
        <v>33</v>
      </c>
      <c r="F61" t="n">
        <v>33</v>
      </c>
      <c r="G61" t="inlineStr">
        <is>
          <t>{"raw_path": "C:\\Users\\marce\\Downloads\\CHRUTH_Data\\data\\ao_raw\\boamp_collect_20260617_235452.json",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62">
      <c r="A62" t="n">
        <v>32</v>
      </c>
      <c r="B62" t="inlineStr">
        <is>
          <t>2026-06-17T21:00:23.730032+00:00</t>
        </is>
      </c>
      <c r="C62" t="inlineStr">
        <is>
          <t>BOAMP</t>
        </is>
      </c>
      <c r="D62" t="n">
        <v>527</v>
      </c>
      <c r="E62" t="n">
        <v>33</v>
      </c>
      <c r="F62" t="n">
        <v>33</v>
      </c>
      <c r="G62" t="inlineStr">
        <is>
          <t>{"raw_path": "C:\\Users\\marce\\Downloads\\CHRUTH_Data\\data\\ao_raw\\boamp_collect_20260617_230023.json",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63">
      <c r="A63" t="n">
        <v>31</v>
      </c>
      <c r="B63" t="inlineStr">
        <is>
          <t>2026-06-17T20:54:35.579595+00:00</t>
        </is>
      </c>
      <c r="C63" t="inlineStr">
        <is>
          <t>BOAMP</t>
        </is>
      </c>
      <c r="D63" t="n">
        <v>527</v>
      </c>
      <c r="E63" t="n">
        <v>33</v>
      </c>
      <c r="F63" t="n">
        <v>33</v>
      </c>
      <c r="G63" t="inlineStr">
        <is>
          <t>{"raw_path": "C:\\Users\\marce\\Downloads\\CHRUTH_Data\\data\\ao_raw\\boamp_collect_20260617_225435.json",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64">
      <c r="A64" t="n">
        <v>30</v>
      </c>
      <c r="B64" t="inlineStr">
        <is>
          <t>2026-06-17T20:00:26.157179+00:00</t>
        </is>
      </c>
      <c r="C64" t="inlineStr">
        <is>
          <t>BOAMP</t>
        </is>
      </c>
      <c r="D64" t="n">
        <v>527</v>
      </c>
      <c r="E64" t="n">
        <v>33</v>
      </c>
      <c r="F64" t="n">
        <v>33</v>
      </c>
      <c r="G64" t="inlineStr">
        <is>
          <t>{"raw_path": "C:\\Users\\marce\\Downloads\\CHRUTH_Data\\data\\ao_raw\\boamp_collect_20260617_220025.json",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65">
      <c r="A65" t="n">
        <v>29</v>
      </c>
      <c r="B65" t="inlineStr">
        <is>
          <t>2026-06-17T19:54:44.560298+00:00</t>
        </is>
      </c>
      <c r="C65" t="inlineStr">
        <is>
          <t>BOAMP</t>
        </is>
      </c>
      <c r="D65" t="n">
        <v>527</v>
      </c>
      <c r="E65" t="n">
        <v>33</v>
      </c>
      <c r="F65" t="n">
        <v>33</v>
      </c>
      <c r="G65" t="inlineStr">
        <is>
          <t>{"raw_path": "C:\\Users\\marce\\Downloads\\CHRUTH_Data\\data\\ao_raw\\boamp_collect_20260617_215444.json",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66">
      <c r="A66" t="n">
        <v>28</v>
      </c>
      <c r="B66" t="inlineStr">
        <is>
          <t>2026-06-17T19:00:33.735935+00:00</t>
        </is>
      </c>
      <c r="C66" t="inlineStr">
        <is>
          <t>BOAMP</t>
        </is>
      </c>
      <c r="D66" t="n">
        <v>527</v>
      </c>
      <c r="E66" t="n">
        <v>33</v>
      </c>
      <c r="F66" t="n">
        <v>33</v>
      </c>
      <c r="G66" t="inlineStr">
        <is>
          <t>{"raw_path": "C:\\Users\\marce\\Downloads\\CHRUTH_Data\\data\\ao_raw\\boamp_collect_20260617_210033.json",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67">
      <c r="A67" t="n">
        <v>27</v>
      </c>
      <c r="B67" t="inlineStr">
        <is>
          <t>2026-06-17T18:55:07.165740+00:00</t>
        </is>
      </c>
      <c r="C67" t="inlineStr">
        <is>
          <t>BOAMP</t>
        </is>
      </c>
      <c r="D67" t="n">
        <v>527</v>
      </c>
      <c r="E67" t="n">
        <v>33</v>
      </c>
      <c r="F67" t="n">
        <v>33</v>
      </c>
      <c r="G67" t="inlineStr">
        <is>
          <t>{"raw_path": "C:\\Users\\marce\\Downloads\\CHRUTH_Data\\data\\ao_raw\\boamp_collect_20260617_205506.json", "skipped_reasons": {"aucun mot-cle CHRUTH": 187, "hors IDF": 122, "exclusion dure": 56, "avis non actif ou attribution": 129}, "kept_reasons": {"ok": 31, "ok mot-cle secondaire": 2}, "where": "(\"nettoyage\" OR \"proprete\" OR \"entretien des locaux\" OR \"entretien locaux\" OR \"nettoyage de vitres\" OR \"bionettoyage\" OR \"menage\" OR \"hygiene des locaux\" OR \"entretien menager\" OR \"proprete des locaux\" OR \"desinfection\") AND dateparution &gt;= date'2026-06-03'", "strict_budget": false, "idf_only": true}</t>
        </is>
      </c>
    </row>
    <row r="68">
      <c r="A68" t="n">
        <v>26</v>
      </c>
      <c r="B68" t="inlineStr">
        <is>
          <t>2026-06-16T19:00:41.593082+00:00</t>
        </is>
      </c>
      <c r="C68" t="inlineStr">
        <is>
          <t>BOAMP</t>
        </is>
      </c>
      <c r="D68" t="n">
        <v>491</v>
      </c>
      <c r="E68" t="n">
        <v>30</v>
      </c>
      <c r="F68" t="n">
        <v>30</v>
      </c>
      <c r="G68" t="inlineStr">
        <is>
          <t>{"raw_path": "C:\\Users\\marce\\Downloads\\CHRUTH_Data\\data\\ao_raw\\boamp_collect_20260616_210041.json", "skipped_reasons": {"aucun mot-cle CHRUTH": 174, "hors IDF": 113, "avis non actif ou attribution": 122, "exclusion dure": 52}, "kept_reasons": {"ok": 28, "ok mot-cle secondaire": 2}, "where": "(\"nettoyage\" OR \"proprete\" OR \"entretien des locaux\" OR \"entretien locaux\" OR \"nettoyage de vitres\" OR \"bionettoyage\" OR \"menage\" OR \"hygiene des locaux\" OR \"entretien menager\" OR \"proprete des locaux\" OR \"desinfection\") AND dateparution &gt;= date'2026-06-02'", "strict_budget": false, "idf_only": true}</t>
        </is>
      </c>
    </row>
    <row r="69">
      <c r="A69" t="n">
        <v>25</v>
      </c>
      <c r="B69" t="inlineStr">
        <is>
          <t>2026-06-16T18:18:37.473084+00:00</t>
        </is>
      </c>
      <c r="C69" t="inlineStr">
        <is>
          <t>BOAMP</t>
        </is>
      </c>
      <c r="D69" t="n">
        <v>491</v>
      </c>
      <c r="E69" t="n">
        <v>30</v>
      </c>
      <c r="F69" t="n">
        <v>30</v>
      </c>
      <c r="G69" t="inlineStr">
        <is>
          <t>{"raw_path": "C:\\Users\\marce\\Downloads\\CHRUTH_Data\\data\\ao_raw\\boamp_collect_20260616_201837.json", "skipped_reasons": {"aucun mot-cle CHRUTH": 174, "hors IDF": 113, "avis non actif ou attribution": 122, "exclusion dure": 52}, "kept_reasons": {"ok": 28, "ok mot-cle secondaire": 2}, "where": "(\"nettoyage\" OR \"proprete\" OR \"entretien des locaux\" OR \"entretien locaux\" OR \"nettoyage de vitres\" OR \"bionettoyage\" OR \"menage\" OR \"hygiene des locaux\" OR \"entretien menager\" OR \"proprete des locaux\" OR \"desinfection\") AND dateparution &gt;= date'2026-06-02'", "strict_budget": false, "idf_only": true}</t>
        </is>
      </c>
    </row>
    <row r="70">
      <c r="A70" t="n">
        <v>24</v>
      </c>
      <c r="B70" t="inlineStr">
        <is>
          <t>2026-06-16T10:00:36.152353+00:00</t>
        </is>
      </c>
      <c r="C70" t="inlineStr">
        <is>
          <t>BOAMP</t>
        </is>
      </c>
      <c r="D70" t="n">
        <v>479</v>
      </c>
      <c r="E70" t="n">
        <v>30</v>
      </c>
      <c r="F70" t="n">
        <v>30</v>
      </c>
      <c r="G70" t="inlineStr">
        <is>
          <t>{"raw_path": "C:\\Users\\marce\\Downloads\\CHRUTH_Data\\data\\ao_raw\\boamp_collect_20260616_120035.json", "skipped_reasons": {"aucun mot-cle CHRUTH": 171, "hors IDF": 110, "avis non actif ou attribution": 119, "exclusion dure": 49}, "kept_reasons": {"ok": 28, "ok mot-cle secondaire": 2}, "where": "(\"nettoyage\" OR \"proprete\" OR \"entretien des locaux\" OR \"entretien locaux\" OR \"nettoyage de vitres\" OR \"bionettoyage\" OR \"menage\" OR \"hygiene des locaux\" OR \"entretien menager\" OR \"proprete des locaux\" OR \"desinfection\") AND dateparution &gt;= date'2026-06-02'", "strict_budget": false, "idf_only": true}</t>
        </is>
      </c>
    </row>
    <row r="71">
      <c r="A71" t="n">
        <v>23</v>
      </c>
      <c r="B71" t="inlineStr">
        <is>
          <t>2026-06-16T09:24:27.408705+00:00</t>
        </is>
      </c>
      <c r="C71" t="inlineStr">
        <is>
          <t>BOAMP</t>
        </is>
      </c>
      <c r="D71" t="n">
        <v>479</v>
      </c>
      <c r="E71" t="n">
        <v>30</v>
      </c>
      <c r="F71" t="n">
        <v>30</v>
      </c>
      <c r="G71" t="inlineStr">
        <is>
          <t>{"raw_path": "C:\\Users\\marce\\Downloads\\CHRUTH_Data\\data\\ao_raw\\boamp_collect_20260616_112427.json", "skipped_reasons": {"aucun mot-cle CHRUTH": 171, "hors IDF": 110, "avis non actif ou attribution": 119, "exclusion dure": 49}, "kept_reasons": {"ok": 28, "ok mot-cle secondaire": 2}, "where": "(\"nettoyage\" OR \"proprete\" OR \"entretien des locaux\" OR \"entretien locaux\" OR \"nettoyage de vitres\" OR \"bionettoyage\" OR \"menage\" OR \"hygiene des locaux\" OR \"entretien menager\" OR \"proprete des locaux\" OR \"desinfection\") AND dateparution &gt;= date'2026-06-02'", "strict_budget": false, "idf_only": true}</t>
        </is>
      </c>
    </row>
    <row r="72">
      <c r="A72" t="n">
        <v>22</v>
      </c>
      <c r="B72" t="inlineStr">
        <is>
          <t>2026-06-16T09:17:30.364571+00:00</t>
        </is>
      </c>
      <c r="C72" t="inlineStr">
        <is>
          <t>BOAMP</t>
        </is>
      </c>
      <c r="D72" t="n">
        <v>479</v>
      </c>
      <c r="E72" t="n">
        <v>31</v>
      </c>
      <c r="F72" t="n">
        <v>31</v>
      </c>
      <c r="G72" t="inlineStr">
        <is>
          <t>{"raw_path": "C:\\Users\\marce\\Downloads\\CHRUTH_Data\\data\\ao_raw\\boamp_collect_20260616_111730.json", "skipped_reasons": {"aucun mot-cle CHRUTH": 171, "hors IDF": 113, "avis non actif ou attribution": 119, "exclusion dure": 45}, "kept_reasons": {"ok": 29, "ok mot-cle secondaire": 2}, "where": "(\"nettoyage\" OR \"proprete\" OR \"entretien des locaux\" OR \"entretien locaux\" OR \"nettoyage de vitres\" OR \"bionettoyage\" OR \"menage\" OR \"hygiene des locaux\" OR \"entretien menager\" OR \"proprete des locaux\" OR \"desinfection\") AND dateparution &gt;= date'2026-06-02'", "strict_budget": false, "idf_only": true}</t>
        </is>
      </c>
    </row>
    <row r="73">
      <c r="A73" t="n">
        <v>21</v>
      </c>
      <c r="B73" t="inlineStr">
        <is>
          <t>2026-06-15T14:16:09.908396+00:00</t>
        </is>
      </c>
      <c r="C73" t="inlineStr">
        <is>
          <t>BOAMP</t>
        </is>
      </c>
      <c r="D73" t="n">
        <v>465</v>
      </c>
      <c r="E73" t="n">
        <v>44</v>
      </c>
      <c r="F73" t="n">
        <v>44</v>
      </c>
      <c r="G73" t="inlineStr">
        <is>
          <t>{"raw_path": "C:\\Users\\marce\\Downloads\\CHRUTH_Data\\data\\ao_raw\\boamp_collect_20260615_161609.json", "skipped_reasons": {"aucun mot-cle CHRUTH": 166, "hors IDF": 139, "avis non actif ou attribution": 114, "exclusion metier": 2}, "kept_reasons": {"ok": 40, "ok mot-cle secondaire": 4}, "where": "(\"nettoyage\" OR \"proprete\" OR \"entretien des locaux\" OR \"entretien locaux\" OR \"nettoyage de vitres\" OR \"bionettoyage\" OR \"menage\" OR \"hygiene des locaux\" OR \"entretien menager\" OR \"proprete des locaux\" OR \"desinfection\") AND dateparution &gt;= date'2026-06-01'", "strict_budget": false, "idf_only": true}</t>
        </is>
      </c>
    </row>
    <row r="74">
      <c r="A74" t="n">
        <v>20</v>
      </c>
      <c r="B74" t="inlineStr">
        <is>
          <t>2026-06-15T14:07:46.749247+00:00</t>
        </is>
      </c>
      <c r="C74" t="inlineStr">
        <is>
          <t>BOAMP</t>
        </is>
      </c>
      <c r="D74" t="n">
        <v>465</v>
      </c>
      <c r="E74" t="n">
        <v>44</v>
      </c>
      <c r="F74" t="n">
        <v>44</v>
      </c>
      <c r="G74" t="inlineStr">
        <is>
          <t>{"raw_path": "C:\\Users\\marce\\Downloads\\CHRUTH_Data\\data\\ao_raw\\boamp_collect_20260615_160746.json", "skipped_reasons": {"aucun mot-cle CHRUTH": 166, "hors IDF": 139, "avis non actif ou attribution": 114, "exclusion metier": 2}, "kept_reasons": {"ok": 40, "ok mot-cle secondaire": 4}, "where": "(\"nettoyage\" OR \"proprete\" OR \"entretien des locaux\" OR \"entretien locaux\" OR \"nettoyage de vitres\" OR \"bionettoyage\" OR \"menage\" OR \"hygiene des locaux\" OR \"entretien menager\" OR \"proprete des locaux\" OR \"desinfection\") AND dateparution &gt;= date'2026-06-01'", "strict_budget": false, "idf_only": true}</t>
        </is>
      </c>
    </row>
    <row r="75">
      <c r="A75" t="n">
        <v>19</v>
      </c>
      <c r="B75" t="inlineStr">
        <is>
          <t>2026-06-15T12:19:59.169058+00:00</t>
        </is>
      </c>
      <c r="C75" t="inlineStr">
        <is>
          <t>BOAMP</t>
        </is>
      </c>
      <c r="D75" t="n">
        <v>462</v>
      </c>
      <c r="E75" t="n">
        <v>44</v>
      </c>
      <c r="F75" t="n">
        <v>44</v>
      </c>
      <c r="G75" t="inlineStr">
        <is>
          <t>{"raw_path": "C:\\Users\\marce\\Downloads\\CHRUTH_Data\\data\\ao_raw\\boamp_collect_20260615_141958.json", "skipped_reasons": {"aucun mot-cle CHRUTH": 164, "hors IDF": 138, "avis non actif ou attribution": 114, "exclusion metier": 2}, "kept_reasons": {"ok": 40, "ok mot-cle secondaire": 4}, "where": "(\"nettoyage\" OR \"proprete\" OR \"entretien des locaux\" OR \"entretien locaux\" OR \"nettoyage de vitres\" OR \"bionettoyage\" OR \"menage\" OR \"hygiene des locaux\" OR \"entretien menager\" OR \"proprete des locaux\" OR \"desinfection\") AND dateparution &gt;= date'2026-06-01'", "strict_budget": false, "idf_only": true}</t>
        </is>
      </c>
    </row>
    <row r="76">
      <c r="A76" t="n">
        <v>18</v>
      </c>
      <c r="B76" t="inlineStr">
        <is>
          <t>2026-06-15T07:32:05.682816+00:00</t>
        </is>
      </c>
      <c r="C76" t="inlineStr">
        <is>
          <t>BOAMP</t>
        </is>
      </c>
      <c r="D76" t="n">
        <v>1600</v>
      </c>
      <c r="E76" t="n">
        <v>100</v>
      </c>
      <c r="F76" t="n">
        <v>100</v>
      </c>
      <c r="G76" t="inlineStr">
        <is>
          <t>{"raw_path": "C:\\Users\\marce\\Downloads\\CHRUTH_Data\\data\\ao_raw\\boamp_collect_20260615_093204.json", "skipped_reasons": {"aucun mot-cle CHRUTH": 618, "avis non actif ou attribution": 431, "acheteur non cible": 212, "budget &gt; 100k (hors cible petites offres)": 128, "exclusion metier": 95}, "kept_reasons": {"ok": 32, "ok mot-cle secondaire": 68}, "where": "(\"nettoyage\" OR \"proprete\" OR \"entretien des locaux\" OR \"entretien locaux\" OR \"menage\" OR \"hygiene\" OR \"hygienisation\" OR \"bionettoyage\" OR \"vitres\" OR \"vitrerie\" OR \"facility management\" OR \"multi-services\" OR \"multiservices\" OR \"desinfection\" OR \"assainissement\" OR \"maintenance des locaux\" OR \"prestations de services\" OR \"locaux\" OR \"bureaux\") AND dateparution &gt;= date'2026-06-01'", "strict_budget": false, "idf_only": false}</t>
        </is>
      </c>
    </row>
    <row r="77">
      <c r="A77" t="n">
        <v>17</v>
      </c>
      <c r="B77" t="inlineStr">
        <is>
          <t>2026-06-14T17:46:13.722269+00:00</t>
        </is>
      </c>
      <c r="C77" t="inlineStr">
        <is>
          <t>BOAMP</t>
        </is>
      </c>
      <c r="D77" t="n">
        <v>300</v>
      </c>
      <c r="E77" t="n">
        <v>5</v>
      </c>
      <c r="F77" t="n">
        <v>5</v>
      </c>
      <c r="G77" t="inlineStr">
        <is>
          <t>{"raw_path": "C:\\Users\\marce\\Downloads\\CHRUTH_Data\\data\\ao_raw\\boamp_collect_20260614_194613.json", "skipped_reasons": {"aucun mot-cle CHRUTH": 126, "avis non actif ou attribution": 87, "hors IDF": 48, "budget &gt; 100k (hors cible petites offres)": 7, "exclusion metier": 17, "acheteur non cible": 10}, "kept_reasons": {"ok mot-cle secondaire": 4, "ok": 1}, "where": "(\"nettoyage\" OR \"proprete\" OR \"entretien des locaux\" OR \"entretien locaux\" OR \"menage\" OR \"hygiene\" OR \"hygienisation\" OR \"bionettoyage\" OR \"vitres\" OR \"vitrerie\" OR \"facility management\" OR \"multi-services\" OR \"multiservices\" OR \"desinfection\" OR \"assainissement\" OR \"maintenance des locaux\" OR \"prestations de services\" OR \"locaux\" OR \"bureaux\") AND dateparution &gt;= date'2026-05-31'", "strict_budget": false, "idf_only": true}</t>
        </is>
      </c>
    </row>
    <row r="78">
      <c r="A78" t="n">
        <v>16</v>
      </c>
      <c r="B78" t="inlineStr">
        <is>
          <t>2026-06-14T17:07:47.136970+00:00</t>
        </is>
      </c>
      <c r="C78" t="inlineStr">
        <is>
          <t>BOAMP</t>
        </is>
      </c>
      <c r="D78" t="n">
        <v>500</v>
      </c>
      <c r="E78" t="n">
        <v>100</v>
      </c>
      <c r="F78" t="n">
        <v>100</v>
      </c>
      <c r="G78" t="inlineStr">
        <is>
          <t>{"raw_path": "C:\\Users\\marce\\Downloads\\CHRUTH_Data\\data\\ao_raw\\boamp_collect_20260614_190746.json", "skipped_reasons": {"aucun mot-cle CHRUTH": 182, "avis non actif ou attribution": 120, "exclusion metier": 21, "budget sous seuil": 7}, "kept_reasons": {"ok": 23, "ok mot-cle secondaire": 77},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date'2026-06-12'", "strict_budget": false, "idf_only": false}</t>
        </is>
      </c>
    </row>
    <row r="79">
      <c r="A79" t="n">
        <v>15</v>
      </c>
      <c r="B79" t="inlineStr">
        <is>
          <t>2026-06-14T16:30:37.553654+00:00</t>
        </is>
      </c>
      <c r="C79" t="inlineStr">
        <is>
          <t>BOAMP</t>
        </is>
      </c>
      <c r="D79" t="n">
        <v>496</v>
      </c>
      <c r="E79" t="n">
        <v>44</v>
      </c>
      <c r="F79" t="n">
        <v>44</v>
      </c>
      <c r="G79" t="inlineStr">
        <is>
          <t>{"raw_path": "C:\\Users\\marce\\Downloads\\CHRUTH_Data\\data\\ao_raw\\boamp_collect_20260614_183037.json", "skipped_reasons": {"hors IDF": 152, "aucun mot-cle CHRUTH": 175, "avis non actif ou attribution": 123, "exclusion metier": 2}, "kept_reasons": {"ok": 40, "ok mot-cle secondaire": 4}, "where": "(\"nettoyage\" OR \"proprete\" OR \"entretien des locaux\" OR \"entretien locaux\" OR \"nettoyage de vitres\" OR \"bionettoyage\" OR \"menage\" OR \"hygiene des locaux\" OR \"entretien menager\" OR \"proprete des locaux\" OR \"desinfection\") AND dateparution &gt;= date'2026-05-31'", "strict_budget": false, "idf_only": true}</t>
        </is>
      </c>
    </row>
    <row r="80">
      <c r="A80" t="n">
        <v>14</v>
      </c>
      <c r="B80" t="inlineStr">
        <is>
          <t>2026-06-14T16:16:37.037460+00:00</t>
        </is>
      </c>
      <c r="C80" t="inlineStr">
        <is>
          <t>BOAMP</t>
        </is>
      </c>
      <c r="D80" t="n">
        <v>496</v>
      </c>
      <c r="E80" t="n">
        <v>44</v>
      </c>
      <c r="F80" t="n">
        <v>44</v>
      </c>
      <c r="G80" t="inlineStr">
        <is>
          <t>{"raw_path": "C:\\Users\\marce\\Downloads\\CHRUTH_Data\\data\\ao_raw\\boamp_collect_20260614_181636.json", "skipped_reasons": {"hors IDF": 150, "aucun mot-cle CHRUTH": 175, "avis non actif ou attribution": 123, "exclusion metier": 4}, "kept_reasons": {"ok": 40, "ok mot-cle secondaire": 4}, "where": "(\"nettoyage\" OR \"proprete\" OR \"entretien des locaux\" OR \"entretien locaux\" OR \"nettoyage de vitres\" OR \"bionettoyage\" OR \"menage\" OR \"hygiene des locaux\" OR \"entretien menager\" OR \"proprete des locaux\" OR \"desinfection\") AND dateparution &gt;= date'2026-05-31'", "strict_budget": false, "idf_only": true}</t>
        </is>
      </c>
    </row>
    <row r="81">
      <c r="A81" t="n">
        <v>13</v>
      </c>
      <c r="B81" t="inlineStr">
        <is>
          <t>2026-06-14T16:14:30.808001+00:00</t>
        </is>
      </c>
      <c r="C81" t="inlineStr">
        <is>
          <t>BOAMP</t>
        </is>
      </c>
      <c r="D81" t="n">
        <v>496</v>
      </c>
      <c r="E81" t="n">
        <v>44</v>
      </c>
      <c r="F81" t="n">
        <v>44</v>
      </c>
      <c r="G81" t="inlineStr">
        <is>
          <t>{"raw_path": "C:\\Users\\marce\\Downloads\\CHRUTH_Data\\data\\ao_raw\\boamp_collect_20260614_181430.json", "skipped_reasons": {"hors IDF": 150, "aucun mot-cle CHRUTH": 175, "avis non actif ou attribution": 123, "exclusion metier": 4}, "kept_reasons": {"ok": 40, "ok mot-cle secondaire": 4}, "where": "(\"nettoyage\" OR \"proprete\" OR \"entretien des locaux\" OR \"entretien locaux\" OR \"nettoyage de vitres\" OR \"bionettoyage\" OR \"menage\" OR \"hygiene des locaux\" OR \"entretien menager\" OR \"proprete des locaux\" OR \"desinfection\") AND dateparution &gt;= date'2026-05-31'", "strict_budget": false, "idf_only": true}</t>
        </is>
      </c>
    </row>
    <row r="82">
      <c r="A82" t="n">
        <v>12</v>
      </c>
      <c r="B82" t="inlineStr">
        <is>
          <t>2026-06-13T17:39:38.285640+00:00</t>
        </is>
      </c>
      <c r="C82" t="inlineStr">
        <is>
          <t>BOAMP</t>
        </is>
      </c>
      <c r="D82" t="n">
        <v>100</v>
      </c>
      <c r="E82" t="n">
        <v>4</v>
      </c>
      <c r="F82" t="n">
        <v>4</v>
      </c>
      <c r="G82" t="inlineStr">
        <is>
          <t>{"raw_path": "C:\\Users\\marce\\Downloads\\CHRUTH_Data\\data\\ao_raw\\boamp_collect_20260613_193938.json", "skipped_reasons": {"hors region": 24, "avis non actif ou attribution": 24, "aucun mot-cle CHRUTH": 45, "exclusion metier": 3}, "kept_reasons": {"ok": 1, "ok mot-cle secondaire": 3},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date'2026-05-30'", "strict_budget": false, "idf_only": false}</t>
        </is>
      </c>
    </row>
    <row r="83">
      <c r="A83" t="n">
        <v>11</v>
      </c>
      <c r="B83" t="inlineStr">
        <is>
          <t>2026-06-12T07:52:39.239269+00:00</t>
        </is>
      </c>
      <c r="C83" t="inlineStr">
        <is>
          <t>BOAMP</t>
        </is>
      </c>
      <c r="D83" t="n">
        <v>3452</v>
      </c>
      <c r="E83" t="n">
        <v>680</v>
      </c>
      <c r="F83" t="n">
        <v>680</v>
      </c>
      <c r="G83" t="inlineStr">
        <is>
          <t>{"raw_path": "C:\\Users\\marce\\Downloads\\CHRUTH_Data\\data\\ao_raw\\boamp_collect_20260612_095236.json", "skipped_reasons": {"avis non actif ou attribution": 902, "aucun mot-cle CHRUTH": 1409, "budget sous seuil": 237, "exclusion metier": 224}, "kept_reasons": {"ok": 165, "ok mot-cle secondaire": 515},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date'2026-05-29'", "strict_budget": false, "idf_only": false}</t>
        </is>
      </c>
    </row>
    <row r="84">
      <c r="A84" t="n">
        <v>10</v>
      </c>
      <c r="B84" t="inlineStr">
        <is>
          <t>2026-06-12T07:16:26.074948+00:00</t>
        </is>
      </c>
      <c r="C84" t="inlineStr">
        <is>
          <t>BOAMP</t>
        </is>
      </c>
      <c r="D84" t="n">
        <v>3448</v>
      </c>
      <c r="E84" t="n">
        <v>678</v>
      </c>
      <c r="F84" t="n">
        <v>678</v>
      </c>
      <c r="G84" t="inlineStr">
        <is>
          <t>{"raw_path": "C:\\Users\\marce\\Downloads\\CHRUTH_Data\\data\\ao_raw\\boamp_collect_20260612_091624.json", "skipped_reasons": {"avis non actif ou attribution": 897, "aucun mot-cle CHRUTH": 1411, "budget sous seuil": 237, "exclusion metier": 225}, "kept_reasons": {"ok": 164, "ok mot-cle secondaire": 514},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date'2026-05-29'", "strict_budget": false, "idf_only": false}</t>
        </is>
      </c>
    </row>
    <row r="85">
      <c r="A85" t="n">
        <v>9</v>
      </c>
      <c r="B85" t="inlineStr">
        <is>
          <t>2026-06-12T06:28:36.304627+00:00</t>
        </is>
      </c>
      <c r="C85" t="inlineStr">
        <is>
          <t>BOAMP</t>
        </is>
      </c>
      <c r="D85" t="n">
        <v>3444</v>
      </c>
      <c r="E85" t="n">
        <v>678</v>
      </c>
      <c r="F85" t="n">
        <v>678</v>
      </c>
      <c r="G85" t="inlineStr">
        <is>
          <t>{"raw_path": "C:\\Users\\marce\\Downloads\\CHRUTH_Data\\data\\ao_raw\\boamp_collect_20260612_082833.json", "skipped_reasons": {"avis non actif ou attribution": 896, "aucun mot-cle CHRUTH": 1411, "budget sous seuil": 235, "exclusion metier": 224}, "kept_reasons": {"ok": 163, "ok mot-cle secondaire": 515},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date'2026-05-29'", "strict_budget": false, "idf_only": false}</t>
        </is>
      </c>
    </row>
    <row r="86">
      <c r="A86" t="n">
        <v>8</v>
      </c>
      <c r="B86" t="inlineStr">
        <is>
          <t>2026-06-11T07:24:42.447095+00:00</t>
        </is>
      </c>
      <c r="C86" t="inlineStr">
        <is>
          <t>BOAMP</t>
        </is>
      </c>
      <c r="D86" t="n">
        <v>3431</v>
      </c>
      <c r="E86" t="n">
        <v>661</v>
      </c>
      <c r="F86" t="n">
        <v>661</v>
      </c>
      <c r="G86" t="inlineStr">
        <is>
          <t>{"raw_path": "C:\\Users\\marce\\Downloads\\CHRUTH_Data\\data\\ao_raw\\boamp_collect_20260611_092441.json", "skipped_reasons": {"avis non actif ou attribution": 890, "aucun mot-cle CHRUTH": 1430, "exclusion metier": 218, "budget sous seuil": 232}, "kept_reasons": {"ok": 163, "ok mot-cle secondaire": 498},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date'2026-05-28'", "strict_budget": false, "idf_only": false}</t>
        </is>
      </c>
    </row>
    <row r="87">
      <c r="A87" t="n">
        <v>7</v>
      </c>
      <c r="B87" t="inlineStr">
        <is>
          <t>2026-06-11T07:15:15.795163+00:00</t>
        </is>
      </c>
      <c r="C87" t="inlineStr">
        <is>
          <t>BOAMP</t>
        </is>
      </c>
      <c r="D87" t="n">
        <v>3431</v>
      </c>
      <c r="E87" t="n">
        <v>661</v>
      </c>
      <c r="F87" t="n">
        <v>661</v>
      </c>
      <c r="G87" t="inlineStr">
        <is>
          <t>{"raw_path": "C:\\Users\\marce\\Downloads\\CHRUTH_Data\\data\\ao_raw\\boamp_collect_20260611_091513.json", "skipped_reasons": {"avis non actif ou attribution": 890, "aucun mot-cle CHRUTH": 1430, "exclusion metier": 218, "budget sous seuil": 232}, "kept_reasons": {"ok": 163, "ok mot-cle secondaire": 498},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date'2026-05-28'", "strict_budget": false, "idf_only": false}</t>
        </is>
      </c>
    </row>
    <row r="88">
      <c r="A88" t="n">
        <v>6</v>
      </c>
      <c r="B88" t="inlineStr">
        <is>
          <t>2026-06-09T08:37:38.719092+00:00</t>
        </is>
      </c>
      <c r="C88" t="inlineStr">
        <is>
          <t>BOAMP</t>
        </is>
      </c>
      <c r="D88" t="n">
        <v>3122</v>
      </c>
      <c r="E88" t="n">
        <v>583</v>
      </c>
      <c r="F88" t="n">
        <v>583</v>
      </c>
      <c r="G88" t="inlineStr">
        <is>
          <t>{"raw_path": "C:\\Users\\marce\\Downloads\\CHRUTH_Data\\data\\ao_raw\\boamp_collect_20260609_103736.json", "skipped_reasons": {"aucun mot-cle CHRUTH": 1318, "exclusion metier": 204, "avis non actif ou attribution": 799, "budget sous seuil": 218}, "kept_reasons": {"ok mot-cle secondaire": 445, "ok": 138},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date'2026-05-26'", "strict_budget": false, "idf_only": false}</t>
        </is>
      </c>
    </row>
    <row r="89">
      <c r="A89" t="n">
        <v>5</v>
      </c>
      <c r="B89" t="inlineStr">
        <is>
          <t>2026-06-09T08:13:03.091232+00:00</t>
        </is>
      </c>
      <c r="C89" t="inlineStr">
        <is>
          <t>BOAMP</t>
        </is>
      </c>
      <c r="D89" t="n">
        <v>3130</v>
      </c>
      <c r="E89" t="n">
        <v>589</v>
      </c>
      <c r="F89" t="n">
        <v>589</v>
      </c>
      <c r="G89" t="inlineStr">
        <is>
          <t>{"raw_path": "C:\\Users\\marce\\Downloads\\CHRUTH_Data\\data\\ao_raw\\boamp_collect_20260609_101300.json", "skipped_reasons": {"aucun mot-cle CHRUTH": 1312, "exclusion metier": 202, "avis non actif ou attribution": 808, "budget sous seuil": 219}, "kept_reasons": {"ok mot-cle secondaire": 446, "ok": 143},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date'2026-05-26'", "strict_budget": false, "idf_only": false}</t>
        </is>
      </c>
    </row>
    <row r="90">
      <c r="A90" t="n">
        <v>4</v>
      </c>
      <c r="B90" t="inlineStr">
        <is>
          <t>2026-06-09T07:50:15.513698+00:00</t>
        </is>
      </c>
      <c r="C90" t="inlineStr">
        <is>
          <t>BOAMP</t>
        </is>
      </c>
      <c r="D90" t="n">
        <v>3122</v>
      </c>
      <c r="E90" t="n">
        <v>582</v>
      </c>
      <c r="F90" t="n">
        <v>582</v>
      </c>
      <c r="G90" t="inlineStr">
        <is>
          <t>{"raw_path": "C:\\Users\\marce\\Downloads\\CHRUTH_Data\\data\\ao_raw\\boamp_collect_20260609_095013.json", "skipped_reasons": {"aucun mot-cle CHRUTH": 1312, "exclusion metier": 203, "avis non actif ou attribution": 806, "budget sous seuil": 219}, "kept_reasons": {"ok mot-cle secondaire": 440, "ok": 142},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date'2026-05-26'", "strict_budget": false, "idf_only": false}</t>
        </is>
      </c>
    </row>
    <row r="91">
      <c r="A91" t="n">
        <v>3</v>
      </c>
      <c r="B91" t="inlineStr">
        <is>
          <t>2026-06-09T07:29:18.348945+00:00</t>
        </is>
      </c>
      <c r="C91" t="inlineStr">
        <is>
          <t>BOAMP</t>
        </is>
      </c>
      <c r="D91" t="n">
        <v>3121</v>
      </c>
      <c r="E91" t="n">
        <v>582</v>
      </c>
      <c r="F91" t="n">
        <v>582</v>
      </c>
      <c r="G91" t="inlineStr">
        <is>
          <t>{"raw_path": "C:\\Users\\marce\\Downloads\\CHRUTH_Data\\data\\ao_raw\\boamp_collect_20260609_092916.json", "skipped_reasons": {"aucun mot-cle CHRUTH": 1312, "exclusion metier": 203, "avis non actif ou attribution": 806, "budget sous seuil": 218}, "kept_reasons": {"ok mot-cle secondaire": 440, "ok": 142}, "where": "(\"nettoyage\" OR \"proprete\" OR \"entretien des locaux\" OR \"entretien locaux\" OR \"menage\" OR \"hygiene\" OR \"hygienisation\" OR \"bionettoyage\" OR \"facility management\" OR \"multi-services\" OR \"multiservices\" OR \"desinfection\" OR \"assainissement\" OR \"maintenance des locaux\" OR \"prestations de services\" OR \"locaux\" OR \"bureaux\") AND dateparution &gt;= date'2026-05-26'", "strict_budget": false, "idf_only": false}</t>
        </is>
      </c>
    </row>
    <row r="92">
      <c r="A92" t="n">
        <v>2</v>
      </c>
      <c r="B92" t="inlineStr">
        <is>
          <t>2026-06-08T17:05:32.854798+00:00</t>
        </is>
      </c>
      <c r="C92" t="inlineStr">
        <is>
          <t>BOAMP</t>
        </is>
      </c>
      <c r="D92" t="n">
        <v>800</v>
      </c>
      <c r="E92" t="n">
        <v>27</v>
      </c>
      <c r="F92" t="n">
        <v>27</v>
      </c>
      <c r="G92" t="inlineStr">
        <is>
          <t>{"raw_path": "C:\\Users\\marce\\Downloads\\CHRUTH_Data\\data\\ao_raw\\boamp_collect_20260608_190532.json", "skipped_reasons": {"avis non actif ou attribution": 227, "aucun mot-cle fort CHRUTH": 522, "exclusion metier": 1, "mot-cle seulement dans donnees detaillees": 19, "budget sous seuil": 4}, "strict_budget": false, "idf_only": false}</t>
        </is>
      </c>
    </row>
    <row r="93">
      <c r="A93" t="n">
        <v>1</v>
      </c>
      <c r="B93" t="inlineStr">
        <is>
          <t>2026-06-08T12:03:25.081731+00:00</t>
        </is>
      </c>
      <c r="C93" t="inlineStr">
        <is>
          <t>BOAMP</t>
        </is>
      </c>
      <c r="D93" t="n">
        <v>1200</v>
      </c>
      <c r="E93" t="n">
        <v>32</v>
      </c>
      <c r="F93" t="n">
        <v>32</v>
      </c>
      <c r="G93" t="inlineStr">
        <is>
          <t>{"raw_path": "C:\\Users\\marce\\Downloads\\CHRUTH_Data\\data\\ao_raw\\boamp_collect_20260608_140324.json", "skipped_reasons": {"avis non actif ou attribution": 345, "aucun mot-cle fort CHRUTH": 798, "exclusion metier": 3, "mot-cle seulement dans donnees detaillees": 19, "budget sous seuil": 3}, "strict_budget": false, "idf_only": false}</t>
        </is>
      </c>
    </row>
  </sheetData>
  <pageMargins left="0.75" right="0.75" top="1" bottom="1" header="0.5" footer="0.5"/>
  <tableParts count="1">
    <tablePart xmlns:r="http://schemas.openxmlformats.org/officeDocument/2006/relationships" r:id="rId1"/>
  </tableParts>
</worksheet>
</file>

<file path=xl/worksheets/sheet17.xml><?xml version="1.0" encoding="utf-8"?>
<worksheet xmlns="http://schemas.openxmlformats.org/spreadsheetml/2006/main">
  <sheetPr codeName="Feuil2">
    <outlinePr summaryBelow="1" summaryRight="1"/>
    <pageSetUpPr/>
  </sheetPr>
  <dimension ref="A1:B54"/>
  <sheetViews>
    <sheetView workbookViewId="0">
      <selection activeCell="A1" sqref="A1"/>
    </sheetView>
  </sheetViews>
  <sheetFormatPr baseColWidth="10" defaultRowHeight="14.5"/>
  <cols>
    <col width="42.6328125" customWidth="1" min="1" max="1"/>
    <col width="32.6328125" customWidth="1" min="2" max="2"/>
  </cols>
  <sheetData>
    <row r="1">
      <c r="A1" t="inlineStr">
        <is>
          <t>Region a mettre a jour (AO)</t>
        </is>
      </c>
    </row>
    <row r="2">
      <c r="A2" t="inlineStr">
        <is>
          <t>Notifications email</t>
        </is>
      </c>
      <c r="B2" s="18" t="inlineStr">
        <is>
          <t>ON</t>
        </is>
      </c>
    </row>
    <row r="3">
      <c r="A3" t="inlineStr">
        <is>
          <t>Collecte donnees</t>
        </is>
      </c>
      <c r="B3" s="19" t="inlineStr">
        <is>
          <t>OFF</t>
        </is>
      </c>
    </row>
    <row r="4">
      <c r="A4" t="inlineStr">
        <is>
          <t>Destinataires des alertes (une adresse par ligne)</t>
        </is>
      </c>
    </row>
    <row r="5">
      <c r="B5" t="inlineStr">
        <is>
          <t>digbeumarcel901@gmail.com</t>
        </is>
      </c>
    </row>
    <row r="6">
      <c r="B6" t="inlineStr">
        <is>
          <t>donisasthura@gmail.com</t>
        </is>
      </c>
    </row>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sheetData>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Marcel Digbeu</dc:creator>
  <dcterms:created xmlns:dcterms="http://purl.org/dc/terms/" xmlns:xsi="http://www.w3.org/2001/XMLSchema-instance" xsi:type="dcterms:W3CDTF">2026-06-22T19:23:09Z</dcterms:created>
  <dcterms:modified xmlns:dcterms="http://purl.org/dc/terms/" xmlns:xsi="http://www.w3.org/2001/XMLSchema-instance" xsi:type="dcterms:W3CDTF">2026-07-07T08:31:36Z</dcterms:modified>
  <cp:lastModifiedBy>Marcel Digbeu</cp:lastModifiedBy>
</cp:coreProperties>
</file>