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e\Downloads\CHRUTH_LIVRAISON_NO_CODE\output\"/>
    </mc:Choice>
  </mc:AlternateContent>
  <xr:revisionPtr revIDLastSave="0" documentId="8_{5F2ABEDE-16A3-4F7B-A216-87A9AF0250E9}" xr6:coauthVersionLast="47" xr6:coauthVersionMax="47" xr10:uidLastSave="{00000000-0000-0000-0000-000000000000}"/>
  <bookViews>
    <workbookView xWindow="5930" yWindow="480" windowWidth="14400" windowHeight="7270" activeTab="1" xr2:uid="{00000000-000D-0000-FFFF-FFFF00000000}"/>
  </bookViews>
  <sheets>
    <sheet name="Tableau_de_Bord" sheetId="1" r:id="rId1"/>
    <sheet name="Previsionnel_Global" sheetId="2" r:id="rId2"/>
    <sheet name="Marches" sheetId="3" r:id="rId3"/>
    <sheet name="Synthese_Rentabilite" sheetId="4" r:id="rId4"/>
    <sheet name="Charges_Fixes" sheetId="5" r:id="rId5"/>
    <sheet name="Hypotheses_Marche" sheetId="6" r:id="rId6"/>
    <sheet name="Guide_Utilisation" sheetId="7" r:id="rId7"/>
  </sheets>
  <definedNames>
    <definedName name="_xlnm._FilterDatabase" localSheetId="2" hidden="1">Marches!$A$3:$T$25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B9" i="6"/>
  <c r="B14" i="5"/>
  <c r="T25" i="3"/>
  <c r="S25" i="3"/>
  <c r="R25" i="3"/>
  <c r="Q25" i="3"/>
  <c r="P25" i="3"/>
  <c r="O25" i="3"/>
  <c r="N25" i="3"/>
  <c r="M25" i="3"/>
  <c r="L25" i="3"/>
  <c r="K25" i="3"/>
  <c r="J25" i="3"/>
  <c r="T24" i="3"/>
  <c r="S24" i="3"/>
  <c r="R24" i="3"/>
  <c r="Q24" i="3"/>
  <c r="P24" i="3"/>
  <c r="O24" i="3"/>
  <c r="N24" i="3"/>
  <c r="M24" i="3"/>
  <c r="L24" i="3"/>
  <c r="K24" i="3"/>
  <c r="J24" i="3"/>
  <c r="T23" i="3"/>
  <c r="S23" i="3"/>
  <c r="R23" i="3"/>
  <c r="Q23" i="3"/>
  <c r="P23" i="3"/>
  <c r="O23" i="3"/>
  <c r="N23" i="3"/>
  <c r="M23" i="3"/>
  <c r="L23" i="3"/>
  <c r="K23" i="3"/>
  <c r="J23" i="3"/>
  <c r="T22" i="3"/>
  <c r="S22" i="3"/>
  <c r="R22" i="3"/>
  <c r="Q22" i="3"/>
  <c r="P22" i="3"/>
  <c r="O22" i="3"/>
  <c r="N22" i="3"/>
  <c r="M22" i="3"/>
  <c r="L22" i="3"/>
  <c r="K22" i="3"/>
  <c r="J22" i="3"/>
  <c r="T21" i="3"/>
  <c r="S21" i="3"/>
  <c r="R21" i="3"/>
  <c r="Q21" i="3"/>
  <c r="P21" i="3"/>
  <c r="O21" i="3"/>
  <c r="N21" i="3"/>
  <c r="M21" i="3"/>
  <c r="L21" i="3"/>
  <c r="K21" i="3"/>
  <c r="J21" i="3"/>
  <c r="T20" i="3"/>
  <c r="S20" i="3"/>
  <c r="R20" i="3"/>
  <c r="Q20" i="3"/>
  <c r="P20" i="3"/>
  <c r="O20" i="3"/>
  <c r="N20" i="3"/>
  <c r="M20" i="3"/>
  <c r="L20" i="3"/>
  <c r="K20" i="3"/>
  <c r="J20" i="3"/>
  <c r="T19" i="3"/>
  <c r="S19" i="3"/>
  <c r="R19" i="3"/>
  <c r="Q19" i="3"/>
  <c r="P19" i="3"/>
  <c r="O19" i="3"/>
  <c r="N19" i="3"/>
  <c r="M19" i="3"/>
  <c r="L19" i="3"/>
  <c r="K19" i="3"/>
  <c r="J19" i="3"/>
  <c r="T18" i="3"/>
  <c r="S18" i="3"/>
  <c r="R18" i="3"/>
  <c r="Q18" i="3"/>
  <c r="P18" i="3"/>
  <c r="O18" i="3"/>
  <c r="N18" i="3"/>
  <c r="M18" i="3"/>
  <c r="L18" i="3"/>
  <c r="K18" i="3"/>
  <c r="J18" i="3"/>
  <c r="T17" i="3"/>
  <c r="S17" i="3"/>
  <c r="R17" i="3"/>
  <c r="Q17" i="3"/>
  <c r="P17" i="3"/>
  <c r="O17" i="3"/>
  <c r="N17" i="3"/>
  <c r="M17" i="3"/>
  <c r="L17" i="3"/>
  <c r="K17" i="3"/>
  <c r="J17" i="3"/>
  <c r="T16" i="3"/>
  <c r="S16" i="3"/>
  <c r="R16" i="3"/>
  <c r="Q16" i="3"/>
  <c r="P16" i="3"/>
  <c r="O16" i="3"/>
  <c r="N16" i="3"/>
  <c r="M16" i="3"/>
  <c r="L16" i="3"/>
  <c r="K16" i="3"/>
  <c r="J16" i="3"/>
  <c r="T15" i="3"/>
  <c r="S15" i="3"/>
  <c r="R15" i="3"/>
  <c r="Q15" i="3"/>
  <c r="P15" i="3"/>
  <c r="O15" i="3"/>
  <c r="N15" i="3"/>
  <c r="M15" i="3"/>
  <c r="L15" i="3"/>
  <c r="K15" i="3"/>
  <c r="J15" i="3"/>
  <c r="T14" i="3"/>
  <c r="S14" i="3"/>
  <c r="R14" i="3"/>
  <c r="Q14" i="3"/>
  <c r="P14" i="3"/>
  <c r="O14" i="3"/>
  <c r="N14" i="3"/>
  <c r="M14" i="3"/>
  <c r="L14" i="3"/>
  <c r="K14" i="3"/>
  <c r="J14" i="3"/>
  <c r="T13" i="3"/>
  <c r="S13" i="3"/>
  <c r="R13" i="3"/>
  <c r="Q13" i="3"/>
  <c r="P13" i="3"/>
  <c r="O13" i="3"/>
  <c r="N13" i="3"/>
  <c r="M13" i="3"/>
  <c r="L13" i="3"/>
  <c r="K13" i="3"/>
  <c r="J13" i="3"/>
  <c r="T12" i="3"/>
  <c r="S12" i="3"/>
  <c r="R12" i="3"/>
  <c r="Q12" i="3"/>
  <c r="P12" i="3"/>
  <c r="O12" i="3"/>
  <c r="N12" i="3"/>
  <c r="M12" i="3"/>
  <c r="L12" i="3"/>
  <c r="K12" i="3"/>
  <c r="J12" i="3"/>
  <c r="L11" i="3"/>
  <c r="J11" i="3"/>
  <c r="K11" i="3" s="1"/>
  <c r="M11" i="3" s="1"/>
  <c r="O11" i="3" s="1"/>
  <c r="P11" i="3" s="1"/>
  <c r="L10" i="3"/>
  <c r="J10" i="3"/>
  <c r="K10" i="3" s="1"/>
  <c r="L9" i="3"/>
  <c r="J9" i="3"/>
  <c r="K9" i="3" s="1"/>
  <c r="L8" i="3"/>
  <c r="J8" i="3"/>
  <c r="K8" i="3" s="1"/>
  <c r="L7" i="3"/>
  <c r="J7" i="3"/>
  <c r="K7" i="3" s="1"/>
  <c r="M7" i="3" s="1"/>
  <c r="L6" i="3"/>
  <c r="J6" i="3"/>
  <c r="K6" i="3" s="1"/>
  <c r="M6" i="3" s="1"/>
  <c r="L5" i="3"/>
  <c r="J5" i="3"/>
  <c r="K5" i="3" s="1"/>
  <c r="L4" i="3"/>
  <c r="J4" i="3"/>
  <c r="K4" i="3" s="1"/>
  <c r="G37" i="2"/>
  <c r="G36" i="2"/>
  <c r="G35" i="2"/>
  <c r="G34" i="2"/>
  <c r="G33" i="2"/>
  <c r="G32" i="2"/>
  <c r="G31" i="2"/>
  <c r="G30" i="2"/>
  <c r="G29" i="2"/>
  <c r="G28" i="2"/>
  <c r="G27" i="2"/>
  <c r="G26" i="2"/>
  <c r="B16" i="2"/>
  <c r="B15" i="2"/>
  <c r="B14" i="2"/>
  <c r="B13" i="2"/>
  <c r="B34" i="2" s="1"/>
  <c r="O5" i="2"/>
  <c r="J15" i="1"/>
  <c r="J14" i="1"/>
  <c r="J13" i="1"/>
  <c r="J12" i="1"/>
  <c r="J11" i="1"/>
  <c r="J10" i="1"/>
  <c r="J9" i="1"/>
  <c r="J8" i="1"/>
  <c r="E8" i="1"/>
  <c r="J7" i="1"/>
  <c r="J6" i="1"/>
  <c r="J5" i="1"/>
  <c r="J4" i="1"/>
  <c r="B8" i="4"/>
  <c r="B5" i="4"/>
  <c r="A5" i="1" s="1"/>
  <c r="B4" i="4"/>
  <c r="M9" i="3" l="1"/>
  <c r="M8" i="3"/>
  <c r="M4" i="3"/>
  <c r="M5" i="3"/>
  <c r="N5" i="3" s="1"/>
  <c r="S5" i="3" s="1"/>
  <c r="M10" i="3"/>
  <c r="O9" i="3"/>
  <c r="P9" i="3" s="1"/>
  <c r="N9" i="3"/>
  <c r="S9" i="3" s="1"/>
  <c r="O10" i="3"/>
  <c r="P10" i="3" s="1"/>
  <c r="N10" i="3"/>
  <c r="S10" i="3" s="1"/>
  <c r="N4" i="3"/>
  <c r="S4" i="3" s="1"/>
  <c r="O4" i="3"/>
  <c r="B6" i="4"/>
  <c r="O6" i="3"/>
  <c r="P6" i="3" s="1"/>
  <c r="N6" i="3"/>
  <c r="S6" i="3" s="1"/>
  <c r="O7" i="3"/>
  <c r="P7" i="3" s="1"/>
  <c r="N7" i="3"/>
  <c r="S7" i="3" s="1"/>
  <c r="T11" i="3"/>
  <c r="R11" i="3"/>
  <c r="Q11" i="3"/>
  <c r="O8" i="3"/>
  <c r="P8" i="3" s="1"/>
  <c r="N8" i="3"/>
  <c r="S8" i="3" s="1"/>
  <c r="B33" i="2"/>
  <c r="B32" i="2"/>
  <c r="B31" i="2"/>
  <c r="B30" i="2"/>
  <c r="B29" i="2"/>
  <c r="N11" i="3"/>
  <c r="S11" i="3" s="1"/>
  <c r="B28" i="2"/>
  <c r="B27" i="2"/>
  <c r="B26" i="2"/>
  <c r="C26" i="2" s="1"/>
  <c r="B37" i="2"/>
  <c r="B36" i="2"/>
  <c r="B35" i="2"/>
  <c r="O5" i="3" l="1"/>
  <c r="P5" i="3" s="1"/>
  <c r="Q7" i="3"/>
  <c r="T7" i="3"/>
  <c r="R7" i="3"/>
  <c r="E5" i="4"/>
  <c r="E7" i="4"/>
  <c r="B7" i="4"/>
  <c r="B18" i="4"/>
  <c r="E9" i="4"/>
  <c r="E6" i="4"/>
  <c r="E8" i="4"/>
  <c r="P4" i="3"/>
  <c r="R8" i="3"/>
  <c r="Q8" i="3"/>
  <c r="T8" i="3"/>
  <c r="T6" i="3"/>
  <c r="R6" i="3"/>
  <c r="Q6" i="3"/>
  <c r="D26" i="2"/>
  <c r="C27" i="2"/>
  <c r="T10" i="3"/>
  <c r="R10" i="3"/>
  <c r="Q10" i="3"/>
  <c r="T5" i="3"/>
  <c r="R5" i="3"/>
  <c r="Q5" i="3"/>
  <c r="R9" i="3"/>
  <c r="Q9" i="3"/>
  <c r="T9" i="3"/>
  <c r="G6" i="4" l="1"/>
  <c r="H6" i="4"/>
  <c r="F6" i="4"/>
  <c r="T4" i="3"/>
  <c r="R4" i="3"/>
  <c r="Q4" i="3"/>
  <c r="B9" i="4"/>
  <c r="B12" i="4"/>
  <c r="B13" i="4" s="1"/>
  <c r="G5" i="1" s="1"/>
  <c r="B11" i="4"/>
  <c r="E5" i="1" s="1"/>
  <c r="G7" i="4"/>
  <c r="F7" i="4"/>
  <c r="H7" i="4"/>
  <c r="H5" i="4"/>
  <c r="G5" i="4"/>
  <c r="F5" i="4"/>
  <c r="E26" i="2"/>
  <c r="F26" i="2" s="1"/>
  <c r="K4" i="1"/>
  <c r="H8" i="4"/>
  <c r="G8" i="4"/>
  <c r="F8" i="4"/>
  <c r="D27" i="2"/>
  <c r="C28" i="2"/>
  <c r="H9" i="4"/>
  <c r="G9" i="4"/>
  <c r="F9" i="4"/>
  <c r="D28" i="2" l="1"/>
  <c r="C29" i="2"/>
  <c r="E27" i="2"/>
  <c r="F27" i="2" s="1"/>
  <c r="K5" i="1"/>
  <c r="B10" i="4"/>
  <c r="C5" i="1"/>
  <c r="A12" i="1"/>
  <c r="L4" i="1"/>
  <c r="H26" i="2"/>
  <c r="B16" i="4"/>
  <c r="B15" i="4"/>
  <c r="B14" i="4"/>
  <c r="B17" i="4" s="1"/>
  <c r="G8" i="1" s="1"/>
  <c r="I26" i="2" l="1"/>
  <c r="J26" i="2" s="1"/>
  <c r="L5" i="1"/>
  <c r="H27" i="2"/>
  <c r="D29" i="2"/>
  <c r="C30" i="2"/>
  <c r="K6" i="1"/>
  <c r="E28" i="2"/>
  <c r="F28" i="2" s="1"/>
  <c r="K26" i="2" l="1"/>
  <c r="E29" i="2"/>
  <c r="F29" i="2" s="1"/>
  <c r="K7" i="1"/>
  <c r="I27" i="2"/>
  <c r="J27" i="2" s="1"/>
  <c r="H28" i="2"/>
  <c r="L6" i="1"/>
  <c r="D30" i="2"/>
  <c r="C31" i="2"/>
  <c r="K27" i="2" l="1"/>
  <c r="I28" i="2"/>
  <c r="J28" i="2" s="1"/>
  <c r="L26" i="2"/>
  <c r="K8" i="1"/>
  <c r="E30" i="2"/>
  <c r="F30" i="2" s="1"/>
  <c r="H29" i="2"/>
  <c r="L7" i="1"/>
  <c r="D31" i="2"/>
  <c r="C32" i="2"/>
  <c r="K28" i="2" l="1"/>
  <c r="L8" i="1"/>
  <c r="H30" i="2"/>
  <c r="I29" i="2"/>
  <c r="J29" i="2" s="1"/>
  <c r="D32" i="2"/>
  <c r="C33" i="2"/>
  <c r="M4" i="1"/>
  <c r="L27" i="2"/>
  <c r="E31" i="2"/>
  <c r="F31" i="2" s="1"/>
  <c r="K9" i="1"/>
  <c r="K29" i="2" l="1"/>
  <c r="D33" i="2"/>
  <c r="C34" i="2"/>
  <c r="K10" i="1"/>
  <c r="E32" i="2"/>
  <c r="F32" i="2" s="1"/>
  <c r="I30" i="2"/>
  <c r="J30" i="2" s="1"/>
  <c r="H31" i="2"/>
  <c r="L9" i="1"/>
  <c r="M5" i="1"/>
  <c r="L28" i="2"/>
  <c r="K30" i="2" l="1"/>
  <c r="I31" i="2"/>
  <c r="J31" i="2" s="1"/>
  <c r="K31" i="2" s="1"/>
  <c r="H32" i="2"/>
  <c r="L10" i="1"/>
  <c r="O6" i="2"/>
  <c r="C35" i="2"/>
  <c r="D34" i="2"/>
  <c r="K11" i="1"/>
  <c r="E33" i="2"/>
  <c r="F33" i="2" s="1"/>
  <c r="M6" i="1"/>
  <c r="L29" i="2"/>
  <c r="L11" i="1" l="1"/>
  <c r="H33" i="2"/>
  <c r="C36" i="2"/>
  <c r="D35" i="2"/>
  <c r="I32" i="2"/>
  <c r="J32" i="2" s="1"/>
  <c r="K32" i="2" s="1"/>
  <c r="M7" i="1"/>
  <c r="L30" i="2"/>
  <c r="E34" i="2"/>
  <c r="F34" i="2" s="1"/>
  <c r="K12" i="1"/>
  <c r="M8" i="1" l="1"/>
  <c r="L31" i="2"/>
  <c r="D36" i="2"/>
  <c r="C37" i="2"/>
  <c r="I33" i="2"/>
  <c r="J33" i="2" s="1"/>
  <c r="K33" i="2" s="1"/>
  <c r="H34" i="2"/>
  <c r="L12" i="1"/>
  <c r="K13" i="1"/>
  <c r="E35" i="2"/>
  <c r="F35" i="2" s="1"/>
  <c r="I34" i="2" l="1"/>
  <c r="J34" i="2" s="1"/>
  <c r="K34" i="2" s="1"/>
  <c r="D37" i="2"/>
  <c r="O14" i="2"/>
  <c r="K14" i="1"/>
  <c r="E36" i="2"/>
  <c r="F36" i="2" s="1"/>
  <c r="L32" i="2"/>
  <c r="M9" i="1"/>
  <c r="L13" i="1"/>
  <c r="H35" i="2"/>
  <c r="I35" i="2" l="1"/>
  <c r="J35" i="2" s="1"/>
  <c r="K35" i="2" s="1"/>
  <c r="L33" i="2"/>
  <c r="M10" i="1"/>
  <c r="L14" i="1"/>
  <c r="H36" i="2"/>
  <c r="E37" i="2"/>
  <c r="F37" i="2" s="1"/>
  <c r="K15" i="1"/>
  <c r="O8" i="2"/>
  <c r="L15" i="1" l="1"/>
  <c r="H37" i="2"/>
  <c r="O9" i="2"/>
  <c r="C8" i="1" s="1"/>
  <c r="I36" i="2"/>
  <c r="J36" i="2" s="1"/>
  <c r="K36" i="2" s="1"/>
  <c r="M11" i="1"/>
  <c r="L34" i="2"/>
  <c r="L35" i="2" l="1"/>
  <c r="M12" i="1"/>
  <c r="I37" i="2"/>
  <c r="J37" i="2" s="1"/>
  <c r="K37" i="2" l="1"/>
  <c r="O10" i="2"/>
  <c r="M13" i="1"/>
  <c r="L36" i="2"/>
  <c r="L37" i="2" l="1"/>
  <c r="M14" i="1"/>
  <c r="O12" i="2"/>
  <c r="O13" i="2"/>
  <c r="O11" i="2" l="1"/>
  <c r="A8" i="1" s="1"/>
  <c r="M15" i="1"/>
  <c r="O7" i="2"/>
</calcChain>
</file>

<file path=xl/sharedStrings.xml><?xml version="1.0" encoding="utf-8"?>
<sst xmlns="http://schemas.openxmlformats.org/spreadsheetml/2006/main" count="209" uniqueCount="164">
  <si>
    <t>SYNTHESE - RENTABILITE GLOBALE</t>
  </si>
  <si>
    <t>TOP MARCHES PAR MARGE</t>
  </si>
  <si>
    <t>Nombre de marches actifs</t>
  </si>
  <si>
    <t>Marche</t>
  </si>
  <si>
    <t>CA/mois</t>
  </si>
  <si>
    <t>Marge EUR</t>
  </si>
  <si>
    <t>Marge %</t>
  </si>
  <si>
    <t>CA total / mois (EUR)</t>
  </si>
  <si>
    <t>Couts directs totaux / mois (EUR)</t>
  </si>
  <si>
    <t>Marge de contribution totale / mois (EUR)</t>
  </si>
  <si>
    <t>Charges fixes mensuelles (EUR)</t>
  </si>
  <si>
    <t>Resultat mensuel (EUR)</t>
  </si>
  <si>
    <t>Resultat annuel (EUR)</t>
  </si>
  <si>
    <t>Marge de contribution moyenne %</t>
  </si>
  <si>
    <t>Marge de contribution moyenne / marche (EUR)</t>
  </si>
  <si>
    <t>Point mort (nb marches moyens p. couvrir charges fixes)</t>
  </si>
  <si>
    <t>Marches rentables</t>
  </si>
  <si>
    <t>Marches a optimiser</t>
  </si>
  <si>
    <t>Marches non rentables</t>
  </si>
  <si>
    <t>Taux de marches rentables</t>
  </si>
  <si>
    <t>Top marge mensuelle (EUR)</t>
  </si>
  <si>
    <t>TABLEAU DE BORD FINANCIER CHRUTH</t>
  </si>
  <si>
    <t>Vue de decision : rentabilite mensuelle, point mort, tresorerie previsionnelle et priorisation des marches.</t>
  </si>
  <si>
    <t>Mois</t>
  </si>
  <si>
    <t>CA mensuel</t>
  </si>
  <si>
    <t>EBITDA</t>
  </si>
  <si>
    <t>Tresorerie cumulee</t>
  </si>
  <si>
    <t>Resultat mensuel</t>
  </si>
  <si>
    <t>Marge moyenne</t>
  </si>
  <si>
    <t>Point mort marches</t>
  </si>
  <si>
    <t>Tresorerie fin annee</t>
  </si>
  <si>
    <t>EBITDA annuel</t>
  </si>
  <si>
    <t>Marches actifs</t>
  </si>
  <si>
    <t>Taux marches rentables</t>
  </si>
  <si>
    <t>Lecture rapide</t>
  </si>
  <si>
    <t>MODELE FINANCIER PREVISIONNEL CHRUTH</t>
  </si>
  <si>
    <t>Choisir un scenario et modifier les cellules jaunes. Les indicateurs, la tresorerie et le point mort se recalculent a l ouverture.</t>
  </si>
  <si>
    <t>Scenario selectionne</t>
  </si>
  <si>
    <t>Realiste</t>
  </si>
  <si>
    <t>--- BILAN DE L'EXERCICE ---</t>
  </si>
  <si>
    <t>Exercice (annee)</t>
  </si>
  <si>
    <t>Scenario</t>
  </si>
  <si>
    <t>Conversion</t>
  </si>
  <si>
    <t>Panier annuel</t>
  </si>
  <si>
    <t>Couts var %</t>
  </si>
  <si>
    <t>Couts fixes/mois</t>
  </si>
  <si>
    <t>Point mort EBITDA (mois)</t>
  </si>
  <si>
    <t>Pessimiste</t>
  </si>
  <si>
    <t>Delai de retour / payback (mois)</t>
  </si>
  <si>
    <t>CA total exercice (EUR)</t>
  </si>
  <si>
    <t>Optimiste</t>
  </si>
  <si>
    <t>EBITDA total exercice (EUR)</t>
  </si>
  <si>
    <t>Resultat net total exercice (EUR)</t>
  </si>
  <si>
    <t>--- Hypotheses actives ---</t>
  </si>
  <si>
    <t>Tresorerie fin d'annee (EUR)</t>
  </si>
  <si>
    <t>Prospects travailles / mois</t>
  </si>
  <si>
    <t>VAN (EUR)</t>
  </si>
  <si>
    <t>Taux de conversion</t>
  </si>
  <si>
    <t>TRI annuel</t>
  </si>
  <si>
    <t>Panier moyen annuel / client (EUR)</t>
  </si>
  <si>
    <t>Clients actifs fin</t>
  </si>
  <si>
    <t>Couts variables (% du CA)</t>
  </si>
  <si>
    <t>Couts fixes mensuels (EUR)</t>
  </si>
  <si>
    <t>Churn mensuel</t>
  </si>
  <si>
    <t>CAPEX / investissement initial (EUR)</t>
  </si>
  <si>
    <t>Taux d'actualisation annuel</t>
  </si>
  <si>
    <t>Taux d'imposition (IS)</t>
  </si>
  <si>
    <t>Amortissement CAPEX (mois)</t>
  </si>
  <si>
    <t>Annee de l'exercice</t>
  </si>
  <si>
    <t>Nouveaux clients</t>
  </si>
  <si>
    <t>Clients actifs</t>
  </si>
  <si>
    <t>CA mensuel (EUR)</t>
  </si>
  <si>
    <t>Marge brute (EUR)</t>
  </si>
  <si>
    <t>EBITDA (EUR)</t>
  </si>
  <si>
    <t>Amortissement (EUR)</t>
  </si>
  <si>
    <t>Resultat avant impot (EUR)</t>
  </si>
  <si>
    <t>Impot (EUR)</t>
  </si>
  <si>
    <t>Resultat net (EUR)</t>
  </si>
  <si>
    <t>Cash-flow (EUR)</t>
  </si>
  <si>
    <t>Tresorerie cumulee (EUR)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</si>
  <si>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</si>
  <si>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</si>
  <si>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</si>
  <si>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</si>
  <si>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</si>
  <si>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</si>
  <si>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</si>
  <si>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</si>
  <si>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</si>
  <si>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</si>
  <si>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</si>
  <si>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</si>
  <si>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RENTABILITE PAR MARCHE — saisir les cellules jaunes, le reste se calcule</t>
  </si>
  <si>
    <t>Nom du marche / client</t>
  </si>
  <si>
    <t>Jours/sem</t>
  </si>
  <si>
    <t>Heures/jour</t>
  </si>
  <si>
    <t>Effectif</t>
  </si>
  <si>
    <t>Type</t>
  </si>
  <si>
    <t>Produits par</t>
  </si>
  <si>
    <t>Cout produits/mois</t>
  </si>
  <si>
    <t>Prix du marche/mois</t>
  </si>
  <si>
    <t>Amortissement/mois</t>
  </si>
  <si>
    <t>Heures/mois</t>
  </si>
  <si>
    <t>Cout main d'oeuvre</t>
  </si>
  <si>
    <t>Cout produits</t>
  </si>
  <si>
    <t>Cout total</t>
  </si>
  <si>
    <t>Prix minimum cible</t>
  </si>
  <si>
    <t>Statut marge</t>
  </si>
  <si>
    <t>Priorite business</t>
  </si>
  <si>
    <t>Ecart vs prix minimum</t>
  </si>
  <si>
    <t>Decision / action</t>
  </si>
  <si>
    <t>Bureaux Levallois</t>
  </si>
  <si>
    <t>Jour</t>
  </si>
  <si>
    <t>Client</t>
  </si>
  <si>
    <t>Clinique Paris 12 (nuit)</t>
  </si>
  <si>
    <t>Nuit</t>
  </si>
  <si>
    <t>Ecole primaire Montreuil</t>
  </si>
  <si>
    <t>Nous</t>
  </si>
  <si>
    <t>Centre commercial Bobigny</t>
  </si>
  <si>
    <t>Cabinet medical Neuilly</t>
  </si>
  <si>
    <t>Mairie annexe Pantin</t>
  </si>
  <si>
    <t>Restaurant Bastille</t>
  </si>
  <si>
    <t>Coworking Republique</t>
  </si>
  <si>
    <t>CHARGES FIXES ENTREPRISE (mensuelles)</t>
  </si>
  <si>
    <t>Valeurs de test a ajuster. Les agents terrain et les produits specifiques a un marche sont sur la feuille Marches.</t>
  </si>
  <si>
    <t>Charge fixe</t>
  </si>
  <si>
    <t>EUR / mois</t>
  </si>
  <si>
    <t>Logiciel de paie</t>
  </si>
  <si>
    <t>Service Star</t>
  </si>
  <si>
    <t>Suite Google</t>
  </si>
  <si>
    <t>Assurance professionnelle - bureau</t>
  </si>
  <si>
    <t>Assurance professionnelle - Chruth</t>
  </si>
  <si>
    <t>Hebergement</t>
  </si>
  <si>
    <t>Internet</t>
  </si>
  <si>
    <t>Eco-pepiniere (loyer)</t>
  </si>
  <si>
    <t>Produits de nettoyage (stock structure)</t>
  </si>
  <si>
    <t>Salaires (structure / encadrement)</t>
  </si>
  <si>
    <t>Total charges fixes</t>
  </si>
  <si>
    <t>HYPOTHESES DE CALCUL PAR MARCHE</t>
  </si>
  <si>
    <t>Cout horaire agent - JOUR (charge, EUR/h)</t>
  </si>
  <si>
    <t>Cout horaire agent - NUIT (charge, EUR/h)</t>
  </si>
  <si>
    <t>Semaines par mois</t>
  </si>
  <si>
    <t>Cout produits / mois si fournis par nous (defaut EUR)</t>
  </si>
  <si>
    <t>Taux de marge cible (repere)</t>
  </si>
  <si>
    <t>Coûts de l'heure/jour</t>
  </si>
  <si>
    <t>Prix minimum = cout total / (1 - marge cible)</t>
  </si>
  <si>
    <t>Alerte marge basse si marge &lt; cible</t>
  </si>
  <si>
    <t>GUIDE DU MODELE FINANCIER CHRUTH</t>
  </si>
  <si>
    <t>Section</t>
  </si>
  <si>
    <t>Utilisation</t>
  </si>
  <si>
    <t>Objectif</t>
  </si>
  <si>
    <t>Piloter la rentabilite des marches de nettoyage, relier les prix aux couts reels et prioriser la prospection.</t>
  </si>
  <si>
    <t>1. Previsionnel_Global</t>
  </si>
  <si>
    <t>Choisir un scenario, ajuster prospects/mois, conversion, panier annuel, churn, CAPEX, impots et annee.</t>
  </si>
  <si>
    <t>2. Marches</t>
  </si>
  <si>
    <t>Saisir les cellules jaunes : nom, jours, heures, effectif, type jour/nuit, produits, prix et amortissement.</t>
  </si>
  <si>
    <t>3. Synthese_Rentabilite</t>
  </si>
  <si>
    <t>Lire le resultat mensuel, le point mort, le taux de marches rentables et le top marge.</t>
  </si>
  <si>
    <t>4. Tableau_de_Bord</t>
  </si>
  <si>
    <t>Utiliser les KPI et graphiques pour presenter la decision business.</t>
  </si>
  <si>
    <t>Lien fiche de poste</t>
  </si>
  <si>
    <t>Le modele couvre la mission CRM/rentabilite et complete la segmentation/scoring des prospects.</t>
  </si>
  <si>
    <t>Version nettoyee</t>
  </si>
  <si>
    <t>Le dossier garde les livrables et scripts utiles ; les logs, tests, caches et donnees brutes massives sont regenerables.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</si>
</sst>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5" formatCode="0.0"/>
    <numFmt numFmtId="166" formatCode="0.0%"/>
    <numFmt numFmtId="167" formatCode="##,#0\ ?"/>
    <numFmt numFmtId="168" formatCode="0.00\x"/>
    <numFmt numFmtId="169" formatCode="#,##0.0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2933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5"/>
      <color rgb="FFFFFFFF"/>
      <name val="Calibri"/>
      <family val="2"/>
    </font>
    <font>
      <b/>
      <sz val="14"/>
      <color rgb="FF17324D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65" fontId="0" fillId="0" borderId="0" xfId="0" applyNumberFormat="1"/>
    <xf numFmtId="0" fontId="4" fillId="5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7" fontId="0" fillId="0" borderId="2" xfId="0" applyNumberFormat="1" applyBorder="1" applyAlignment="1">
      <alignment vertical="center" wrapText="1"/>
    </xf>
    <xf numFmtId="0" fontId="5" fillId="0" borderId="0" xfId="0" applyFont="1"/>
    <xf numFmtId="3" fontId="0" fillId="8" borderId="0" xfId="0" applyNumberFormat="1" applyFill="1"/>
    <xf numFmtId="0" fontId="4" fillId="5" borderId="1" xfId="0" applyFont="1" applyFill="1" applyBorder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  <xf numFmtId="167" fontId="0" fillId="8" borderId="0" xfId="0" applyNumberFormat="1" applyFill="1"/>
    <xf numFmtId="3" fontId="0" fillId="7" borderId="0" xfId="0" applyNumberFormat="1" applyFill="1"/>
    <xf numFmtId="166" fontId="0" fillId="8" borderId="0" xfId="0" applyNumberFormat="1" applyFill="1"/>
    <xf numFmtId="166" fontId="0" fillId="7" borderId="0" xfId="0" applyNumberFormat="1" applyFill="1"/>
    <xf numFmtId="0" fontId="4" fillId="6" borderId="1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 wrapText="1"/>
    </xf>
    <xf numFmtId="167" fontId="0" fillId="7" borderId="2" xfId="0" applyNumberFormat="1" applyFill="1" applyBorder="1" applyAlignment="1">
      <alignment vertical="center" wrapText="1"/>
    </xf>
    <xf numFmtId="169" fontId="0" fillId="8" borderId="2" xfId="0" applyNumberFormat="1" applyFill="1" applyBorder="1" applyAlignment="1">
      <alignment vertical="center" wrapText="1"/>
    </xf>
    <xf numFmtId="167" fontId="0" fillId="8" borderId="2" xfId="0" applyNumberFormat="1" applyFill="1" applyBorder="1" applyAlignment="1">
      <alignment vertical="center" wrapText="1"/>
    </xf>
    <xf numFmtId="166" fontId="0" fillId="8" borderId="2" xfId="0" applyNumberForma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3" fontId="0" fillId="8" borderId="2" xfId="0" applyNumberFormat="1" applyFill="1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0" fontId="7" fillId="0" borderId="0" xfId="0" applyFont="1"/>
    <xf numFmtId="167" fontId="7" fillId="9" borderId="0" xfId="0" applyNumberFormat="1" applyFont="1" applyFill="1"/>
    <xf numFmtId="168" fontId="0" fillId="0" borderId="0" xfId="0" applyNumberFormat="1"/>
    <xf numFmtId="0" fontId="8" fillId="3" borderId="0" xfId="0" applyFont="1" applyFill="1" applyAlignment="1">
      <alignment horizontal="left" vertical="center"/>
    </xf>
    <xf numFmtId="0" fontId="0" fillId="0" borderId="0" xfId="0"/>
    <xf numFmtId="0" fontId="0" fillId="7" borderId="0" xfId="0" applyFill="1" applyAlignment="1">
      <alignment vertical="top" wrapText="1"/>
    </xf>
    <xf numFmtId="167" fontId="9" fillId="10" borderId="0" xfId="0" applyNumberFormat="1" applyFont="1" applyFill="1"/>
    <xf numFmtId="166" fontId="9" fillId="10" borderId="0" xfId="0" applyNumberFormat="1" applyFont="1" applyFill="1"/>
    <xf numFmtId="0" fontId="4" fillId="3" borderId="0" xfId="0" applyFont="1" applyFill="1"/>
    <xf numFmtId="0" fontId="3" fillId="3" borderId="0" xfId="0" applyFont="1" applyFill="1" applyAlignment="1">
      <alignment horizontal="left" vertical="center"/>
    </xf>
    <xf numFmtId="3" fontId="9" fillId="10" borderId="0" xfId="0" applyNumberFormat="1" applyFont="1" applyFill="1"/>
    <xf numFmtId="0" fontId="5" fillId="7" borderId="0" xfId="0" applyFont="1" applyFill="1"/>
    <xf numFmtId="0" fontId="5" fillId="9" borderId="0" xfId="0" applyFont="1" applyFill="1"/>
    <xf numFmtId="0" fontId="5" fillId="4" borderId="0" xfId="0" applyFont="1" applyFill="1"/>
    <xf numFmtId="0" fontId="5" fillId="8" borderId="0" xfId="0" applyFont="1" applyFill="1"/>
    <xf numFmtId="0" fontId="0" fillId="4" borderId="0" xfId="0" applyFill="1" applyAlignment="1">
      <alignment wrapText="1"/>
    </xf>
    <xf numFmtId="165" fontId="9" fillId="10" borderId="0" xfId="0" applyNumberFormat="1" applyFont="1" applyFill="1"/>
    <xf numFmtId="0" fontId="6" fillId="3" borderId="0" xfId="0" applyFont="1" applyFill="1" applyAlignment="1">
      <alignment horizontal="left" vertical="center"/>
    </xf>
    <xf numFmtId="44" fontId="0" fillId="8" borderId="2" xfId="1" applyFont="1" applyFill="1" applyBorder="1" applyAlignment="1">
      <alignment vertical="center" wrapText="1"/>
    </xf>
    <xf numFmtId="44" fontId="0" fillId="7" borderId="2" xfId="1" applyFont="1" applyFill="1" applyBorder="1" applyAlignment="1">
      <alignment vertical="center" wrapText="1"/>
    </xf>
    <xf numFmtId="44" fontId="0" fillId="0" borderId="2" xfId="1" applyFont="1" applyBorder="1" applyAlignment="1">
      <alignment vertical="center" wrapText="1"/>
    </xf>
    <xf numFmtId="44" fontId="0" fillId="7" borderId="0" xfId="1" applyFont="1" applyFill="1"/>
    <xf numFmtId="44" fontId="0" fillId="0" borderId="0" xfId="1" applyFont="1"/>
  </cellXfs>
  <cellStyles count="2">
    <cellStyle name="Monétaire" xfId="1" builtinId="4"/>
    <cellStyle name="Normal" xfId="0" builtinId="0"/>
  </cellStyles>
  <dxfs count="5">
    <dxf>
      <font>
        <b/>
        <color rgb="FF2E7D32"/>
      </font>
      <fill>
        <patternFill patternType="solid">
          <fgColor rgb="FFE2F0D9"/>
        </patternFill>
      </fill>
    </dxf>
    <dxf>
      <font>
        <b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CA, EBITDA et tresorerie previsionnels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Tableau_de_Bord!$K$3</c:f>
              <c:strCache>
                <c:ptCount val="1"/>
                <c:pt idx="0">
                  <c:v>CA mensuel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Tableau_de_Bord!$J$4:$J$15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Decembre</c:v>
                </c:pt>
              </c:strCache>
            </c:strRef>
          </c:cat>
          <c:val>
            <c:numRef>
              <c:f>Tableau_de_Bord!$K$4:$K$15</c:f>
              <c:numCache>
                <c:formatCode>_("€"* #,##0.00_);_("€"* \(#,##0.00\);_("€"* "-"??_);_(@_)</c:formatCode>
                <c:ptCount val="12"/>
                <c:pt idx="0" formatCode="##\ #0\ ?">
                  <c:v>2000</c:v>
                </c:pt>
                <c:pt idx="1">
                  <c:v>3959.9999999999995</c:v>
                </c:pt>
                <c:pt idx="2">
                  <c:v>5880.7999999999993</c:v>
                </c:pt>
                <c:pt idx="3">
                  <c:v>7763.1839999999984</c:v>
                </c:pt>
                <c:pt idx="4">
                  <c:v>9607.9203199999993</c:v>
                </c:pt>
                <c:pt idx="5">
                  <c:v>11415.761913599999</c:v>
                </c:pt>
                <c:pt idx="6">
                  <c:v>13187.446675327998</c:v>
                </c:pt>
                <c:pt idx="7">
                  <c:v>14923.697741821437</c:v>
                </c:pt>
                <c:pt idx="8">
                  <c:v>16625.223786985011</c:v>
                </c:pt>
                <c:pt idx="9">
                  <c:v>18292.719311245306</c:v>
                </c:pt>
                <c:pt idx="10">
                  <c:v>19926.8649250204</c:v>
                </c:pt>
                <c:pt idx="11">
                  <c:v>21528.327626519997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56-48D2-A99D-0A3DC17E1348}"/>
            </c:ext>
          </c:extLst>
        </c:ser>
        <c:ser>
          <c:idx val="1"/>
          <c:order val="1"/>
          <c:tx>
            <c:strRef>
              <c:f>Tableau_de_Bord!$L$3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Tableau_de_Bord!$J$4:$J$15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Decembre</c:v>
                </c:pt>
              </c:strCache>
            </c:strRef>
          </c:cat>
          <c:val>
            <c:numRef>
              <c:f>Tableau_de_Bord!$L$4:$L$15</c:f>
              <c:numCache>
                <c:formatCode>_("€"* #,##0.00_);_("€"* \(#,##0.00\);_("€"* "-"??_);_(@_)</c:formatCode>
                <c:ptCount val="12"/>
                <c:pt idx="0" formatCode="##\ #0\ ?">
                  <c:v>-2500</c:v>
                </c:pt>
                <c:pt idx="1">
                  <c:v>-2010</c:v>
                </c:pt>
                <c:pt idx="2">
                  <c:v>-1529.8000000000002</c:v>
                </c:pt>
                <c:pt idx="3">
                  <c:v>-1059.2040000000004</c:v>
                </c:pt>
                <c:pt idx="4">
                  <c:v>-598.01992000000018</c:v>
                </c:pt>
                <c:pt idx="5">
                  <c:v>-146.05952160000015</c:v>
                </c:pt>
                <c:pt idx="6">
                  <c:v>296.8616688319994</c:v>
                </c:pt>
                <c:pt idx="7">
                  <c:v>730.92443545535934</c:v>
                </c:pt>
                <c:pt idx="8">
                  <c:v>1156.3059467462526</c:v>
                </c:pt>
                <c:pt idx="9">
                  <c:v>1573.1798278113265</c:v>
                </c:pt>
                <c:pt idx="10">
                  <c:v>1981.7162312551</c:v>
                </c:pt>
                <c:pt idx="11">
                  <c:v>2382.0819066299991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56-48D2-A99D-0A3DC17E1348}"/>
            </c:ext>
          </c:extLst>
        </c:ser>
        <c:ser>
          <c:idx val="2"/>
          <c:order val="2"/>
          <c:tx>
            <c:strRef>
              <c:f>Tableau_de_Bord!$M$3</c:f>
              <c:strCache>
                <c:ptCount val="1"/>
                <c:pt idx="0">
                  <c:v>Tresorerie cumulee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Tableau_de_Bord!$J$4:$J$15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Decembre</c:v>
                </c:pt>
              </c:strCache>
            </c:strRef>
          </c:cat>
          <c:val>
            <c:numRef>
              <c:f>Tableau_de_Bord!$M$4:$M$15</c:f>
              <c:numCache>
                <c:formatCode>_("€"* #,##0.00_);_("€"* \(#,##0.00\);_("€"* "-"??_);_(@_)</c:formatCode>
                <c:ptCount val="12"/>
                <c:pt idx="0" formatCode="##\ #0\ ?">
                  <c:v>-22500</c:v>
                </c:pt>
                <c:pt idx="1">
                  <c:v>-24510</c:v>
                </c:pt>
                <c:pt idx="2">
                  <c:v>-26039.8</c:v>
                </c:pt>
                <c:pt idx="3">
                  <c:v>-27099.004000000001</c:v>
                </c:pt>
                <c:pt idx="4">
                  <c:v>-27697.02392</c:v>
                </c:pt>
                <c:pt idx="5">
                  <c:v>-27843.0834416</c:v>
                </c:pt>
                <c:pt idx="6">
                  <c:v>-27546.221772768</c:v>
                </c:pt>
                <c:pt idx="7">
                  <c:v>-26815.297337312641</c:v>
                </c:pt>
                <c:pt idx="8">
                  <c:v>-25739.734543919618</c:v>
                </c:pt>
                <c:pt idx="9">
                  <c:v>-24351.51633972779</c:v>
                </c:pt>
                <c:pt idx="10">
                  <c:v>-22656.895832953131</c:v>
                </c:pt>
                <c:pt idx="11">
                  <c:v>-20662.001069647296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056-48D2-A99D-0A3DC17E1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Mois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EUR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#\ #0\ ?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Top marches par marge mensuelle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Synthese_Rentabilite!$G$4</c:f>
              <c:strCache>
                <c:ptCount val="1"/>
                <c:pt idx="0">
                  <c:v>Marge EUR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Synthese_Rentabilite!$E$5:$E$9</c:f>
              <c:strCache>
                <c:ptCount val="5"/>
                <c:pt idx="0">
                  <c:v>Clinique Paris 12 (nuit)</c:v>
                </c:pt>
                <c:pt idx="1">
                  <c:v>Coworking Republique</c:v>
                </c:pt>
                <c:pt idx="2">
                  <c:v>Mairie annexe Pantin</c:v>
                </c:pt>
                <c:pt idx="3">
                  <c:v>Ecole primaire Montreuil</c:v>
                </c:pt>
                <c:pt idx="4">
                  <c:v>Restaurant Bastille</c:v>
                </c:pt>
              </c:strCache>
            </c:strRef>
          </c:cat>
          <c:val>
            <c:numRef>
              <c:f>Synthese_Rentabilite!$G$5:$G$9</c:f>
              <c:numCache>
                <c:formatCode>_("€"* #,##0.00_);_("€"* \(#,##0.00\);_("€"* "-"??_);_(@_)</c:formatCode>
                <c:ptCount val="5"/>
                <c:pt idx="0">
                  <c:v>1209.5200000000004</c:v>
                </c:pt>
                <c:pt idx="1">
                  <c:v>743.59999999999945</c:v>
                </c:pt>
                <c:pt idx="2">
                  <c:v>431.79999999999973</c:v>
                </c:pt>
                <c:pt idx="3">
                  <c:v>232.96000000000004</c:v>
                </c:pt>
                <c:pt idx="4">
                  <c:v>224.92000000000007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0-4A41-965C-2AD230A7F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Marge EUR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Marche</a:t>
                </a:r>
              </a:p>
            </c:rich>
          </c:tx>
          <c:overlay val="1"/>
        </c:title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CA mensuel &amp; tresorerie cumulee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Previsionnel_Global!$D$25</c:f>
              <c:strCache>
                <c:ptCount val="1"/>
                <c:pt idx="0">
                  <c:v>CA mensuel (EUR)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Previsionnel_Global!$A$26:$A$37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Decembre</c:v>
                </c:pt>
              </c:strCache>
            </c:strRef>
          </c:cat>
          <c:val>
            <c:numRef>
              <c:f>Previsionnel_Global!$D$26:$D$37</c:f>
              <c:numCache>
                <c:formatCode>##\ #0\ ?</c:formatCode>
                <c:ptCount val="12"/>
                <c:pt idx="0">
                  <c:v>2000</c:v>
                </c:pt>
                <c:pt idx="1">
                  <c:v>3959.9999999999995</c:v>
                </c:pt>
                <c:pt idx="2">
                  <c:v>5880.7999999999993</c:v>
                </c:pt>
                <c:pt idx="3">
                  <c:v>7763.1839999999984</c:v>
                </c:pt>
                <c:pt idx="4">
                  <c:v>9607.9203199999993</c:v>
                </c:pt>
                <c:pt idx="5">
                  <c:v>11415.761913599999</c:v>
                </c:pt>
                <c:pt idx="6">
                  <c:v>13187.446675327998</c:v>
                </c:pt>
                <c:pt idx="7">
                  <c:v>14923.697741821437</c:v>
                </c:pt>
                <c:pt idx="8">
                  <c:v>16625.223786985011</c:v>
                </c:pt>
                <c:pt idx="9">
                  <c:v>18292.719311245306</c:v>
                </c:pt>
                <c:pt idx="10">
                  <c:v>19926.8649250204</c:v>
                </c:pt>
                <c:pt idx="11">
                  <c:v>21528.327626519997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14-4090-B0DA-560A4A0D6DA2}"/>
            </c:ext>
          </c:extLst>
        </c:ser>
        <c:ser>
          <c:idx val="1"/>
          <c:order val="1"/>
          <c:tx>
            <c:strRef>
              <c:f>Previsionnel_Global!$L$25</c:f>
              <c:strCache>
                <c:ptCount val="1"/>
                <c:pt idx="0">
                  <c:v>Tresorerie cumulee (EUR)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Previsionnel_Global!$A$26:$A$37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Decembre</c:v>
                </c:pt>
              </c:strCache>
            </c:strRef>
          </c:cat>
          <c:val>
            <c:numRef>
              <c:f>Previsionnel_Global!$L$26:$L$37</c:f>
              <c:numCache>
                <c:formatCode>##\ #0\ ?</c:formatCode>
                <c:ptCount val="12"/>
                <c:pt idx="0">
                  <c:v>-22500</c:v>
                </c:pt>
                <c:pt idx="1">
                  <c:v>-24510</c:v>
                </c:pt>
                <c:pt idx="2">
                  <c:v>-26039.8</c:v>
                </c:pt>
                <c:pt idx="3">
                  <c:v>-27099.004000000001</c:v>
                </c:pt>
                <c:pt idx="4">
                  <c:v>-27697.02392</c:v>
                </c:pt>
                <c:pt idx="5">
                  <c:v>-27843.0834416</c:v>
                </c:pt>
                <c:pt idx="6">
                  <c:v>-27546.221772768</c:v>
                </c:pt>
                <c:pt idx="7">
                  <c:v>-26815.297337312641</c:v>
                </c:pt>
                <c:pt idx="8">
                  <c:v>-25739.734543919618</c:v>
                </c:pt>
                <c:pt idx="9">
                  <c:v>-24351.51633972779</c:v>
                </c:pt>
                <c:pt idx="10">
                  <c:v>-22656.895832953131</c:v>
                </c:pt>
                <c:pt idx="11">
                  <c:v>-20662.001069647296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14-4090-B0DA-560A4A0D6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#\ #0\ ?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68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15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zoomScale="29" workbookViewId="0">
      <pane ySplit="3" topLeftCell="A4" activePane="bottomLeft" state="frozen"/>
      <selection pane="bottomLeft" activeCell="R25" sqref="R25"/>
    </sheetView>
  </sheetViews>
  <sheetFormatPr baseColWidth="10" defaultColWidth="8.7265625" defaultRowHeight="14.5" x14ac:dyDescent="0.35"/>
  <cols>
    <col min="1" max="1" width="17" customWidth="1"/>
    <col min="2" max="2" width="13" customWidth="1"/>
    <col min="3" max="3" width="17" customWidth="1"/>
    <col min="4" max="4" width="13" customWidth="1"/>
    <col min="5" max="5" width="17" customWidth="1"/>
    <col min="6" max="6" width="13" customWidth="1"/>
    <col min="7" max="7" width="17" customWidth="1"/>
    <col min="8" max="8" width="13" customWidth="1"/>
    <col min="10" max="10" width="14" customWidth="1"/>
    <col min="11" max="12" width="16" customWidth="1"/>
    <col min="13" max="13" width="18" customWidth="1"/>
  </cols>
  <sheetData>
    <row r="1" spans="1:13" ht="21" x14ac:dyDescent="0.35">
      <c r="A1" s="37" t="s">
        <v>21</v>
      </c>
      <c r="B1" s="32"/>
      <c r="C1" s="32"/>
      <c r="D1" s="32"/>
      <c r="E1" s="32"/>
      <c r="F1" s="32"/>
      <c r="G1" s="32"/>
      <c r="H1" s="32"/>
    </row>
    <row r="2" spans="1:13" x14ac:dyDescent="0.35">
      <c r="A2" s="43" t="s">
        <v>22</v>
      </c>
      <c r="B2" s="32"/>
      <c r="C2" s="32"/>
      <c r="D2" s="32"/>
      <c r="E2" s="32"/>
      <c r="F2" s="32"/>
      <c r="G2" s="32"/>
      <c r="H2" s="32"/>
    </row>
    <row r="3" spans="1:13" x14ac:dyDescent="0.35">
      <c r="J3" s="5" t="s">
        <v>23</v>
      </c>
      <c r="K3" s="5" t="s">
        <v>24</v>
      </c>
      <c r="L3" s="5" t="s">
        <v>25</v>
      </c>
      <c r="M3" s="5" t="s">
        <v>26</v>
      </c>
    </row>
    <row r="4" spans="1:13" x14ac:dyDescent="0.35">
      <c r="A4" s="40" t="s">
        <v>24</v>
      </c>
      <c r="B4" s="32"/>
      <c r="C4" s="39" t="s">
        <v>27</v>
      </c>
      <c r="D4" s="32"/>
      <c r="E4" s="40" t="s">
        <v>28</v>
      </c>
      <c r="F4" s="32"/>
      <c r="G4" s="39" t="s">
        <v>29</v>
      </c>
      <c r="H4" s="32"/>
      <c r="J4" s="6" t="str">
        <f>Previsionnel_Global!A26</f>
        <v>Janvier</v>
      </c>
      <c r="K4" s="7">
        <f>Previsionnel_Global!D26</f>
        <v>2000</v>
      </c>
      <c r="L4" s="7">
        <f>Previsionnel_Global!F26</f>
        <v>-2500</v>
      </c>
      <c r="M4" s="7">
        <f>Previsionnel_Global!L26</f>
        <v>-22500</v>
      </c>
    </row>
    <row r="5" spans="1:13" ht="18.5" x14ac:dyDescent="0.45">
      <c r="A5" s="34">
        <f>Synthese_Rentabilite!B5</f>
        <v>35382</v>
      </c>
      <c r="B5" s="32"/>
      <c r="C5" s="34">
        <f>Synthese_Rentabilite!B9</f>
        <v>-2255.6400000000008</v>
      </c>
      <c r="D5" s="32"/>
      <c r="E5" s="35">
        <f>Synthese_Rentabilite!B11</f>
        <v>2.9855858911310814E-2</v>
      </c>
      <c r="F5" s="32"/>
      <c r="G5" s="44">
        <f>Synthese_Rentabilite!B13</f>
        <v>25.082358286947649</v>
      </c>
      <c r="H5" s="32"/>
      <c r="J5" s="6" t="str">
        <f>Previsionnel_Global!A27</f>
        <v>Fevrier</v>
      </c>
      <c r="K5" s="48">
        <f>Previsionnel_Global!D27</f>
        <v>3959.9999999999995</v>
      </c>
      <c r="L5" s="48">
        <f>Previsionnel_Global!F27</f>
        <v>-2010</v>
      </c>
      <c r="M5" s="48">
        <f>Previsionnel_Global!L27</f>
        <v>-24510</v>
      </c>
    </row>
    <row r="6" spans="1:13" x14ac:dyDescent="0.35">
      <c r="J6" s="6" t="str">
        <f>Previsionnel_Global!A28</f>
        <v>Mars</v>
      </c>
      <c r="K6" s="48">
        <f>Previsionnel_Global!D28</f>
        <v>5880.7999999999993</v>
      </c>
      <c r="L6" s="48">
        <f>Previsionnel_Global!F28</f>
        <v>-1529.8000000000002</v>
      </c>
      <c r="M6" s="48">
        <f>Previsionnel_Global!L28</f>
        <v>-26039.8</v>
      </c>
    </row>
    <row r="7" spans="1:13" x14ac:dyDescent="0.35">
      <c r="A7" s="41" t="s">
        <v>30</v>
      </c>
      <c r="B7" s="32"/>
      <c r="C7" s="41" t="s">
        <v>31</v>
      </c>
      <c r="D7" s="32"/>
      <c r="E7" s="42" t="s">
        <v>32</v>
      </c>
      <c r="F7" s="32"/>
      <c r="G7" s="42" t="s">
        <v>33</v>
      </c>
      <c r="H7" s="32"/>
      <c r="J7" s="6" t="str">
        <f>Previsionnel_Global!A29</f>
        <v>Avril</v>
      </c>
      <c r="K7" s="48">
        <f>Previsionnel_Global!D29</f>
        <v>7763.1839999999984</v>
      </c>
      <c r="L7" s="48">
        <f>Previsionnel_Global!F29</f>
        <v>-1059.2040000000004</v>
      </c>
      <c r="M7" s="48">
        <f>Previsionnel_Global!L29</f>
        <v>-27099.004000000001</v>
      </c>
    </row>
    <row r="8" spans="1:13" ht="18.5" x14ac:dyDescent="0.45">
      <c r="A8" s="34">
        <f>Previsionnel_Global!O11</f>
        <v>-20662.001069647296</v>
      </c>
      <c r="B8" s="32"/>
      <c r="C8" s="34">
        <f>Previsionnel_Global!O9</f>
        <v>277.98657513003582</v>
      </c>
      <c r="D8" s="32"/>
      <c r="E8" s="38">
        <f>Synthese_Rentabilite!B4</f>
        <v>8</v>
      </c>
      <c r="F8" s="32"/>
      <c r="G8" s="35">
        <f>Synthese_Rentabilite!B17</f>
        <v>0.125</v>
      </c>
      <c r="H8" s="32"/>
      <c r="J8" s="6" t="str">
        <f>Previsionnel_Global!A30</f>
        <v>Mai</v>
      </c>
      <c r="K8" s="48">
        <f>Previsionnel_Global!D30</f>
        <v>9607.9203199999993</v>
      </c>
      <c r="L8" s="48">
        <f>Previsionnel_Global!F30</f>
        <v>-598.01992000000018</v>
      </c>
      <c r="M8" s="48">
        <f>Previsionnel_Global!L30</f>
        <v>-27697.02392</v>
      </c>
    </row>
    <row r="9" spans="1:13" x14ac:dyDescent="0.35">
      <c r="J9" s="6" t="str">
        <f>Previsionnel_Global!A31</f>
        <v>Juin</v>
      </c>
      <c r="K9" s="48">
        <f>Previsionnel_Global!D31</f>
        <v>11415.761913599999</v>
      </c>
      <c r="L9" s="48">
        <f>Previsionnel_Global!F31</f>
        <v>-146.05952160000015</v>
      </c>
      <c r="M9" s="48">
        <f>Previsionnel_Global!L31</f>
        <v>-27843.0834416</v>
      </c>
    </row>
    <row r="10" spans="1:13" x14ac:dyDescent="0.35">
      <c r="J10" s="6" t="str">
        <f>Previsionnel_Global!A32</f>
        <v>Juillet</v>
      </c>
      <c r="K10" s="48">
        <f>Previsionnel_Global!D32</f>
        <v>13187.446675327998</v>
      </c>
      <c r="L10" s="48">
        <f>Previsionnel_Global!F32</f>
        <v>296.8616688319994</v>
      </c>
      <c r="M10" s="48">
        <f>Previsionnel_Global!L32</f>
        <v>-27546.221772768</v>
      </c>
    </row>
    <row r="11" spans="1:13" x14ac:dyDescent="0.35">
      <c r="A11" s="36" t="s">
        <v>34</v>
      </c>
      <c r="B11" s="32"/>
      <c r="C11" s="32"/>
      <c r="D11" s="32"/>
      <c r="E11" s="32"/>
      <c r="F11" s="32"/>
      <c r="G11" s="32"/>
      <c r="H11" s="32"/>
      <c r="J11" s="6" t="str">
        <f>Previsionnel_Global!A33</f>
        <v>Aout</v>
      </c>
      <c r="K11" s="48">
        <f>Previsionnel_Global!D33</f>
        <v>14923.697741821437</v>
      </c>
      <c r="L11" s="48">
        <f>Previsionnel_Global!F33</f>
        <v>730.92443545535934</v>
      </c>
      <c r="M11" s="48">
        <f>Previsionnel_Global!L33</f>
        <v>-26815.297337312641</v>
      </c>
    </row>
    <row r="12" spans="1:13" x14ac:dyDescent="0.35">
      <c r="A12" s="33" t="str">
        <f>IF(Synthese_Rentabilite!B9&lt;0,"Priorite: augmenter les prix ou baisser les heures/couts avant prospection massive.","Modele positif: concentrer la prospection sur les marches avec marge OK et CA recurrent.")</f>
        <v>Priorite: augmenter les prix ou baisser les heures/couts avant prospection massive.</v>
      </c>
      <c r="B12" s="32"/>
      <c r="C12" s="32"/>
      <c r="D12" s="32"/>
      <c r="E12" s="32"/>
      <c r="F12" s="32"/>
      <c r="G12" s="32"/>
      <c r="H12" s="32"/>
      <c r="J12" s="6" t="str">
        <f>Previsionnel_Global!A34</f>
        <v>Septembre</v>
      </c>
      <c r="K12" s="48">
        <f>Previsionnel_Global!D34</f>
        <v>16625.223786985011</v>
      </c>
      <c r="L12" s="48">
        <f>Previsionnel_Global!F34</f>
        <v>1156.3059467462526</v>
      </c>
      <c r="M12" s="48">
        <f>Previsionnel_Global!L34</f>
        <v>-25739.734543919618</v>
      </c>
    </row>
    <row r="13" spans="1:13" x14ac:dyDescent="0.35">
      <c r="A13" s="32"/>
      <c r="B13" s="32"/>
      <c r="C13" s="32"/>
      <c r="D13" s="32"/>
      <c r="E13" s="32"/>
      <c r="F13" s="32"/>
      <c r="G13" s="32"/>
      <c r="H13" s="32"/>
      <c r="J13" s="6" t="str">
        <f>Previsionnel_Global!A35</f>
        <v>Octobre</v>
      </c>
      <c r="K13" s="48">
        <f>Previsionnel_Global!D35</f>
        <v>18292.719311245306</v>
      </c>
      <c r="L13" s="48">
        <f>Previsionnel_Global!F35</f>
        <v>1573.1798278113265</v>
      </c>
      <c r="M13" s="48">
        <f>Previsionnel_Global!L35</f>
        <v>-24351.51633972779</v>
      </c>
    </row>
    <row r="14" spans="1:13" x14ac:dyDescent="0.35">
      <c r="J14" s="6" t="str">
        <f>Previsionnel_Global!A36</f>
        <v>Novembre</v>
      </c>
      <c r="K14" s="48">
        <f>Previsionnel_Global!D36</f>
        <v>19926.8649250204</v>
      </c>
      <c r="L14" s="48">
        <f>Previsionnel_Global!F36</f>
        <v>1981.7162312551</v>
      </c>
      <c r="M14" s="48">
        <f>Previsionnel_Global!L36</f>
        <v>-22656.895832953131</v>
      </c>
    </row>
    <row r="15" spans="1:13" x14ac:dyDescent="0.35">
      <c r="J15" s="6" t="str">
        <f>Previsionnel_Global!A37</f>
        <v>Decembre</v>
      </c>
      <c r="K15" s="48">
        <f>Previsionnel_Global!D37</f>
        <v>21528.327626519997</v>
      </c>
      <c r="L15" s="48">
        <f>Previsionnel_Global!F37</f>
        <v>2382.0819066299991</v>
      </c>
      <c r="M15" s="48">
        <f>Previsionnel_Global!L37</f>
        <v>-20662.001069647296</v>
      </c>
    </row>
  </sheetData>
  <mergeCells count="20">
    <mergeCell ref="A4:B4"/>
    <mergeCell ref="G4:H4"/>
    <mergeCell ref="C7:D7"/>
    <mergeCell ref="E7:F7"/>
    <mergeCell ref="A12:H13"/>
    <mergeCell ref="C5:D5"/>
    <mergeCell ref="E5:F5"/>
    <mergeCell ref="A11:H11"/>
    <mergeCell ref="A1:H1"/>
    <mergeCell ref="G8:H8"/>
    <mergeCell ref="E8:F8"/>
    <mergeCell ref="C4:D4"/>
    <mergeCell ref="E4:F4"/>
    <mergeCell ref="A7:B7"/>
    <mergeCell ref="G7:H7"/>
    <mergeCell ref="A2:H2"/>
    <mergeCell ref="A5:B5"/>
    <mergeCell ref="G5:H5"/>
    <mergeCell ref="A8:B8"/>
    <mergeCell ref="C8:D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"/>
  <sheetViews>
    <sheetView showGridLines="0" tabSelected="1" view="pageBreakPreview" topLeftCell="A5" zoomScale="33" zoomScaleNormal="100" workbookViewId="0">
      <pane ySplit="24" topLeftCell="A30" activePane="bottomLeft" state="frozen"/>
      <selection pane="bottomLeft" activeCell="G31" sqref="G31"/>
    </sheetView>
  </sheetViews>
  <sheetFormatPr baseColWidth="10" defaultColWidth="8.7265625" defaultRowHeight="14.5" x14ac:dyDescent="0.35"/>
  <cols>
    <col min="1" max="1" width="18" customWidth="1"/>
    <col min="2" max="6" width="15" customWidth="1"/>
    <col min="7" max="7" width="16" customWidth="1"/>
    <col min="8" max="8" width="18" customWidth="1"/>
    <col min="9" max="9" width="14" customWidth="1"/>
    <col min="10" max="11" width="16" customWidth="1"/>
    <col min="12" max="12" width="18" customWidth="1"/>
    <col min="14" max="14" width="30" customWidth="1"/>
    <col min="15" max="15" width="18" customWidth="1"/>
  </cols>
  <sheetData>
    <row r="1" spans="1:15" ht="18.5" customHeight="1" x14ac:dyDescent="0.35">
      <c r="A1" s="37" t="s">
        <v>35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5" x14ac:dyDescent="0.35">
      <c r="A2" s="43" t="s">
        <v>36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spans="1:15" x14ac:dyDescent="0.35">
      <c r="A4" s="2" t="s">
        <v>37</v>
      </c>
      <c r="B4" s="3" t="s">
        <v>38</v>
      </c>
      <c r="N4" s="2" t="s">
        <v>39</v>
      </c>
    </row>
    <row r="5" spans="1:15" x14ac:dyDescent="0.35">
      <c r="N5" s="8" t="s">
        <v>40</v>
      </c>
      <c r="O5" s="9">
        <f>B22</f>
        <v>2026</v>
      </c>
    </row>
    <row r="6" spans="1:15" x14ac:dyDescent="0.35">
      <c r="A6" s="10" t="s">
        <v>41</v>
      </c>
      <c r="B6" s="10" t="s">
        <v>42</v>
      </c>
      <c r="C6" s="10" t="s">
        <v>43</v>
      </c>
      <c r="D6" s="10" t="s">
        <v>44</v>
      </c>
      <c r="E6" s="10" t="s">
        <v>45</v>
      </c>
      <c r="N6" s="8" t="s">
        <v>46</v>
      </c>
      <c r="O6" s="9" t="str">
        <f>IFERROR(INDEX(A26:A37,MATCH(TRUE,INDEX(F26:F37&gt;=0,0),0)),"non atteint")</f>
        <v>Juillet</v>
      </c>
    </row>
    <row r="7" spans="1:15" x14ac:dyDescent="0.35">
      <c r="A7" t="s">
        <v>47</v>
      </c>
      <c r="B7" s="11">
        <v>0.02</v>
      </c>
      <c r="C7" s="50">
        <v>6000</v>
      </c>
      <c r="D7" s="11">
        <v>0.8</v>
      </c>
      <c r="E7" s="50">
        <v>3500</v>
      </c>
      <c r="N7" s="8" t="s">
        <v>48</v>
      </c>
      <c r="O7" s="9" t="str">
        <f>IFERROR(INDEX(A26:A37,MATCH(TRUE,INDEX(L26:L37&gt;=0,0),0)),"non atteint")</f>
        <v>non atteint</v>
      </c>
    </row>
    <row r="8" spans="1:15" x14ac:dyDescent="0.35">
      <c r="A8" t="s">
        <v>38</v>
      </c>
      <c r="B8" s="11">
        <v>0.03</v>
      </c>
      <c r="C8" s="50">
        <v>8000</v>
      </c>
      <c r="D8" s="11">
        <v>0.75</v>
      </c>
      <c r="E8" s="50">
        <v>3000</v>
      </c>
      <c r="N8" s="8" t="s">
        <v>49</v>
      </c>
      <c r="O8" s="13">
        <f>SUM(D26:D37)</f>
        <v>145111.94630052015</v>
      </c>
    </row>
    <row r="9" spans="1:15" x14ac:dyDescent="0.35">
      <c r="A9" t="s">
        <v>50</v>
      </c>
      <c r="B9" s="11">
        <v>0.05</v>
      </c>
      <c r="C9" s="50">
        <v>10000</v>
      </c>
      <c r="D9" s="11">
        <v>0.7</v>
      </c>
      <c r="E9" s="50">
        <v>2800</v>
      </c>
      <c r="N9" s="8" t="s">
        <v>51</v>
      </c>
      <c r="O9" s="13">
        <f>SUM(F26:F37)</f>
        <v>277.98657513003582</v>
      </c>
    </row>
    <row r="10" spans="1:15" x14ac:dyDescent="0.35">
      <c r="N10" s="8" t="s">
        <v>52</v>
      </c>
      <c r="O10" s="13">
        <f>SUM(J26:J37)</f>
        <v>-10662.0010696473</v>
      </c>
    </row>
    <row r="11" spans="1:15" x14ac:dyDescent="0.35">
      <c r="A11" s="2" t="s">
        <v>53</v>
      </c>
      <c r="N11" s="8" t="s">
        <v>54</v>
      </c>
      <c r="O11" s="13">
        <f>L37</f>
        <v>-20662.001069647296</v>
      </c>
    </row>
    <row r="12" spans="1:15" x14ac:dyDescent="0.35">
      <c r="A12" s="8" t="s">
        <v>55</v>
      </c>
      <c r="B12" s="14">
        <v>100</v>
      </c>
      <c r="N12" s="8" t="s">
        <v>56</v>
      </c>
      <c r="O12" s="13">
        <f>NPV((1+$B$19)^(1/12)-1,K26:K37)</f>
        <v>-20917.475634144383</v>
      </c>
    </row>
    <row r="13" spans="1:15" x14ac:dyDescent="0.35">
      <c r="A13" s="8" t="s">
        <v>57</v>
      </c>
      <c r="B13" s="15">
        <f>INDEX(B7:B9,MATCH($B$4,A7:A9,0))</f>
        <v>0.03</v>
      </c>
      <c r="N13" s="8" t="s">
        <v>58</v>
      </c>
      <c r="O13" s="15">
        <f>IFERROR((1+IRR(K26:K37))^12-1,"n/a")</f>
        <v>-0.83640785029286457</v>
      </c>
    </row>
    <row r="14" spans="1:15" x14ac:dyDescent="0.35">
      <c r="A14" s="8" t="s">
        <v>59</v>
      </c>
      <c r="B14" s="9">
        <f>INDEX(C7:C9,MATCH($B$4,A7:A9,0))</f>
        <v>8000</v>
      </c>
      <c r="N14" s="8" t="s">
        <v>60</v>
      </c>
      <c r="O14" s="9">
        <f>C37</f>
        <v>32.292491439779994</v>
      </c>
    </row>
    <row r="15" spans="1:15" x14ac:dyDescent="0.35">
      <c r="A15" s="8" t="s">
        <v>61</v>
      </c>
      <c r="B15" s="15">
        <f>INDEX(D7:D9,MATCH($B$4,A7:A9,0))</f>
        <v>0.75</v>
      </c>
    </row>
    <row r="16" spans="1:15" x14ac:dyDescent="0.35">
      <c r="A16" s="8" t="s">
        <v>62</v>
      </c>
      <c r="B16" s="9">
        <f>INDEX(E7:E9,MATCH($B$4,A7:A9,0))</f>
        <v>3000</v>
      </c>
    </row>
    <row r="17" spans="1:12" x14ac:dyDescent="0.35">
      <c r="A17" s="8" t="s">
        <v>63</v>
      </c>
      <c r="B17" s="16">
        <v>0.02</v>
      </c>
    </row>
    <row r="18" spans="1:12" x14ac:dyDescent="0.35">
      <c r="A18" s="8" t="s">
        <v>64</v>
      </c>
      <c r="B18" s="14">
        <v>20000</v>
      </c>
    </row>
    <row r="19" spans="1:12" x14ac:dyDescent="0.35">
      <c r="A19" s="8" t="s">
        <v>65</v>
      </c>
      <c r="B19" s="16">
        <v>0.1</v>
      </c>
    </row>
    <row r="20" spans="1:12" x14ac:dyDescent="0.35">
      <c r="A20" s="8" t="s">
        <v>66</v>
      </c>
      <c r="B20" s="16">
        <v>0.25</v>
      </c>
    </row>
    <row r="21" spans="1:12" x14ac:dyDescent="0.35">
      <c r="A21" s="8" t="s">
        <v>67</v>
      </c>
      <c r="B21" s="14">
        <v>24</v>
      </c>
    </row>
    <row r="22" spans="1:12" x14ac:dyDescent="0.35">
      <c r="A22" s="8" t="s">
        <v>68</v>
      </c>
      <c r="B22" s="14">
        <v>2026</v>
      </c>
    </row>
    <row r="25" spans="1:12" ht="29" x14ac:dyDescent="0.35">
      <c r="A25" s="17" t="s">
        <v>23</v>
      </c>
      <c r="B25" s="17" t="s">
        <v>69</v>
      </c>
      <c r="C25" s="17" t="s">
        <v>70</v>
      </c>
      <c r="D25" s="17" t="s">
        <v>71</v>
      </c>
      <c r="E25" s="17" t="s">
        <v>72</v>
      </c>
      <c r="F25" s="17" t="s">
        <v>73</v>
      </c>
      <c r="G25" s="17" t="s">
        <v>74</v>
      </c>
      <c r="H25" s="17" t="s">
        <v>75</v>
      </c>
      <c r="I25" s="17" t="s">
        <v>76</v>
      </c>
      <c r="J25" s="17" t="s">
        <v>77</v>
      </c>
      <c r="K25" s="17" t="s">
        <v>78</v>
      </c>
      <c r="L25" s="17" t="s">
        <v>79</v>
      </c>
    </row>
    <row r="26" spans="1:12" x14ac:dyDescent="0.35">
      <c r="A26" t="s">
        <v>80</v>
      </c>
      <c r="B26" s="4">
        <f t="shared" ref="B26:B37" si="0">$B$12*$B$13</f>
        <v>3</v>
      </c>
      <c r="C26" s="4">
        <f>B26</f>
        <v>3</v>
      </c>
      <c r="D26" s="12">
        <f t="shared" ref="D26:D37" si="1">C26*$B$14/12</f>
        <v>2000</v>
      </c>
      <c r="E26" s="12">
        <f t="shared" ref="E26:E37" si="2">D26*(1-$B$15)</f>
        <v>500</v>
      </c>
      <c r="F26" s="12">
        <f t="shared" ref="F26:F37" si="3">E26-$B$16</f>
        <v>-2500</v>
      </c>
      <c r="G26" s="12">
        <f>IF(1&lt;=$B$21,$B$18/$B$21,0)</f>
        <v>833.33333333333337</v>
      </c>
      <c r="H26" s="12">
        <f t="shared" ref="H26:H37" si="4">F26-G26</f>
        <v>-3333.3333333333335</v>
      </c>
      <c r="I26" s="12">
        <f t="shared" ref="I26:I37" si="5">MAX(0,H26*$B$20)</f>
        <v>0</v>
      </c>
      <c r="J26" s="12">
        <f t="shared" ref="J26:J37" si="6">H26-I26</f>
        <v>-3333.3333333333335</v>
      </c>
      <c r="K26" s="12">
        <f>J26+G26-$B$18</f>
        <v>-22500</v>
      </c>
      <c r="L26" s="12">
        <f>K26</f>
        <v>-22500</v>
      </c>
    </row>
    <row r="27" spans="1:12" x14ac:dyDescent="0.35">
      <c r="A27" t="s">
        <v>81</v>
      </c>
      <c r="B27" s="4">
        <f t="shared" si="0"/>
        <v>3</v>
      </c>
      <c r="C27" s="4">
        <f t="shared" ref="C27:C37" si="7">C26*(1-$B$17)+B27</f>
        <v>5.9399999999999995</v>
      </c>
      <c r="D27" s="12">
        <f t="shared" si="1"/>
        <v>3959.9999999999995</v>
      </c>
      <c r="E27" s="12">
        <f t="shared" si="2"/>
        <v>989.99999999999989</v>
      </c>
      <c r="F27" s="12">
        <f t="shared" si="3"/>
        <v>-2010</v>
      </c>
      <c r="G27" s="12">
        <f>IF(2&lt;=$B$21,$B$18/$B$21,0)</f>
        <v>833.33333333333337</v>
      </c>
      <c r="H27" s="12">
        <f t="shared" si="4"/>
        <v>-2843.3333333333335</v>
      </c>
      <c r="I27" s="12">
        <f t="shared" si="5"/>
        <v>0</v>
      </c>
      <c r="J27" s="12">
        <f t="shared" si="6"/>
        <v>-2843.3333333333335</v>
      </c>
      <c r="K27" s="12">
        <f t="shared" ref="K27:K37" si="8">J27+G27</f>
        <v>-2010</v>
      </c>
      <c r="L27" s="12">
        <f t="shared" ref="L27:L37" si="9">L26+K27</f>
        <v>-24510</v>
      </c>
    </row>
    <row r="28" spans="1:12" x14ac:dyDescent="0.35">
      <c r="A28" t="s">
        <v>82</v>
      </c>
      <c r="B28" s="4">
        <f t="shared" si="0"/>
        <v>3</v>
      </c>
      <c r="C28" s="4">
        <f t="shared" si="7"/>
        <v>8.8211999999999993</v>
      </c>
      <c r="D28" s="12">
        <f t="shared" si="1"/>
        <v>5880.7999999999993</v>
      </c>
      <c r="E28" s="12">
        <f t="shared" si="2"/>
        <v>1470.1999999999998</v>
      </c>
      <c r="F28" s="12">
        <f t="shared" si="3"/>
        <v>-1529.8000000000002</v>
      </c>
      <c r="G28" s="12">
        <f>IF(3&lt;=$B$21,$B$18/$B$21,0)</f>
        <v>833.33333333333337</v>
      </c>
      <c r="H28" s="12">
        <f t="shared" si="4"/>
        <v>-2363.1333333333337</v>
      </c>
      <c r="I28" s="12">
        <f t="shared" si="5"/>
        <v>0</v>
      </c>
      <c r="J28" s="12">
        <f t="shared" si="6"/>
        <v>-2363.1333333333337</v>
      </c>
      <c r="K28" s="12">
        <f t="shared" si="8"/>
        <v>-1529.8000000000002</v>
      </c>
      <c r="L28" s="12">
        <f t="shared" si="9"/>
        <v>-26039.8</v>
      </c>
    </row>
    <row r="29" spans="1:12" x14ac:dyDescent="0.35">
      <c r="A29" t="s">
        <v>83</v>
      </c>
      <c r="B29" s="4">
        <f t="shared" si="0"/>
        <v>3</v>
      </c>
      <c r="C29" s="4">
        <f t="shared" si="7"/>
        <v>11.644775999999998</v>
      </c>
      <c r="D29" s="12">
        <f t="shared" si="1"/>
        <v>7763.1839999999984</v>
      </c>
      <c r="E29" s="12">
        <f t="shared" si="2"/>
        <v>1940.7959999999996</v>
      </c>
      <c r="F29" s="12">
        <f t="shared" si="3"/>
        <v>-1059.2040000000004</v>
      </c>
      <c r="G29" s="12">
        <f>IF(4&lt;=$B$21,$B$18/$B$21,0)</f>
        <v>833.33333333333337</v>
      </c>
      <c r="H29" s="12">
        <f t="shared" si="4"/>
        <v>-1892.5373333333337</v>
      </c>
      <c r="I29" s="12">
        <f t="shared" si="5"/>
        <v>0</v>
      </c>
      <c r="J29" s="12">
        <f t="shared" si="6"/>
        <v>-1892.5373333333337</v>
      </c>
      <c r="K29" s="12">
        <f t="shared" si="8"/>
        <v>-1059.2040000000002</v>
      </c>
      <c r="L29" s="12">
        <f t="shared" si="9"/>
        <v>-27099.004000000001</v>
      </c>
    </row>
    <row r="30" spans="1:12" x14ac:dyDescent="0.35">
      <c r="A30" t="s">
        <v>84</v>
      </c>
      <c r="B30" s="4">
        <f t="shared" si="0"/>
        <v>3</v>
      </c>
      <c r="C30" s="4">
        <f t="shared" si="7"/>
        <v>14.411880479999999</v>
      </c>
      <c r="D30" s="12">
        <f t="shared" si="1"/>
        <v>9607.9203199999993</v>
      </c>
      <c r="E30" s="12">
        <f t="shared" si="2"/>
        <v>2401.9800799999998</v>
      </c>
      <c r="F30" s="12">
        <f t="shared" si="3"/>
        <v>-598.01992000000018</v>
      </c>
      <c r="G30" s="12">
        <f>IF(5&lt;=$B$21,$B$18/$B$21,0)</f>
        <v>833.33333333333337</v>
      </c>
      <c r="H30" s="12">
        <f t="shared" si="4"/>
        <v>-1431.3532533333337</v>
      </c>
      <c r="I30" s="12">
        <f t="shared" si="5"/>
        <v>0</v>
      </c>
      <c r="J30" s="12">
        <f t="shared" si="6"/>
        <v>-1431.3532533333337</v>
      </c>
      <c r="K30" s="12">
        <f t="shared" si="8"/>
        <v>-598.0199200000003</v>
      </c>
      <c r="L30" s="12">
        <f t="shared" si="9"/>
        <v>-27697.02392</v>
      </c>
    </row>
    <row r="31" spans="1:12" x14ac:dyDescent="0.35">
      <c r="A31" t="s">
        <v>85</v>
      </c>
      <c r="B31" s="4">
        <f t="shared" si="0"/>
        <v>3</v>
      </c>
      <c r="C31" s="4">
        <f t="shared" si="7"/>
        <v>17.123642870399998</v>
      </c>
      <c r="D31" s="12">
        <f t="shared" si="1"/>
        <v>11415.761913599999</v>
      </c>
      <c r="E31" s="12">
        <f t="shared" si="2"/>
        <v>2853.9404783999998</v>
      </c>
      <c r="F31" s="12">
        <f t="shared" si="3"/>
        <v>-146.05952160000015</v>
      </c>
      <c r="G31" s="12">
        <f>IF(6&lt;=$B$21,$B$18/$B$21,0)</f>
        <v>833.33333333333337</v>
      </c>
      <c r="H31" s="12">
        <f t="shared" si="4"/>
        <v>-979.39285493333352</v>
      </c>
      <c r="I31" s="12">
        <f t="shared" si="5"/>
        <v>0</v>
      </c>
      <c r="J31" s="12">
        <f t="shared" si="6"/>
        <v>-979.39285493333352</v>
      </c>
      <c r="K31" s="12">
        <f t="shared" si="8"/>
        <v>-146.05952160000015</v>
      </c>
      <c r="L31" s="12">
        <f t="shared" si="9"/>
        <v>-27843.0834416</v>
      </c>
    </row>
    <row r="32" spans="1:12" x14ac:dyDescent="0.35">
      <c r="A32" t="s">
        <v>86</v>
      </c>
      <c r="B32" s="4">
        <f t="shared" si="0"/>
        <v>3</v>
      </c>
      <c r="C32" s="4">
        <f t="shared" si="7"/>
        <v>19.781170012991996</v>
      </c>
      <c r="D32" s="12">
        <f t="shared" si="1"/>
        <v>13187.446675327998</v>
      </c>
      <c r="E32" s="12">
        <f t="shared" si="2"/>
        <v>3296.8616688319994</v>
      </c>
      <c r="F32" s="12">
        <f t="shared" si="3"/>
        <v>296.8616688319994</v>
      </c>
      <c r="G32" s="12">
        <f>IF(7&lt;=$B$21,$B$18/$B$21,0)</f>
        <v>833.33333333333337</v>
      </c>
      <c r="H32" s="12">
        <f t="shared" si="4"/>
        <v>-536.47166450133398</v>
      </c>
      <c r="I32" s="12">
        <f t="shared" si="5"/>
        <v>0</v>
      </c>
      <c r="J32" s="12">
        <f t="shared" si="6"/>
        <v>-536.47166450133398</v>
      </c>
      <c r="K32" s="12">
        <f t="shared" si="8"/>
        <v>296.8616688319994</v>
      </c>
      <c r="L32" s="12">
        <f t="shared" si="9"/>
        <v>-27546.221772768</v>
      </c>
    </row>
    <row r="33" spans="1:12" x14ac:dyDescent="0.35">
      <c r="A33" t="s">
        <v>87</v>
      </c>
      <c r="B33" s="4">
        <f t="shared" si="0"/>
        <v>3</v>
      </c>
      <c r="C33" s="4">
        <f t="shared" si="7"/>
        <v>22.385546612732156</v>
      </c>
      <c r="D33" s="12">
        <f t="shared" si="1"/>
        <v>14923.697741821437</v>
      </c>
      <c r="E33" s="12">
        <f t="shared" si="2"/>
        <v>3730.9244354553593</v>
      </c>
      <c r="F33" s="12">
        <f t="shared" si="3"/>
        <v>730.92443545535934</v>
      </c>
      <c r="G33" s="12">
        <f>IF(8&lt;=$B$21,$B$18/$B$21,0)</f>
        <v>833.33333333333337</v>
      </c>
      <c r="H33" s="12">
        <f t="shared" si="4"/>
        <v>-102.40889787797403</v>
      </c>
      <c r="I33" s="12">
        <f t="shared" si="5"/>
        <v>0</v>
      </c>
      <c r="J33" s="12">
        <f t="shared" si="6"/>
        <v>-102.40889787797403</v>
      </c>
      <c r="K33" s="12">
        <f t="shared" si="8"/>
        <v>730.92443545535934</v>
      </c>
      <c r="L33" s="12">
        <f t="shared" si="9"/>
        <v>-26815.297337312641</v>
      </c>
    </row>
    <row r="34" spans="1:12" x14ac:dyDescent="0.35">
      <c r="A34" t="s">
        <v>88</v>
      </c>
      <c r="B34" s="4">
        <f t="shared" si="0"/>
        <v>3</v>
      </c>
      <c r="C34" s="4">
        <f t="shared" si="7"/>
        <v>24.937835680477512</v>
      </c>
      <c r="D34" s="12">
        <f t="shared" si="1"/>
        <v>16625.223786985011</v>
      </c>
      <c r="E34" s="12">
        <f t="shared" si="2"/>
        <v>4156.3059467462526</v>
      </c>
      <c r="F34" s="12">
        <f t="shared" si="3"/>
        <v>1156.3059467462526</v>
      </c>
      <c r="G34" s="12">
        <f>IF(9&lt;=$B$21,$B$18/$B$21,0)</f>
        <v>833.33333333333337</v>
      </c>
      <c r="H34" s="12">
        <f t="shared" si="4"/>
        <v>322.97261341291926</v>
      </c>
      <c r="I34" s="12">
        <f t="shared" si="5"/>
        <v>80.743153353229815</v>
      </c>
      <c r="J34" s="12">
        <f t="shared" si="6"/>
        <v>242.22946005968944</v>
      </c>
      <c r="K34" s="12">
        <f t="shared" si="8"/>
        <v>1075.5627933930227</v>
      </c>
      <c r="L34" s="12">
        <f t="shared" si="9"/>
        <v>-25739.734543919618</v>
      </c>
    </row>
    <row r="35" spans="1:12" x14ac:dyDescent="0.35">
      <c r="A35" t="s">
        <v>89</v>
      </c>
      <c r="B35" s="4">
        <f t="shared" si="0"/>
        <v>3</v>
      </c>
      <c r="C35" s="4">
        <f t="shared" si="7"/>
        <v>27.43907896686796</v>
      </c>
      <c r="D35" s="12">
        <f t="shared" si="1"/>
        <v>18292.719311245306</v>
      </c>
      <c r="E35" s="12">
        <f t="shared" si="2"/>
        <v>4573.1798278113265</v>
      </c>
      <c r="F35" s="12">
        <f t="shared" si="3"/>
        <v>1573.1798278113265</v>
      </c>
      <c r="G35" s="12">
        <f>IF(10&lt;=$B$21,$B$18/$B$21,0)</f>
        <v>833.33333333333337</v>
      </c>
      <c r="H35" s="12">
        <f t="shared" si="4"/>
        <v>739.84649447799313</v>
      </c>
      <c r="I35" s="12">
        <f t="shared" si="5"/>
        <v>184.96162361949828</v>
      </c>
      <c r="J35" s="12">
        <f t="shared" si="6"/>
        <v>554.88487085849488</v>
      </c>
      <c r="K35" s="12">
        <f t="shared" si="8"/>
        <v>1388.2182041918281</v>
      </c>
      <c r="L35" s="12">
        <f t="shared" si="9"/>
        <v>-24351.51633972779</v>
      </c>
    </row>
    <row r="36" spans="1:12" x14ac:dyDescent="0.35">
      <c r="A36" t="s">
        <v>90</v>
      </c>
      <c r="B36" s="4">
        <f t="shared" si="0"/>
        <v>3</v>
      </c>
      <c r="C36" s="4">
        <f t="shared" si="7"/>
        <v>29.890297387530602</v>
      </c>
      <c r="D36" s="12">
        <f t="shared" si="1"/>
        <v>19926.8649250204</v>
      </c>
      <c r="E36" s="12">
        <f t="shared" si="2"/>
        <v>4981.7162312551</v>
      </c>
      <c r="F36" s="12">
        <f t="shared" si="3"/>
        <v>1981.7162312551</v>
      </c>
      <c r="G36" s="12">
        <f>IF(11&lt;=$B$21,$B$18/$B$21,0)</f>
        <v>833.33333333333337</v>
      </c>
      <c r="H36" s="12">
        <f t="shared" si="4"/>
        <v>1148.3828979217665</v>
      </c>
      <c r="I36" s="12">
        <f t="shared" si="5"/>
        <v>287.09572448044162</v>
      </c>
      <c r="J36" s="12">
        <f t="shared" si="6"/>
        <v>861.28717344132485</v>
      </c>
      <c r="K36" s="12">
        <f t="shared" si="8"/>
        <v>1694.6205067746582</v>
      </c>
      <c r="L36" s="12">
        <f t="shared" si="9"/>
        <v>-22656.895832953131</v>
      </c>
    </row>
    <row r="37" spans="1:12" x14ac:dyDescent="0.35">
      <c r="A37" t="s">
        <v>91</v>
      </c>
      <c r="B37" s="4">
        <f t="shared" si="0"/>
        <v>3</v>
      </c>
      <c r="C37" s="4">
        <f t="shared" si="7"/>
        <v>32.292491439779994</v>
      </c>
      <c r="D37" s="12">
        <f t="shared" si="1"/>
        <v>21528.327626519997</v>
      </c>
      <c r="E37" s="12">
        <f t="shared" si="2"/>
        <v>5382.0819066299991</v>
      </c>
      <c r="F37" s="12">
        <f t="shared" si="3"/>
        <v>2382.0819066299991</v>
      </c>
      <c r="G37" s="12">
        <f>IF(12&lt;=$B$21,$B$18/$B$21,0)</f>
        <v>833.33333333333337</v>
      </c>
      <c r="H37" s="12">
        <f t="shared" si="4"/>
        <v>1548.7485732966657</v>
      </c>
      <c r="I37" s="12">
        <f t="shared" si="5"/>
        <v>387.18714332416641</v>
      </c>
      <c r="J37" s="12">
        <f t="shared" si="6"/>
        <v>1161.5614299724994</v>
      </c>
      <c r="K37" s="12">
        <f t="shared" si="8"/>
        <v>1994.8947633058328</v>
      </c>
      <c r="L37" s="12">
        <f t="shared" si="9"/>
        <v>-20662.001069647296</v>
      </c>
    </row>
  </sheetData>
  <mergeCells count="2">
    <mergeCell ref="A2:L2"/>
    <mergeCell ref="A1:L1"/>
  </mergeCells>
  <dataValidations count="1">
    <dataValidation type="list" sqref="B4" xr:uid="{00000000-0002-0000-0100-000000000000}">
      <formula1>$A$7:$A$9</formula1>
    </dataValidation>
  </dataValidations>
  <pageMargins left="0.75" right="0.75" top="1" bottom="1" header="0.5" footer="0.5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"/>
  <sheetViews>
    <sheetView showGridLines="0" topLeftCell="J1" zoomScale="64" zoomScaleNormal="97" zoomScaleSheetLayoutView="33" workbookViewId="0">
      <pane ySplit="3" topLeftCell="A6" activePane="bottomLeft" state="frozen"/>
      <selection sqref="A1:D1"/>
      <selection pane="bottomLeft" activeCell="S8" sqref="S8"/>
    </sheetView>
  </sheetViews>
  <sheetFormatPr baseColWidth="10" defaultColWidth="8.7265625" defaultRowHeight="14.5" x14ac:dyDescent="0.35"/>
  <cols>
    <col min="1" max="1" width="28" customWidth="1"/>
    <col min="2" max="2" width="11" customWidth="1"/>
    <col min="3" max="3" width="12" customWidth="1"/>
    <col min="4" max="4" width="10" customWidth="1"/>
    <col min="5" max="5" width="12" customWidth="1"/>
    <col min="6" max="6" width="13" customWidth="1"/>
    <col min="7" max="7" width="16" customWidth="1"/>
    <col min="8" max="9" width="18" customWidth="1"/>
    <col min="10" max="10" width="14" customWidth="1"/>
    <col min="11" max="11" width="18" customWidth="1"/>
    <col min="12" max="13" width="14" customWidth="1"/>
    <col min="14" max="14" width="18" customWidth="1"/>
    <col min="15" max="15" width="14" customWidth="1"/>
    <col min="16" max="16" width="12" customWidth="1"/>
    <col min="17" max="17" width="16" customWidth="1"/>
    <col min="18" max="19" width="18" customWidth="1"/>
    <col min="20" max="20" width="24" customWidth="1"/>
  </cols>
  <sheetData>
    <row r="1" spans="1:20" ht="18.5" customHeight="1" x14ac:dyDescent="0.45">
      <c r="A1" s="1" t="s">
        <v>92</v>
      </c>
    </row>
    <row r="3" spans="1:20" ht="29" x14ac:dyDescent="0.35">
      <c r="A3" s="5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  <c r="G3" s="5" t="s">
        <v>99</v>
      </c>
      <c r="H3" s="5" t="s">
        <v>100</v>
      </c>
      <c r="I3" s="5" t="s">
        <v>101</v>
      </c>
      <c r="J3" s="5" t="s">
        <v>102</v>
      </c>
      <c r="K3" s="5" t="s">
        <v>103</v>
      </c>
      <c r="L3" s="5" t="s">
        <v>104</v>
      </c>
      <c r="M3" s="5" t="s">
        <v>105</v>
      </c>
      <c r="N3" s="5" t="s">
        <v>106</v>
      </c>
      <c r="O3" s="5" t="s">
        <v>5</v>
      </c>
      <c r="P3" s="5" t="s">
        <v>6</v>
      </c>
      <c r="Q3" s="5" t="s">
        <v>107</v>
      </c>
      <c r="R3" s="5" t="s">
        <v>108</v>
      </c>
      <c r="S3" s="5" t="s">
        <v>109</v>
      </c>
      <c r="T3" s="5" t="s">
        <v>110</v>
      </c>
    </row>
    <row r="4" spans="1:20" x14ac:dyDescent="0.35">
      <c r="A4" s="18" t="s">
        <v>111</v>
      </c>
      <c r="B4" s="18">
        <v>5</v>
      </c>
      <c r="C4" s="18">
        <v>3</v>
      </c>
      <c r="D4" s="18">
        <v>2</v>
      </c>
      <c r="E4" s="18" t="s">
        <v>112</v>
      </c>
      <c r="F4" s="18" t="s">
        <v>113</v>
      </c>
      <c r="G4" s="19">
        <v>60</v>
      </c>
      <c r="H4" s="19">
        <v>1732</v>
      </c>
      <c r="I4" s="19">
        <v>50</v>
      </c>
      <c r="J4" s="20">
        <f>IF($A4="","",$B4*$C4*$D4*Hypotheses_Marche!$B$5)</f>
        <v>129.9</v>
      </c>
      <c r="K4" s="21">
        <f>IF($A4="","",$J4*IF($E4="Nuit",Hypotheses_Marche!$B$4,Hypotheses_Marche!$B$3))</f>
        <v>2338.2000000000003</v>
      </c>
      <c r="L4" s="21">
        <f>IF($A4="","",IF(AND($F4="Nous",$H4&lt;&gt;""),IF($G4="",Hypotheses_Marche!$B$6,$G4),0))</f>
        <v>0</v>
      </c>
      <c r="M4" s="21">
        <f t="shared" ref="M4:M25" si="0">IF($A4="","",$K4+$L4+$I4)</f>
        <v>2388.2000000000003</v>
      </c>
      <c r="N4" s="21">
        <f>IF($A4="","",$M4/(1-Hypotheses_Marche!$B$7))</f>
        <v>2985.25</v>
      </c>
      <c r="O4" s="21">
        <f t="shared" ref="O4:O25" si="1">IF($A4="","",$H4-$M4)</f>
        <v>-656.20000000000027</v>
      </c>
      <c r="P4" s="22">
        <f t="shared" ref="P4:P25" si="2">IF(OR($A4="",$H4=0),"",$O4/$H4)</f>
        <v>-0.37886836027713644</v>
      </c>
      <c r="Q4" s="23" t="str">
        <f>IF($A4="","",IF($P4&gt;=Hypotheses_Marche!$B$7,"OK",IF($P4&gt;=0,"A optimiser","Non rentable")))</f>
        <v>Non rentable</v>
      </c>
      <c r="R4" s="23" t="str">
        <f>IF($A4="","",IF(AND($P4&gt;=Hypotheses_Marche!$B$7,$O4&gt;=1000),"Prioritaire",IF($P4&lt;0,"A refuser/renegocier","A surveiller")))</f>
        <v>A refuser/renegocier</v>
      </c>
      <c r="S4" s="21">
        <f t="shared" ref="S4:S25" si="3">IF($A4="","",$H4-$N4)</f>
        <v>-1253.25</v>
      </c>
      <c r="T4" s="23" t="str">
        <f>IF($A4="","",IF($P4&lt;0,"Renegocier prix/couts",IF($P4&lt;Hypotheses_Marche!$B$7,"Optimiser heures/produits","Conserver")))</f>
        <v>Renegocier prix/couts</v>
      </c>
    </row>
    <row r="5" spans="1:20" x14ac:dyDescent="0.35">
      <c r="A5" s="18" t="s">
        <v>114</v>
      </c>
      <c r="B5" s="18">
        <v>6</v>
      </c>
      <c r="C5" s="18">
        <v>4</v>
      </c>
      <c r="D5" s="18">
        <v>3</v>
      </c>
      <c r="E5" s="18" t="s">
        <v>115</v>
      </c>
      <c r="F5" s="18" t="s">
        <v>113</v>
      </c>
      <c r="G5" s="19">
        <v>0</v>
      </c>
      <c r="H5" s="19">
        <v>8500</v>
      </c>
      <c r="I5" s="19">
        <v>120</v>
      </c>
      <c r="J5" s="20">
        <f>IF($A5="","",$B5*$C5*$D5*Hypotheses_Marche!$B$5)</f>
        <v>311.76</v>
      </c>
      <c r="K5" s="21">
        <f>IF($A5="","",$J5*IF($E5="Nuit",Hypotheses_Marche!$B$4,Hypotheses_Marche!$B$3))</f>
        <v>7170.48</v>
      </c>
      <c r="L5" s="21">
        <f>IF($A5="","",IF(AND($F5="Nous",$H5&lt;&gt;""),IF($G5="",Hypotheses_Marche!$B$6,$G5),0))</f>
        <v>0</v>
      </c>
      <c r="M5" s="21">
        <f t="shared" si="0"/>
        <v>7290.48</v>
      </c>
      <c r="N5" s="21">
        <f>IF($A5="","",$M5/(1-Hypotheses_Marche!$B$7))</f>
        <v>9113.0999999999985</v>
      </c>
      <c r="O5" s="21">
        <f t="shared" si="1"/>
        <v>1209.5200000000004</v>
      </c>
      <c r="P5" s="22">
        <f t="shared" si="2"/>
        <v>0.14229647058823536</v>
      </c>
      <c r="Q5" s="23" t="str">
        <f>IF($A5="","",IF($P5&gt;=Hypotheses_Marche!$B$7,"OK",IF($P5&gt;=0,"A optimiser","Non rentable")))</f>
        <v>A optimiser</v>
      </c>
      <c r="R5" s="23" t="str">
        <f>IF($A5="","",IF(AND($P5&gt;=Hypotheses_Marche!$B$7,$O5&gt;=1000),"Prioritaire",IF($P5&lt;0,"A refuser/renegocier","A surveiller")))</f>
        <v>A surveiller</v>
      </c>
      <c r="S5" s="21">
        <f t="shared" si="3"/>
        <v>-613.09999999999854</v>
      </c>
      <c r="T5" s="23" t="str">
        <f>IF($A5="","",IF($P5&lt;0,"Renegocier prix/couts",IF($P5&lt;Hypotheses_Marche!$B$7,"Optimiser heures/produits","Conserver")))</f>
        <v>Optimiser heures/produits</v>
      </c>
    </row>
    <row r="6" spans="1:20" x14ac:dyDescent="0.35">
      <c r="A6" s="18" t="s">
        <v>116</v>
      </c>
      <c r="B6" s="18">
        <v>4</v>
      </c>
      <c r="C6" s="18">
        <v>2</v>
      </c>
      <c r="D6" s="18">
        <v>2</v>
      </c>
      <c r="E6" s="18" t="s">
        <v>112</v>
      </c>
      <c r="F6" s="18" t="s">
        <v>117</v>
      </c>
      <c r="G6" s="47">
        <v>80</v>
      </c>
      <c r="H6" s="47">
        <v>1600</v>
      </c>
      <c r="I6" s="47">
        <v>40</v>
      </c>
      <c r="J6" s="46">
        <f>IF($A6="","",$B6*$C6*$D6*Hypotheses_Marche!$B$5)</f>
        <v>69.28</v>
      </c>
      <c r="K6" s="46">
        <f>IF($A6="","",$J6*IF($E6="Nuit",Hypotheses_Marche!$B$4,Hypotheses_Marche!$B$3))</f>
        <v>1247.04</v>
      </c>
      <c r="L6" s="46">
        <f>IF($A6="","",IF(AND($F6="Nous",$H6&lt;&gt;""),IF($G6="",Hypotheses_Marche!$B$6,$G6),0))</f>
        <v>80</v>
      </c>
      <c r="M6" s="46">
        <f t="shared" si="0"/>
        <v>1367.04</v>
      </c>
      <c r="N6" s="46">
        <f>IF($A6="","",$M6/(1-Hypotheses_Marche!$B$7))</f>
        <v>1708.8</v>
      </c>
      <c r="O6" s="46">
        <f t="shared" si="1"/>
        <v>232.96000000000004</v>
      </c>
      <c r="P6" s="22">
        <f t="shared" si="2"/>
        <v>0.14560000000000003</v>
      </c>
      <c r="Q6" s="23" t="str">
        <f>IF($A6="","",IF($P6&gt;=Hypotheses_Marche!$B$7,"OK",IF($P6&gt;=0,"A optimiser","Non rentable")))</f>
        <v>A optimiser</v>
      </c>
      <c r="R6" s="23" t="str">
        <f>IF($A6="","",IF(AND($P6&gt;=Hypotheses_Marche!$B$7,$O6&gt;=1000),"Prioritaire",IF($P6&lt;0,"A refuser/renegocier","A surveiller")))</f>
        <v>A surveiller</v>
      </c>
      <c r="S6" s="46">
        <f t="shared" si="3"/>
        <v>-108.79999999999995</v>
      </c>
      <c r="T6" s="23" t="str">
        <f>IF($A6="","",IF($P6&lt;0,"Renegocier prix/couts",IF($P6&lt;Hypotheses_Marche!$B$7,"Optimiser heures/produits","Conserver")))</f>
        <v>Optimiser heures/produits</v>
      </c>
    </row>
    <row r="7" spans="1:20" ht="29" x14ac:dyDescent="0.35">
      <c r="A7" s="18" t="s">
        <v>118</v>
      </c>
      <c r="B7" s="18">
        <v>7</v>
      </c>
      <c r="C7" s="18">
        <v>5</v>
      </c>
      <c r="D7" s="18">
        <v>4</v>
      </c>
      <c r="E7" s="18" t="s">
        <v>115</v>
      </c>
      <c r="F7" s="18" t="s">
        <v>117</v>
      </c>
      <c r="G7" s="47">
        <v>200</v>
      </c>
      <c r="H7" s="47">
        <v>13000</v>
      </c>
      <c r="I7" s="47">
        <v>150</v>
      </c>
      <c r="J7" s="46">
        <f>IF($A7="","",$B7*$C7*$D7*Hypotheses_Marche!$B$5)</f>
        <v>606.20000000000005</v>
      </c>
      <c r="K7" s="46">
        <f>IF($A7="","",$J7*IF($E7="Nuit",Hypotheses_Marche!$B$4,Hypotheses_Marche!$B$3))</f>
        <v>13942.6</v>
      </c>
      <c r="L7" s="46">
        <f>IF($A7="","",IF(AND($F7="Nous",$H7&lt;&gt;""),IF($G7="",Hypotheses_Marche!$B$6,$G7),0))</f>
        <v>200</v>
      </c>
      <c r="M7" s="46">
        <f t="shared" si="0"/>
        <v>14292.6</v>
      </c>
      <c r="N7" s="46">
        <f>IF($A7="","",$M7/(1-Hypotheses_Marche!$B$7))</f>
        <v>17865.75</v>
      </c>
      <c r="O7" s="46">
        <f t="shared" si="1"/>
        <v>-1292.6000000000004</v>
      </c>
      <c r="P7" s="22">
        <f t="shared" si="2"/>
        <v>-9.9430769230769253E-2</v>
      </c>
      <c r="Q7" s="23" t="str">
        <f>IF($A7="","",IF($P7&gt;=Hypotheses_Marche!$B$7,"OK",IF($P7&gt;=0,"A optimiser","Non rentable")))</f>
        <v>Non rentable</v>
      </c>
      <c r="R7" s="23" t="str">
        <f>IF($A7="","",IF(AND($P7&gt;=Hypotheses_Marche!$B$7,$O7&gt;=1000),"Prioritaire",IF($P7&lt;0,"A refuser/renegocier","A surveiller")))</f>
        <v>A refuser/renegocier</v>
      </c>
      <c r="S7" s="46">
        <f t="shared" si="3"/>
        <v>-4865.75</v>
      </c>
      <c r="T7" s="23" t="str">
        <f>IF($A7="","",IF($P7&lt;0,"Renegocier prix/couts",IF($P7&lt;Hypotheses_Marche!$B$7,"Optimiser heures/produits","Conserver")))</f>
        <v>Renegocier prix/couts</v>
      </c>
    </row>
    <row r="8" spans="1:20" x14ac:dyDescent="0.35">
      <c r="A8" s="18" t="s">
        <v>119</v>
      </c>
      <c r="B8" s="18">
        <v>3</v>
      </c>
      <c r="C8" s="18">
        <v>2</v>
      </c>
      <c r="D8" s="18">
        <v>1</v>
      </c>
      <c r="E8" s="18" t="s">
        <v>112</v>
      </c>
      <c r="F8" s="18" t="s">
        <v>113</v>
      </c>
      <c r="G8" s="47">
        <v>0</v>
      </c>
      <c r="H8" s="47">
        <v>650</v>
      </c>
      <c r="I8" s="47">
        <v>20</v>
      </c>
      <c r="J8" s="46">
        <f>IF($A8="","",$B8*$C8*$D8*Hypotheses_Marche!$B$5)</f>
        <v>25.98</v>
      </c>
      <c r="K8" s="46">
        <f>IF($A8="","",$J8*IF($E8="Nuit",Hypotheses_Marche!$B$4,Hypotheses_Marche!$B$3))</f>
        <v>467.64</v>
      </c>
      <c r="L8" s="46">
        <f>IF($A8="","",IF(AND($F8="Nous",$H8&lt;&gt;""),IF($G8="",Hypotheses_Marche!$B$6,$G8),0))</f>
        <v>0</v>
      </c>
      <c r="M8" s="46">
        <f t="shared" si="0"/>
        <v>487.64</v>
      </c>
      <c r="N8" s="46">
        <f>IF($A8="","",$M8/(1-Hypotheses_Marche!$B$7))</f>
        <v>609.54999999999995</v>
      </c>
      <c r="O8" s="46">
        <f t="shared" si="1"/>
        <v>162.36000000000001</v>
      </c>
      <c r="P8" s="22">
        <f t="shared" si="2"/>
        <v>0.24978461538461541</v>
      </c>
      <c r="Q8" s="23" t="str">
        <f>IF($A8="","",IF($P8&gt;=Hypotheses_Marche!$B$7,"OK",IF($P8&gt;=0,"A optimiser","Non rentable")))</f>
        <v>OK</v>
      </c>
      <c r="R8" s="23" t="str">
        <f>IF($A8="","",IF(AND($P8&gt;=Hypotheses_Marche!$B$7,$O8&gt;=1000),"Prioritaire",IF($P8&lt;0,"A refuser/renegocier","A surveiller")))</f>
        <v>A surveiller</v>
      </c>
      <c r="S8" s="46">
        <f t="shared" si="3"/>
        <v>40.450000000000045</v>
      </c>
      <c r="T8" s="23" t="str">
        <f>IF($A8="","",IF($P8&lt;0,"Renegocier prix/couts",IF($P8&lt;Hypotheses_Marche!$B$7,"Optimiser heures/produits","Conserver")))</f>
        <v>Conserver</v>
      </c>
    </row>
    <row r="9" spans="1:20" x14ac:dyDescent="0.35">
      <c r="A9" s="18" t="s">
        <v>120</v>
      </c>
      <c r="B9" s="18">
        <v>5</v>
      </c>
      <c r="C9" s="18">
        <v>3</v>
      </c>
      <c r="D9" s="18">
        <v>2</v>
      </c>
      <c r="E9" s="18" t="s">
        <v>112</v>
      </c>
      <c r="F9" s="18" t="s">
        <v>117</v>
      </c>
      <c r="G9" s="47">
        <v>70</v>
      </c>
      <c r="H9" s="47">
        <v>2900</v>
      </c>
      <c r="I9" s="47">
        <v>60</v>
      </c>
      <c r="J9" s="46">
        <f>IF($A9="","",$B9*$C9*$D9*Hypotheses_Marche!$B$5)</f>
        <v>129.9</v>
      </c>
      <c r="K9" s="46">
        <f>IF($A9="","",$J9*IF($E9="Nuit",Hypotheses_Marche!$B$4,Hypotheses_Marche!$B$3))</f>
        <v>2338.2000000000003</v>
      </c>
      <c r="L9" s="46">
        <f>IF($A9="","",IF(AND($F9="Nous",$H9&lt;&gt;""),IF($G9="",Hypotheses_Marche!$B$6,$G9),0))</f>
        <v>70</v>
      </c>
      <c r="M9" s="46">
        <f t="shared" si="0"/>
        <v>2468.2000000000003</v>
      </c>
      <c r="N9" s="46">
        <f>IF($A9="","",$M9/(1-Hypotheses_Marche!$B$7))</f>
        <v>3085.25</v>
      </c>
      <c r="O9" s="46">
        <f t="shared" si="1"/>
        <v>431.79999999999973</v>
      </c>
      <c r="P9" s="22">
        <f t="shared" si="2"/>
        <v>0.14889655172413785</v>
      </c>
      <c r="Q9" s="23" t="str">
        <f>IF($A9="","",IF($P9&gt;=Hypotheses_Marche!$B$7,"OK",IF($P9&gt;=0,"A optimiser","Non rentable")))</f>
        <v>A optimiser</v>
      </c>
      <c r="R9" s="23" t="str">
        <f>IF($A9="","",IF(AND($P9&gt;=Hypotheses_Marche!$B$7,$O9&gt;=1000),"Prioritaire",IF($P9&lt;0,"A refuser/renegocier","A surveiller")))</f>
        <v>A surveiller</v>
      </c>
      <c r="S9" s="46">
        <f t="shared" si="3"/>
        <v>-185.25</v>
      </c>
      <c r="T9" s="23" t="str">
        <f>IF($A9="","",IF($P9&lt;0,"Renegocier prix/couts",IF($P9&lt;Hypotheses_Marche!$B$7,"Optimiser heures/produits","Conserver")))</f>
        <v>Optimiser heures/produits</v>
      </c>
    </row>
    <row r="10" spans="1:20" x14ac:dyDescent="0.35">
      <c r="A10" s="18" t="s">
        <v>121</v>
      </c>
      <c r="B10" s="18">
        <v>6</v>
      </c>
      <c r="C10" s="18">
        <v>2</v>
      </c>
      <c r="D10" s="18">
        <v>1</v>
      </c>
      <c r="E10" s="18" t="s">
        <v>115</v>
      </c>
      <c r="F10" s="18" t="s">
        <v>117</v>
      </c>
      <c r="G10" s="47">
        <v>50</v>
      </c>
      <c r="H10" s="47">
        <v>1500</v>
      </c>
      <c r="I10" s="47">
        <v>30</v>
      </c>
      <c r="J10" s="46">
        <f>IF($A10="","",$B10*$C10*$D10*Hypotheses_Marche!$B$5)</f>
        <v>51.96</v>
      </c>
      <c r="K10" s="46">
        <f>IF($A10="","",$J10*IF($E10="Nuit",Hypotheses_Marche!$B$4,Hypotheses_Marche!$B$3))</f>
        <v>1195.08</v>
      </c>
      <c r="L10" s="46">
        <f>IF($A10="","",IF(AND($F10="Nous",$H10&lt;&gt;""),IF($G10="",Hypotheses_Marche!$B$6,$G10),0))</f>
        <v>50</v>
      </c>
      <c r="M10" s="46">
        <f t="shared" si="0"/>
        <v>1275.08</v>
      </c>
      <c r="N10" s="46">
        <f>IF($A10="","",$M10/(1-Hypotheses_Marche!$B$7))</f>
        <v>1593.85</v>
      </c>
      <c r="O10" s="46">
        <f t="shared" si="1"/>
        <v>224.92000000000007</v>
      </c>
      <c r="P10" s="22">
        <f t="shared" si="2"/>
        <v>0.14994666666666673</v>
      </c>
      <c r="Q10" s="23" t="str">
        <f>IF($A10="","",IF($P10&gt;=Hypotheses_Marche!$B$7,"OK",IF($P10&gt;=0,"A optimiser","Non rentable")))</f>
        <v>A optimiser</v>
      </c>
      <c r="R10" s="23" t="str">
        <f>IF($A10="","",IF(AND($P10&gt;=Hypotheses_Marche!$B$7,$O10&gt;=1000),"Prioritaire",IF($P10&lt;0,"A refuser/renegocier","A surveiller")))</f>
        <v>A surveiller</v>
      </c>
      <c r="S10" s="46">
        <f t="shared" si="3"/>
        <v>-93.849999999999909</v>
      </c>
      <c r="T10" s="23" t="str">
        <f>IF($A10="","",IF($P10&lt;0,"Renegocier prix/couts",IF($P10&lt;Hypotheses_Marche!$B$7,"Optimiser heures/produits","Conserver")))</f>
        <v>Optimiser heures/produits</v>
      </c>
    </row>
    <row r="11" spans="1:20" x14ac:dyDescent="0.35">
      <c r="A11" s="18" t="s">
        <v>122</v>
      </c>
      <c r="B11" s="18">
        <v>5</v>
      </c>
      <c r="C11" s="18">
        <v>4</v>
      </c>
      <c r="D11" s="18">
        <v>3</v>
      </c>
      <c r="E11" s="18" t="s">
        <v>112</v>
      </c>
      <c r="F11" s="18" t="s">
        <v>113</v>
      </c>
      <c r="G11" s="47">
        <v>0</v>
      </c>
      <c r="H11" s="47">
        <v>5500</v>
      </c>
      <c r="I11" s="47">
        <v>80</v>
      </c>
      <c r="J11" s="46">
        <f>IF($A11="","",$B11*$C11*$D11*Hypotheses_Marche!$B$5)</f>
        <v>259.8</v>
      </c>
      <c r="K11" s="46">
        <f>IF($A11="","",$J11*IF($E11="Nuit",Hypotheses_Marche!$B$4,Hypotheses_Marche!$B$3))</f>
        <v>4676.4000000000005</v>
      </c>
      <c r="L11" s="46">
        <f>IF($A11="","",IF(AND($F11="Nous",$H11&lt;&gt;""),IF($G11="",Hypotheses_Marche!$B$6,$G11),0))</f>
        <v>0</v>
      </c>
      <c r="M11" s="46">
        <f t="shared" si="0"/>
        <v>4756.4000000000005</v>
      </c>
      <c r="N11" s="46">
        <f>IF($A11="","",$M11/(1-Hypotheses_Marche!$B$7))</f>
        <v>5945.5</v>
      </c>
      <c r="O11" s="46">
        <f t="shared" si="1"/>
        <v>743.59999999999945</v>
      </c>
      <c r="P11" s="22">
        <f t="shared" si="2"/>
        <v>0.1351999999999999</v>
      </c>
      <c r="Q11" s="23" t="str">
        <f>IF($A11="","",IF($P11&gt;=Hypotheses_Marche!$B$7,"OK",IF($P11&gt;=0,"A optimiser","Non rentable")))</f>
        <v>A optimiser</v>
      </c>
      <c r="R11" s="23" t="str">
        <f>IF($A11="","",IF(AND($P11&gt;=Hypotheses_Marche!$B$7,$O11&gt;=1000),"Prioritaire",IF($P11&lt;0,"A refuser/renegocier","A surveiller")))</f>
        <v>A surveiller</v>
      </c>
      <c r="S11" s="46">
        <f t="shared" si="3"/>
        <v>-445.5</v>
      </c>
      <c r="T11" s="23" t="str">
        <f>IF($A11="","",IF($P11&lt;0,"Renegocier prix/couts",IF($P11&lt;Hypotheses_Marche!$B$7,"Optimiser heures/produits","Conserver")))</f>
        <v>Optimiser heures/produits</v>
      </c>
    </row>
    <row r="12" spans="1:20" x14ac:dyDescent="0.35">
      <c r="A12" s="18"/>
      <c r="B12" s="18"/>
      <c r="C12" s="18"/>
      <c r="D12" s="18"/>
      <c r="E12" s="18" t="s">
        <v>112</v>
      </c>
      <c r="F12" s="18" t="s">
        <v>117</v>
      </c>
      <c r="G12" s="19"/>
      <c r="H12" s="19"/>
      <c r="I12" s="19"/>
      <c r="J12" s="20" t="str">
        <f>IF($A12="","",$B12*$C12*$D12*Hypotheses_Marche!$B$5)</f>
        <v/>
      </c>
      <c r="K12" s="21" t="str">
        <f>IF($A12="","",$J12*IF($E12="Nuit",Hypotheses_Marche!$B$4,Hypotheses_Marche!$B$3))</f>
        <v/>
      </c>
      <c r="L12" s="21" t="str">
        <f>IF($A12="","",IF(AND($F12="Nous",$H12&lt;&gt;""),IF($G12="",Hypotheses_Marche!$B$6,$G12),0))</f>
        <v/>
      </c>
      <c r="M12" s="21" t="str">
        <f t="shared" si="0"/>
        <v/>
      </c>
      <c r="N12" s="21" t="str">
        <f>IF($A12="","",$M12/(1-Hypotheses_Marche!$B$7))</f>
        <v/>
      </c>
      <c r="O12" s="21" t="str">
        <f t="shared" si="1"/>
        <v/>
      </c>
      <c r="P12" s="22" t="str">
        <f t="shared" si="2"/>
        <v/>
      </c>
      <c r="Q12" s="23" t="str">
        <f>IF($A12="","",IF($P12&gt;=Hypotheses_Marche!$B$7,"OK",IF($P12&gt;=0,"A optimiser","Non rentable")))</f>
        <v/>
      </c>
      <c r="R12" s="23" t="str">
        <f>IF($A12="","",IF(AND($P12&gt;=Hypotheses_Marche!$B$7,$O12&gt;=1000),"Prioritaire",IF($P12&lt;0,"A refuser/renegocier","A surveiller")))</f>
        <v/>
      </c>
      <c r="S12" s="21" t="str">
        <f t="shared" si="3"/>
        <v/>
      </c>
      <c r="T12" s="23" t="str">
        <f>IF($A12="","",IF($P12&lt;0,"Renegocier prix/couts",IF($P12&lt;Hypotheses_Marche!$B$7,"Optimiser heures/produits","Conserver")))</f>
        <v/>
      </c>
    </row>
    <row r="13" spans="1:20" x14ac:dyDescent="0.35">
      <c r="A13" s="18"/>
      <c r="B13" s="18"/>
      <c r="C13" s="18"/>
      <c r="D13" s="18"/>
      <c r="E13" s="18" t="s">
        <v>112</v>
      </c>
      <c r="F13" s="18" t="s">
        <v>117</v>
      </c>
      <c r="G13" s="19"/>
      <c r="H13" s="19"/>
      <c r="I13" s="19"/>
      <c r="J13" s="20" t="str">
        <f>IF($A13="","",$B13*$C13*$D13*Hypotheses_Marche!$B$5)</f>
        <v/>
      </c>
      <c r="K13" s="21" t="str">
        <f>IF($A13="","",$J13*IF($E13="Nuit",Hypotheses_Marche!$B$4,Hypotheses_Marche!$B$3))</f>
        <v/>
      </c>
      <c r="L13" s="21" t="str">
        <f>IF($A13="","",IF(AND($F13="Nous",$H13&lt;&gt;""),IF($G13="",Hypotheses_Marche!$B$6,$G13),0))</f>
        <v/>
      </c>
      <c r="M13" s="21" t="str">
        <f t="shared" si="0"/>
        <v/>
      </c>
      <c r="N13" s="21" t="str">
        <f>IF($A13="","",$M13/(1-Hypotheses_Marche!$B$7))</f>
        <v/>
      </c>
      <c r="O13" s="21" t="str">
        <f t="shared" si="1"/>
        <v/>
      </c>
      <c r="P13" s="22" t="str">
        <f t="shared" si="2"/>
        <v/>
      </c>
      <c r="Q13" s="23" t="str">
        <f>IF($A13="","",IF($P13&gt;=Hypotheses_Marche!$B$7,"OK",IF($P13&gt;=0,"A optimiser","Non rentable")))</f>
        <v/>
      </c>
      <c r="R13" s="23" t="str">
        <f>IF($A13="","",IF(AND($P13&gt;=Hypotheses_Marche!$B$7,$O13&gt;=1000),"Prioritaire",IF($P13&lt;0,"A refuser/renegocier","A surveiller")))</f>
        <v/>
      </c>
      <c r="S13" s="21" t="str">
        <f t="shared" si="3"/>
        <v/>
      </c>
      <c r="T13" s="23" t="str">
        <f>IF($A13="","",IF($P13&lt;0,"Renegocier prix/couts",IF($P13&lt;Hypotheses_Marche!$B$7,"Optimiser heures/produits","Conserver")))</f>
        <v/>
      </c>
    </row>
    <row r="14" spans="1:20" x14ac:dyDescent="0.35">
      <c r="A14" s="18"/>
      <c r="B14" s="18"/>
      <c r="C14" s="18"/>
      <c r="D14" s="18"/>
      <c r="E14" s="18" t="s">
        <v>112</v>
      </c>
      <c r="F14" s="18" t="s">
        <v>117</v>
      </c>
      <c r="G14" s="19"/>
      <c r="H14" s="19"/>
      <c r="I14" s="19"/>
      <c r="J14" s="20" t="str">
        <f>IF($A14="","",$B14*$C14*$D14*Hypotheses_Marche!$B$5)</f>
        <v/>
      </c>
      <c r="K14" s="21" t="str">
        <f>IF($A14="","",$J14*IF($E14="Nuit",Hypotheses_Marche!$B$4,Hypotheses_Marche!$B$3))</f>
        <v/>
      </c>
      <c r="L14" s="21" t="str">
        <f>IF($A14="","",IF(AND($F14="Nous",$H14&lt;&gt;""),IF($G14="",Hypotheses_Marche!$B$6,$G14),0))</f>
        <v/>
      </c>
      <c r="M14" s="21" t="str">
        <f t="shared" si="0"/>
        <v/>
      </c>
      <c r="N14" s="21" t="str">
        <f>IF($A14="","",$M14/(1-Hypotheses_Marche!$B$7))</f>
        <v/>
      </c>
      <c r="O14" s="21" t="str">
        <f t="shared" si="1"/>
        <v/>
      </c>
      <c r="P14" s="22" t="str">
        <f t="shared" si="2"/>
        <v/>
      </c>
      <c r="Q14" s="23" t="str">
        <f>IF($A14="","",IF($P14&gt;=Hypotheses_Marche!$B$7,"OK",IF($P14&gt;=0,"A optimiser","Non rentable")))</f>
        <v/>
      </c>
      <c r="R14" s="23" t="str">
        <f>IF($A14="","",IF(AND($P14&gt;=Hypotheses_Marche!$B$7,$O14&gt;=1000),"Prioritaire",IF($P14&lt;0,"A refuser/renegocier","A surveiller")))</f>
        <v/>
      </c>
      <c r="S14" s="21" t="str">
        <f t="shared" si="3"/>
        <v/>
      </c>
      <c r="T14" s="23" t="str">
        <f>IF($A14="","",IF($P14&lt;0,"Renegocier prix/couts",IF($P14&lt;Hypotheses_Marche!$B$7,"Optimiser heures/produits","Conserver")))</f>
        <v/>
      </c>
    </row>
    <row r="15" spans="1:20" x14ac:dyDescent="0.35">
      <c r="A15" s="18"/>
      <c r="B15" s="18"/>
      <c r="C15" s="18"/>
      <c r="D15" s="18"/>
      <c r="E15" s="18" t="s">
        <v>112</v>
      </c>
      <c r="F15" s="18" t="s">
        <v>117</v>
      </c>
      <c r="G15" s="19"/>
      <c r="H15" s="19"/>
      <c r="I15" s="19"/>
      <c r="J15" s="20" t="str">
        <f>IF($A15="","",$B15*$C15*$D15*Hypotheses_Marche!$B$5)</f>
        <v/>
      </c>
      <c r="K15" s="21" t="str">
        <f>IF($A15="","",$J15*IF($E15="Nuit",Hypotheses_Marche!$B$4,Hypotheses_Marche!$B$3))</f>
        <v/>
      </c>
      <c r="L15" s="21" t="str">
        <f>IF($A15="","",IF(AND($F15="Nous",$H15&lt;&gt;""),IF($G15="",Hypotheses_Marche!$B$6,$G15),0))</f>
        <v/>
      </c>
      <c r="M15" s="21" t="str">
        <f t="shared" si="0"/>
        <v/>
      </c>
      <c r="N15" s="21" t="str">
        <f>IF($A15="","",$M15/(1-Hypotheses_Marche!$B$7))</f>
        <v/>
      </c>
      <c r="O15" s="21" t="str">
        <f t="shared" si="1"/>
        <v/>
      </c>
      <c r="P15" s="22" t="str">
        <f t="shared" si="2"/>
        <v/>
      </c>
      <c r="Q15" s="23" t="str">
        <f>IF($A15="","",IF($P15&gt;=Hypotheses_Marche!$B$7,"OK",IF($P15&gt;=0,"A optimiser","Non rentable")))</f>
        <v/>
      </c>
      <c r="R15" s="23" t="str">
        <f>IF($A15="","",IF(AND($P15&gt;=Hypotheses_Marche!$B$7,$O15&gt;=1000),"Prioritaire",IF($P15&lt;0,"A refuser/renegocier","A surveiller")))</f>
        <v/>
      </c>
      <c r="S15" s="21" t="str">
        <f t="shared" si="3"/>
        <v/>
      </c>
      <c r="T15" s="23" t="str">
        <f>IF($A15="","",IF($P15&lt;0,"Renegocier prix/couts",IF($P15&lt;Hypotheses_Marche!$B$7,"Optimiser heures/produits","Conserver")))</f>
        <v/>
      </c>
    </row>
    <row r="16" spans="1:20" x14ac:dyDescent="0.35">
      <c r="A16" s="18"/>
      <c r="B16" s="18"/>
      <c r="C16" s="18"/>
      <c r="D16" s="18"/>
      <c r="E16" s="18" t="s">
        <v>112</v>
      </c>
      <c r="F16" s="18" t="s">
        <v>117</v>
      </c>
      <c r="G16" s="19"/>
      <c r="H16" s="19"/>
      <c r="I16" s="19"/>
      <c r="J16" s="20" t="str">
        <f>IF($A16="","",$B16*$C16*$D16*Hypotheses_Marche!$B$5)</f>
        <v/>
      </c>
      <c r="K16" s="21" t="str">
        <f>IF($A16="","",$J16*IF($E16="Nuit",Hypotheses_Marche!$B$4,Hypotheses_Marche!$B$3))</f>
        <v/>
      </c>
      <c r="L16" s="21" t="str">
        <f>IF($A16="","",IF(AND($F16="Nous",$H16&lt;&gt;""),IF($G16="",Hypotheses_Marche!$B$6,$G16),0))</f>
        <v/>
      </c>
      <c r="M16" s="21" t="str">
        <f t="shared" si="0"/>
        <v/>
      </c>
      <c r="N16" s="21" t="str">
        <f>IF($A16="","",$M16/(1-Hypotheses_Marche!$B$7))</f>
        <v/>
      </c>
      <c r="O16" s="21" t="str">
        <f t="shared" si="1"/>
        <v/>
      </c>
      <c r="P16" s="22" t="str">
        <f t="shared" si="2"/>
        <v/>
      </c>
      <c r="Q16" s="23" t="str">
        <f>IF($A16="","",IF($P16&gt;=Hypotheses_Marche!$B$7,"OK",IF($P16&gt;=0,"A optimiser","Non rentable")))</f>
        <v/>
      </c>
      <c r="R16" s="23" t="str">
        <f>IF($A16="","",IF(AND($P16&gt;=Hypotheses_Marche!$B$7,$O16&gt;=1000),"Prioritaire",IF($P16&lt;0,"A refuser/renegocier","A surveiller")))</f>
        <v/>
      </c>
      <c r="S16" s="21" t="str">
        <f t="shared" si="3"/>
        <v/>
      </c>
      <c r="T16" s="23" t="str">
        <f>IF($A16="","",IF($P16&lt;0,"Renegocier prix/couts",IF($P16&lt;Hypotheses_Marche!$B$7,"Optimiser heures/produits","Conserver")))</f>
        <v/>
      </c>
    </row>
    <row r="17" spans="1:20" x14ac:dyDescent="0.35">
      <c r="A17" s="18"/>
      <c r="B17" s="18"/>
      <c r="C17" s="18"/>
      <c r="D17" s="18"/>
      <c r="E17" s="18" t="s">
        <v>112</v>
      </c>
      <c r="F17" s="18" t="s">
        <v>117</v>
      </c>
      <c r="G17" s="19"/>
      <c r="H17" s="19"/>
      <c r="I17" s="19"/>
      <c r="J17" s="20" t="str">
        <f>IF($A17="","",$B17*$C17*$D17*Hypotheses_Marche!$B$5)</f>
        <v/>
      </c>
      <c r="K17" s="21" t="str">
        <f>IF($A17="","",$J17*IF($E17="Nuit",Hypotheses_Marche!$B$4,Hypotheses_Marche!$B$3))</f>
        <v/>
      </c>
      <c r="L17" s="21" t="str">
        <f>IF($A17="","",IF(AND($F17="Nous",$H17&lt;&gt;""),IF($G17="",Hypotheses_Marche!$B$6,$G17),0))</f>
        <v/>
      </c>
      <c r="M17" s="21" t="str">
        <f t="shared" si="0"/>
        <v/>
      </c>
      <c r="N17" s="21" t="str">
        <f>IF($A17="","",$M17/(1-Hypotheses_Marche!$B$7))</f>
        <v/>
      </c>
      <c r="O17" s="21" t="str">
        <f t="shared" si="1"/>
        <v/>
      </c>
      <c r="P17" s="22" t="str">
        <f t="shared" si="2"/>
        <v/>
      </c>
      <c r="Q17" s="23" t="str">
        <f>IF($A17="","",IF($P17&gt;=Hypotheses_Marche!$B$7,"OK",IF($P17&gt;=0,"A optimiser","Non rentable")))</f>
        <v/>
      </c>
      <c r="R17" s="23" t="str">
        <f>IF($A17="","",IF(AND($P17&gt;=Hypotheses_Marche!$B$7,$O17&gt;=1000),"Prioritaire",IF($P17&lt;0,"A refuser/renegocier","A surveiller")))</f>
        <v/>
      </c>
      <c r="S17" s="21" t="str">
        <f t="shared" si="3"/>
        <v/>
      </c>
      <c r="T17" s="23" t="str">
        <f>IF($A17="","",IF($P17&lt;0,"Renegocier prix/couts",IF($P17&lt;Hypotheses_Marche!$B$7,"Optimiser heures/produits","Conserver")))</f>
        <v/>
      </c>
    </row>
    <row r="18" spans="1:20" x14ac:dyDescent="0.35">
      <c r="A18" s="18"/>
      <c r="B18" s="18"/>
      <c r="C18" s="18"/>
      <c r="D18" s="18"/>
      <c r="E18" s="18" t="s">
        <v>112</v>
      </c>
      <c r="F18" s="18" t="s">
        <v>117</v>
      </c>
      <c r="G18" s="19"/>
      <c r="H18" s="19"/>
      <c r="I18" s="19"/>
      <c r="J18" s="20" t="str">
        <f>IF($A18="","",$B18*$C18*$D18*Hypotheses_Marche!$B$5)</f>
        <v/>
      </c>
      <c r="K18" s="21" t="str">
        <f>IF($A18="","",$J18*IF($E18="Nuit",Hypotheses_Marche!$B$4,Hypotheses_Marche!$B$3))</f>
        <v/>
      </c>
      <c r="L18" s="21" t="str">
        <f>IF($A18="","",IF(AND($F18="Nous",$H18&lt;&gt;""),IF($G18="",Hypotheses_Marche!$B$6,$G18),0))</f>
        <v/>
      </c>
      <c r="M18" s="21" t="str">
        <f t="shared" si="0"/>
        <v/>
      </c>
      <c r="N18" s="21" t="str">
        <f>IF($A18="","",$M18/(1-Hypotheses_Marche!$B$7))</f>
        <v/>
      </c>
      <c r="O18" s="21" t="str">
        <f t="shared" si="1"/>
        <v/>
      </c>
      <c r="P18" s="22" t="str">
        <f t="shared" si="2"/>
        <v/>
      </c>
      <c r="Q18" s="23" t="str">
        <f>IF($A18="","",IF($P18&gt;=Hypotheses_Marche!$B$7,"OK",IF($P18&gt;=0,"A optimiser","Non rentable")))</f>
        <v/>
      </c>
      <c r="R18" s="23" t="str">
        <f>IF($A18="","",IF(AND($P18&gt;=Hypotheses_Marche!$B$7,$O18&gt;=1000),"Prioritaire",IF($P18&lt;0,"A refuser/renegocier","A surveiller")))</f>
        <v/>
      </c>
      <c r="S18" s="21" t="str">
        <f t="shared" si="3"/>
        <v/>
      </c>
      <c r="T18" s="23" t="str">
        <f>IF($A18="","",IF($P18&lt;0,"Renegocier prix/couts",IF($P18&lt;Hypotheses_Marche!$B$7,"Optimiser heures/produits","Conserver")))</f>
        <v/>
      </c>
    </row>
    <row r="19" spans="1:20" x14ac:dyDescent="0.35">
      <c r="A19" s="18"/>
      <c r="B19" s="18"/>
      <c r="C19" s="18"/>
      <c r="D19" s="18"/>
      <c r="E19" s="18" t="s">
        <v>112</v>
      </c>
      <c r="F19" s="18" t="s">
        <v>117</v>
      </c>
      <c r="G19" s="19"/>
      <c r="H19" s="19"/>
      <c r="I19" s="19"/>
      <c r="J19" s="20" t="str">
        <f>IF($A19="","",$B19*$C19*$D19*Hypotheses_Marche!$B$5)</f>
        <v/>
      </c>
      <c r="K19" s="21" t="str">
        <f>IF($A19="","",$J19*IF($E19="Nuit",Hypotheses_Marche!$B$4,Hypotheses_Marche!$B$3))</f>
        <v/>
      </c>
      <c r="L19" s="21" t="str">
        <f>IF($A19="","",IF(AND($F19="Nous",$H19&lt;&gt;""),IF($G19="",Hypotheses_Marche!$B$6,$G19),0))</f>
        <v/>
      </c>
      <c r="M19" s="21" t="str">
        <f t="shared" si="0"/>
        <v/>
      </c>
      <c r="N19" s="21" t="str">
        <f>IF($A19="","",$M19/(1-Hypotheses_Marche!$B$7))</f>
        <v/>
      </c>
      <c r="O19" s="21" t="str">
        <f t="shared" si="1"/>
        <v/>
      </c>
      <c r="P19" s="22" t="str">
        <f t="shared" si="2"/>
        <v/>
      </c>
      <c r="Q19" s="23" t="str">
        <f>IF($A19="","",IF($P19&gt;=Hypotheses_Marche!$B$7,"OK",IF($P19&gt;=0,"A optimiser","Non rentable")))</f>
        <v/>
      </c>
      <c r="R19" s="23" t="str">
        <f>IF($A19="","",IF(AND($P19&gt;=Hypotheses_Marche!$B$7,$O19&gt;=1000),"Prioritaire",IF($P19&lt;0,"A refuser/renegocier","A surveiller")))</f>
        <v/>
      </c>
      <c r="S19" s="21" t="str">
        <f t="shared" si="3"/>
        <v/>
      </c>
      <c r="T19" s="23" t="str">
        <f>IF($A19="","",IF($P19&lt;0,"Renegocier prix/couts",IF($P19&lt;Hypotheses_Marche!$B$7,"Optimiser heures/produits","Conserver")))</f>
        <v/>
      </c>
    </row>
    <row r="20" spans="1:20" x14ac:dyDescent="0.35">
      <c r="A20" s="18"/>
      <c r="B20" s="18"/>
      <c r="C20" s="18"/>
      <c r="D20" s="18"/>
      <c r="E20" s="18" t="s">
        <v>112</v>
      </c>
      <c r="F20" s="18" t="s">
        <v>117</v>
      </c>
      <c r="G20" s="19"/>
      <c r="H20" s="19"/>
      <c r="I20" s="19"/>
      <c r="J20" s="20" t="str">
        <f>IF($A20="","",$B20*$C20*$D20*Hypotheses_Marche!$B$5)</f>
        <v/>
      </c>
      <c r="K20" s="21" t="str">
        <f>IF($A20="","",$J20*IF($E20="Nuit",Hypotheses_Marche!$B$4,Hypotheses_Marche!$B$3))</f>
        <v/>
      </c>
      <c r="L20" s="21" t="str">
        <f>IF($A20="","",IF(AND($F20="Nous",$H20&lt;&gt;""),IF($G20="",Hypotheses_Marche!$B$6,$G20),0))</f>
        <v/>
      </c>
      <c r="M20" s="21" t="str">
        <f t="shared" si="0"/>
        <v/>
      </c>
      <c r="N20" s="21" t="str">
        <f>IF($A20="","",$M20/(1-Hypotheses_Marche!$B$7))</f>
        <v/>
      </c>
      <c r="O20" s="21" t="str">
        <f t="shared" si="1"/>
        <v/>
      </c>
      <c r="P20" s="22" t="str">
        <f t="shared" si="2"/>
        <v/>
      </c>
      <c r="Q20" s="23" t="str">
        <f>IF($A20="","",IF($P20&gt;=Hypotheses_Marche!$B$7,"OK",IF($P20&gt;=0,"A optimiser","Non rentable")))</f>
        <v/>
      </c>
      <c r="R20" s="23" t="str">
        <f>IF($A20="","",IF(AND($P20&gt;=Hypotheses_Marche!$B$7,$O20&gt;=1000),"Prioritaire",IF($P20&lt;0,"A refuser/renegocier","A surveiller")))</f>
        <v/>
      </c>
      <c r="S20" s="21" t="str">
        <f t="shared" si="3"/>
        <v/>
      </c>
      <c r="T20" s="23" t="str">
        <f>IF($A20="","",IF($P20&lt;0,"Renegocier prix/couts",IF($P20&lt;Hypotheses_Marche!$B$7,"Optimiser heures/produits","Conserver")))</f>
        <v/>
      </c>
    </row>
    <row r="21" spans="1:20" x14ac:dyDescent="0.35">
      <c r="A21" s="18"/>
      <c r="B21" s="18"/>
      <c r="C21" s="18"/>
      <c r="D21" s="18"/>
      <c r="E21" s="18" t="s">
        <v>112</v>
      </c>
      <c r="F21" s="18" t="s">
        <v>117</v>
      </c>
      <c r="G21" s="19"/>
      <c r="H21" s="19"/>
      <c r="I21" s="19"/>
      <c r="J21" s="20" t="str">
        <f>IF($A21="","",$B21*$C21*$D21*Hypotheses_Marche!$B$5)</f>
        <v/>
      </c>
      <c r="K21" s="21" t="str">
        <f>IF($A21="","",$J21*IF($E21="Nuit",Hypotheses_Marche!$B$4,Hypotheses_Marche!$B$3))</f>
        <v/>
      </c>
      <c r="L21" s="21" t="str">
        <f>IF($A21="","",IF(AND($F21="Nous",$H21&lt;&gt;""),IF($G21="",Hypotheses_Marche!$B$6,$G21),0))</f>
        <v/>
      </c>
      <c r="M21" s="21" t="str">
        <f t="shared" si="0"/>
        <v/>
      </c>
      <c r="N21" s="21" t="str">
        <f>IF($A21="","",$M21/(1-Hypotheses_Marche!$B$7))</f>
        <v/>
      </c>
      <c r="O21" s="21" t="str">
        <f t="shared" si="1"/>
        <v/>
      </c>
      <c r="P21" s="22" t="str">
        <f t="shared" si="2"/>
        <v/>
      </c>
      <c r="Q21" s="23" t="str">
        <f>IF($A21="","",IF($P21&gt;=Hypotheses_Marche!$B$7,"OK",IF($P21&gt;=0,"A optimiser","Non rentable")))</f>
        <v/>
      </c>
      <c r="R21" s="23" t="str">
        <f>IF($A21="","",IF(AND($P21&gt;=Hypotheses_Marche!$B$7,$O21&gt;=1000),"Prioritaire",IF($P21&lt;0,"A refuser/renegocier","A surveiller")))</f>
        <v/>
      </c>
      <c r="S21" s="21" t="str">
        <f t="shared" si="3"/>
        <v/>
      </c>
      <c r="T21" s="23" t="str">
        <f>IF($A21="","",IF($P21&lt;0,"Renegocier prix/couts",IF($P21&lt;Hypotheses_Marche!$B$7,"Optimiser heures/produits","Conserver")))</f>
        <v/>
      </c>
    </row>
    <row r="22" spans="1:20" x14ac:dyDescent="0.35">
      <c r="A22" s="18"/>
      <c r="B22" s="18"/>
      <c r="C22" s="18"/>
      <c r="D22" s="18"/>
      <c r="E22" s="18" t="s">
        <v>112</v>
      </c>
      <c r="F22" s="18" t="s">
        <v>117</v>
      </c>
      <c r="G22" s="19"/>
      <c r="H22" s="19"/>
      <c r="I22" s="19"/>
      <c r="J22" s="20" t="str">
        <f>IF($A22="","",$B22*$C22*$D22*Hypotheses_Marche!$B$5)</f>
        <v/>
      </c>
      <c r="K22" s="21" t="str">
        <f>IF($A22="","",$J22*IF($E22="Nuit",Hypotheses_Marche!$B$4,Hypotheses_Marche!$B$3))</f>
        <v/>
      </c>
      <c r="L22" s="21" t="str">
        <f>IF($A22="","",IF(AND($F22="Nous",$H22&lt;&gt;""),IF($G22="",Hypotheses_Marche!$B$6,$G22),0))</f>
        <v/>
      </c>
      <c r="M22" s="21" t="str">
        <f t="shared" si="0"/>
        <v/>
      </c>
      <c r="N22" s="21" t="str">
        <f>IF($A22="","",$M22/(1-Hypotheses_Marche!$B$7))</f>
        <v/>
      </c>
      <c r="O22" s="21" t="str">
        <f t="shared" si="1"/>
        <v/>
      </c>
      <c r="P22" s="22" t="str">
        <f t="shared" si="2"/>
        <v/>
      </c>
      <c r="Q22" s="23" t="str">
        <f>IF($A22="","",IF($P22&gt;=Hypotheses_Marche!$B$7,"OK",IF($P22&gt;=0,"A optimiser","Non rentable")))</f>
        <v/>
      </c>
      <c r="R22" s="23" t="str">
        <f>IF($A22="","",IF(AND($P22&gt;=Hypotheses_Marche!$B$7,$O22&gt;=1000),"Prioritaire",IF($P22&lt;0,"A refuser/renegocier","A surveiller")))</f>
        <v/>
      </c>
      <c r="S22" s="21" t="str">
        <f t="shared" si="3"/>
        <v/>
      </c>
      <c r="T22" s="23" t="str">
        <f>IF($A22="","",IF($P22&lt;0,"Renegocier prix/couts",IF($P22&lt;Hypotheses_Marche!$B$7,"Optimiser heures/produits","Conserver")))</f>
        <v/>
      </c>
    </row>
    <row r="23" spans="1:20" x14ac:dyDescent="0.35">
      <c r="A23" s="18"/>
      <c r="B23" s="18"/>
      <c r="C23" s="18"/>
      <c r="D23" s="18"/>
      <c r="E23" s="18" t="s">
        <v>112</v>
      </c>
      <c r="F23" s="18" t="s">
        <v>117</v>
      </c>
      <c r="G23" s="19"/>
      <c r="H23" s="19"/>
      <c r="I23" s="19"/>
      <c r="J23" s="20" t="str">
        <f>IF($A23="","",$B23*$C23*$D23*Hypotheses_Marche!$B$5)</f>
        <v/>
      </c>
      <c r="K23" s="21" t="str">
        <f>IF($A23="","",$J23*IF($E23="Nuit",Hypotheses_Marche!$B$4,Hypotheses_Marche!$B$3))</f>
        <v/>
      </c>
      <c r="L23" s="21" t="str">
        <f>IF($A23="","",IF(AND($F23="Nous",$H23&lt;&gt;""),IF($G23="",Hypotheses_Marche!$B$6,$G23),0))</f>
        <v/>
      </c>
      <c r="M23" s="21" t="str">
        <f t="shared" si="0"/>
        <v/>
      </c>
      <c r="N23" s="21" t="str">
        <f>IF($A23="","",$M23/(1-Hypotheses_Marche!$B$7))</f>
        <v/>
      </c>
      <c r="O23" s="21" t="str">
        <f t="shared" si="1"/>
        <v/>
      </c>
      <c r="P23" s="22" t="str">
        <f t="shared" si="2"/>
        <v/>
      </c>
      <c r="Q23" s="23" t="str">
        <f>IF($A23="","",IF($P23&gt;=Hypotheses_Marche!$B$7,"OK",IF($P23&gt;=0,"A optimiser","Non rentable")))</f>
        <v/>
      </c>
      <c r="R23" s="23" t="str">
        <f>IF($A23="","",IF(AND($P23&gt;=Hypotheses_Marche!$B$7,$O23&gt;=1000),"Prioritaire",IF($P23&lt;0,"A refuser/renegocier","A surveiller")))</f>
        <v/>
      </c>
      <c r="S23" s="21" t="str">
        <f t="shared" si="3"/>
        <v/>
      </c>
      <c r="T23" s="23" t="str">
        <f>IF($A23="","",IF($P23&lt;0,"Renegocier prix/couts",IF($P23&lt;Hypotheses_Marche!$B$7,"Optimiser heures/produits","Conserver")))</f>
        <v/>
      </c>
    </row>
    <row r="24" spans="1:20" x14ac:dyDescent="0.35">
      <c r="A24" s="18"/>
      <c r="B24" s="18"/>
      <c r="C24" s="18"/>
      <c r="D24" s="18"/>
      <c r="E24" s="18" t="s">
        <v>112</v>
      </c>
      <c r="F24" s="18" t="s">
        <v>117</v>
      </c>
      <c r="G24" s="19"/>
      <c r="H24" s="19"/>
      <c r="I24" s="19"/>
      <c r="J24" s="20" t="str">
        <f>IF($A24="","",$B24*$C24*$D24*Hypotheses_Marche!$B$5)</f>
        <v/>
      </c>
      <c r="K24" s="21" t="str">
        <f>IF($A24="","",$J24*IF($E24="Nuit",Hypotheses_Marche!$B$4,Hypotheses_Marche!$B$3))</f>
        <v/>
      </c>
      <c r="L24" s="21" t="str">
        <f>IF($A24="","",IF(AND($F24="Nous",$H24&lt;&gt;""),IF($G24="",Hypotheses_Marche!$B$6,$G24),0))</f>
        <v/>
      </c>
      <c r="M24" s="21" t="str">
        <f t="shared" si="0"/>
        <v/>
      </c>
      <c r="N24" s="21" t="str">
        <f>IF($A24="","",$M24/(1-Hypotheses_Marche!$B$7))</f>
        <v/>
      </c>
      <c r="O24" s="21" t="str">
        <f t="shared" si="1"/>
        <v/>
      </c>
      <c r="P24" s="22" t="str">
        <f t="shared" si="2"/>
        <v/>
      </c>
      <c r="Q24" s="23" t="str">
        <f>IF($A24="","",IF($P24&gt;=Hypotheses_Marche!$B$7,"OK",IF($P24&gt;=0,"A optimiser","Non rentable")))</f>
        <v/>
      </c>
      <c r="R24" s="23" t="str">
        <f>IF($A24="","",IF(AND($P24&gt;=Hypotheses_Marche!$B$7,$O24&gt;=1000),"Prioritaire",IF($P24&lt;0,"A refuser/renegocier","A surveiller")))</f>
        <v/>
      </c>
      <c r="S24" s="21" t="str">
        <f t="shared" si="3"/>
        <v/>
      </c>
      <c r="T24" s="23" t="str">
        <f>IF($A24="","",IF($P24&lt;0,"Renegocier prix/couts",IF($P24&lt;Hypotheses_Marche!$B$7,"Optimiser heures/produits","Conserver")))</f>
        <v/>
      </c>
    </row>
    <row r="25" spans="1:20" x14ac:dyDescent="0.35">
      <c r="A25" s="18"/>
      <c r="B25" s="18"/>
      <c r="C25" s="18"/>
      <c r="D25" s="18"/>
      <c r="E25" s="18" t="s">
        <v>112</v>
      </c>
      <c r="F25" s="18" t="s">
        <v>117</v>
      </c>
      <c r="G25" s="19"/>
      <c r="H25" s="19"/>
      <c r="I25" s="19"/>
      <c r="J25" s="20" t="str">
        <f>IF($A25="","",$B25*$C25*$D25*Hypotheses_Marche!$B$5)</f>
        <v/>
      </c>
      <c r="K25" s="21" t="str">
        <f>IF($A25="","",$J25*IF($E25="Nuit",Hypotheses_Marche!$B$4,Hypotheses_Marche!$B$3))</f>
        <v/>
      </c>
      <c r="L25" s="21" t="str">
        <f>IF($A25="","",IF(AND($F25="Nous",$H25&lt;&gt;""),IF($G25="",Hypotheses_Marche!$B$6,$G25),0))</f>
        <v/>
      </c>
      <c r="M25" s="21" t="str">
        <f t="shared" si="0"/>
        <v/>
      </c>
      <c r="N25" s="21" t="str">
        <f>IF($A25="","",$M25/(1-Hypotheses_Marche!$B$7))</f>
        <v/>
      </c>
      <c r="O25" s="21" t="str">
        <f t="shared" si="1"/>
        <v/>
      </c>
      <c r="P25" s="22" t="str">
        <f t="shared" si="2"/>
        <v/>
      </c>
      <c r="Q25" s="23" t="str">
        <f>IF($A25="","",IF($P25&gt;=Hypotheses_Marche!$B$7,"OK",IF($P25&gt;=0,"A optimiser","Non rentable")))</f>
        <v/>
      </c>
      <c r="R25" s="23" t="str">
        <f>IF($A25="","",IF(AND($P25&gt;=Hypotheses_Marche!$B$7,$O25&gt;=1000),"Prioritaire",IF($P25&lt;0,"A refuser/renegocier","A surveiller")))</f>
        <v/>
      </c>
      <c r="S25" s="21" t="str">
        <f t="shared" si="3"/>
        <v/>
      </c>
      <c r="T25" s="23" t="str">
        <f>IF($A25="","",IF($P25&lt;0,"Renegocier prix/couts",IF($P25&lt;Hypotheses_Marche!$B$7,"Optimiser heures/produits","Conserver")))</f>
        <v/>
      </c>
    </row>
  </sheetData>
  <autoFilter ref="A3:T25" xr:uid="{00000000-0009-0000-0000-000002000000}"/>
  <conditionalFormatting sqref="P4:P25">
    <cfRule type="cellIs" dxfId="4" priority="2" operator="lessThan">
      <formula>0</formula>
    </cfRule>
  </conditionalFormatting>
  <conditionalFormatting sqref="Q4:R25">
    <cfRule type="expression" dxfId="1" priority="5">
      <formula>$Q4="Non rentable"</formula>
    </cfRule>
    <cfRule type="expression" dxfId="0" priority="6">
      <formula>$Q4="OK"</formula>
    </cfRule>
  </conditionalFormatting>
  <dataValidations disablePrompts="1" count="2">
    <dataValidation type="list" sqref="E4:E25" xr:uid="{00000000-0002-0000-0200-000000000000}">
      <formula1>"Jour,Nuit"</formula1>
    </dataValidation>
    <dataValidation type="list" sqref="F4:F25" xr:uid="{00000000-0002-0000-0200-000001000000}">
      <formula1>"Client,Nous"</formula1>
    </dataValidation>
  </dataValidations>
  <pageMargins left="0.75" right="0.75" top="1" bottom="1" header="0.5" footer="0.5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200-000003000000}">
            <xm:f>AND($P4&gt;=0,$P4&lt;Hypotheses_Marche!$B$7)</xm:f>
            <x14:dxf>
              <fill>
                <patternFill patternType="solid">
                  <fgColor rgb="FFFFF2CC"/>
                </patternFill>
              </fill>
            </x14:dxf>
          </x14:cfRule>
          <x14:cfRule type="expression" priority="4" id="{00000000-000E-0000-0200-000004000000}">
            <xm:f>$P4&gt;=Hypotheses_Marche!$B$7</xm:f>
            <x14:dxf>
              <fill>
                <patternFill patternType="solid">
                  <fgColor rgb="FFE2F0D9"/>
                </patternFill>
              </fill>
            </x14:dxf>
          </x14:cfRule>
          <xm:sqref>P4:P25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showGridLines="0" view="pageBreakPreview" topLeftCell="A5" zoomScale="60" zoomScaleNormal="40" workbookViewId="0">
      <selection activeCell="B18" sqref="B18"/>
    </sheetView>
  </sheetViews>
  <sheetFormatPr baseColWidth="10" defaultColWidth="8.7265625" defaultRowHeight="14.5" x14ac:dyDescent="0.35"/>
  <cols>
    <col min="1" max="1" width="54" customWidth="1"/>
    <col min="2" max="2" width="22" customWidth="1"/>
    <col min="4" max="4" width="3" customWidth="1"/>
    <col min="5" max="5" width="28" customWidth="1"/>
    <col min="6" max="8" width="18" customWidth="1"/>
  </cols>
  <sheetData>
    <row r="1" spans="1:8" ht="18.5" customHeight="1" x14ac:dyDescent="0.35">
      <c r="A1" s="31" t="s">
        <v>0</v>
      </c>
      <c r="B1" s="32"/>
      <c r="C1" s="32"/>
      <c r="D1" s="32"/>
    </row>
    <row r="3" spans="1:8" x14ac:dyDescent="0.35">
      <c r="E3" s="24" t="s">
        <v>1</v>
      </c>
      <c r="F3" s="24"/>
      <c r="G3" s="24"/>
      <c r="H3" s="24"/>
    </row>
    <row r="4" spans="1:8" x14ac:dyDescent="0.35">
      <c r="A4" s="25" t="s">
        <v>2</v>
      </c>
      <c r="B4" s="26">
        <f>COUNT(Marches!H4:H25)</f>
        <v>8</v>
      </c>
      <c r="E4" s="5" t="s">
        <v>3</v>
      </c>
      <c r="F4" s="5" t="s">
        <v>4</v>
      </c>
      <c r="G4" s="5" t="s">
        <v>5</v>
      </c>
      <c r="H4" s="5" t="s">
        <v>6</v>
      </c>
    </row>
    <row r="5" spans="1:8" x14ac:dyDescent="0.35">
      <c r="A5" s="25" t="s">
        <v>7</v>
      </c>
      <c r="B5" s="46">
        <f>SUM(Marches!H4:H25)</f>
        <v>35382</v>
      </c>
      <c r="E5" s="6" t="str">
        <f>IFERROR(INDEX(Marches!$A$4:$A$25,MATCH(LARGE(Marches!$O$4:$O$25,1),Marches!$O$4:$O$25,0)),"")</f>
        <v>Clinique Paris 12 (nuit)</v>
      </c>
      <c r="F5" s="48">
        <f>IF($E5="","",INDEX(Marches!$H$4:$H$25,MATCH($E5,Marches!$A$4:$A$25,0)))</f>
        <v>8500</v>
      </c>
      <c r="G5" s="48">
        <f>IF($E5="","",INDEX(Marches!$O$4:$O$25,MATCH($E5,Marches!$A$4:$A$25,0)))</f>
        <v>1209.5200000000004</v>
      </c>
      <c r="H5" s="27">
        <f>IF($E5="","",INDEX(Marches!$P$4:$P$25,MATCH($E5,Marches!$A$4:$A$25,0)))</f>
        <v>0.14229647058823536</v>
      </c>
    </row>
    <row r="6" spans="1:8" x14ac:dyDescent="0.35">
      <c r="A6" s="25" t="s">
        <v>8</v>
      </c>
      <c r="B6" s="46">
        <f>SUM(Marches!M4:M25)</f>
        <v>34325.64</v>
      </c>
      <c r="E6" s="6" t="str">
        <f>IFERROR(INDEX(Marches!$A$4:$A$25,MATCH(LARGE(Marches!$O$4:$O$25,2),Marches!$O$4:$O$25,0)),"")</f>
        <v>Coworking Republique</v>
      </c>
      <c r="F6" s="48">
        <f>IF($E6="","",INDEX(Marches!$H$4:$H$25,MATCH($E6,Marches!$A$4:$A$25,0)))</f>
        <v>5500</v>
      </c>
      <c r="G6" s="48">
        <f>IF($E6="","",INDEX(Marches!$O$4:$O$25,MATCH($E6,Marches!$A$4:$A$25,0)))</f>
        <v>743.59999999999945</v>
      </c>
      <c r="H6" s="27">
        <f>IF($E6="","",INDEX(Marches!$P$4:$P$25,MATCH($E6,Marches!$A$4:$A$25,0)))</f>
        <v>0.1351999999999999</v>
      </c>
    </row>
    <row r="7" spans="1:8" x14ac:dyDescent="0.35">
      <c r="A7" s="25" t="s">
        <v>9</v>
      </c>
      <c r="B7" s="46">
        <f>SUM(Marches!O4:O25)</f>
        <v>1056.3599999999992</v>
      </c>
      <c r="E7" s="6" t="str">
        <f>IFERROR(INDEX(Marches!$A$4:$A$25,MATCH(LARGE(Marches!$O$4:$O$25,3),Marches!$O$4:$O$25,0)),"")</f>
        <v>Mairie annexe Pantin</v>
      </c>
      <c r="F7" s="48">
        <f>IF($E7="","",INDEX(Marches!$H$4:$H$25,MATCH($E7,Marches!$A$4:$A$25,0)))</f>
        <v>2900</v>
      </c>
      <c r="G7" s="48">
        <f>IF($E7="","",INDEX(Marches!$O$4:$O$25,MATCH($E7,Marches!$A$4:$A$25,0)))</f>
        <v>431.79999999999973</v>
      </c>
      <c r="H7" s="27">
        <f>IF($E7="","",INDEX(Marches!$P$4:$P$25,MATCH($E7,Marches!$A$4:$A$25,0)))</f>
        <v>0.14889655172413785</v>
      </c>
    </row>
    <row r="8" spans="1:8" x14ac:dyDescent="0.35">
      <c r="A8" s="25" t="s">
        <v>10</v>
      </c>
      <c r="B8" s="46">
        <f>Charges_Fixes!B14</f>
        <v>3312</v>
      </c>
      <c r="E8" s="6" t="str">
        <f>IFERROR(INDEX(Marches!$A$4:$A$25,MATCH(LARGE(Marches!$O$4:$O$25,4),Marches!$O$4:$O$25,0)),"")</f>
        <v>Ecole primaire Montreuil</v>
      </c>
      <c r="F8" s="48">
        <f>IF($E8="","",INDEX(Marches!$H$4:$H$25,MATCH($E8,Marches!$A$4:$A$25,0)))</f>
        <v>1600</v>
      </c>
      <c r="G8" s="48">
        <f>IF($E8="","",INDEX(Marches!$O$4:$O$25,MATCH($E8,Marches!$A$4:$A$25,0)))</f>
        <v>232.96000000000004</v>
      </c>
      <c r="H8" s="27">
        <f>IF($E8="","",INDEX(Marches!$P$4:$P$25,MATCH($E8,Marches!$A$4:$A$25,0)))</f>
        <v>0.14560000000000003</v>
      </c>
    </row>
    <row r="9" spans="1:8" x14ac:dyDescent="0.35">
      <c r="A9" s="25" t="s">
        <v>11</v>
      </c>
      <c r="B9" s="46">
        <f>B7-B8</f>
        <v>-2255.6400000000008</v>
      </c>
      <c r="E9" s="6" t="str">
        <f>IFERROR(INDEX(Marches!$A$4:$A$25,MATCH(LARGE(Marches!$O$4:$O$25,5),Marches!$O$4:$O$25,0)),"")</f>
        <v>Restaurant Bastille</v>
      </c>
      <c r="F9" s="48">
        <f>IF($E9="","",INDEX(Marches!$H$4:$H$25,MATCH($E9,Marches!$A$4:$A$25,0)))</f>
        <v>1500</v>
      </c>
      <c r="G9" s="48">
        <f>IF($E9="","",INDEX(Marches!$O$4:$O$25,MATCH($E9,Marches!$A$4:$A$25,0)))</f>
        <v>224.92000000000007</v>
      </c>
      <c r="H9" s="27">
        <f>IF($E9="","",INDEX(Marches!$P$4:$P$25,MATCH($E9,Marches!$A$4:$A$25,0)))</f>
        <v>0.14994666666666673</v>
      </c>
    </row>
    <row r="10" spans="1:8" x14ac:dyDescent="0.35">
      <c r="A10" s="25" t="s">
        <v>12</v>
      </c>
      <c r="B10" s="46">
        <f>B9*12</f>
        <v>-27067.680000000008</v>
      </c>
    </row>
    <row r="11" spans="1:8" x14ac:dyDescent="0.35">
      <c r="A11" s="25" t="s">
        <v>13</v>
      </c>
      <c r="B11" s="22">
        <f>IF(B5=0,0,B7/B5)</f>
        <v>2.9855858911310814E-2</v>
      </c>
    </row>
    <row r="12" spans="1:8" x14ac:dyDescent="0.35">
      <c r="A12" s="25" t="s">
        <v>14</v>
      </c>
      <c r="B12" s="46">
        <f>IF(B4=0,0,B7/B4)</f>
        <v>132.0449999999999</v>
      </c>
    </row>
    <row r="13" spans="1:8" x14ac:dyDescent="0.35">
      <c r="A13" s="25" t="s">
        <v>15</v>
      </c>
      <c r="B13" s="21">
        <f>IF(B12&lt;=0,"n/a",B8/B12)</f>
        <v>25.082358286947649</v>
      </c>
    </row>
    <row r="14" spans="1:8" x14ac:dyDescent="0.35">
      <c r="A14" s="25" t="s">
        <v>16</v>
      </c>
      <c r="B14" s="26">
        <f>COUNTIF(Marches!Q4:Q25,"OK")</f>
        <v>1</v>
      </c>
    </row>
    <row r="15" spans="1:8" x14ac:dyDescent="0.35">
      <c r="A15" s="25" t="s">
        <v>17</v>
      </c>
      <c r="B15" s="26">
        <f>COUNTIF(Marches!Q4:Q25,"A optimiser")</f>
        <v>5</v>
      </c>
    </row>
    <row r="16" spans="1:8" x14ac:dyDescent="0.35">
      <c r="A16" s="25" t="s">
        <v>18</v>
      </c>
      <c r="B16" s="26">
        <f>COUNTIF(Marches!Q4:Q25,"Non rentable")</f>
        <v>2</v>
      </c>
    </row>
    <row r="17" spans="1:2" x14ac:dyDescent="0.35">
      <c r="A17" s="25" t="s">
        <v>19</v>
      </c>
      <c r="B17" s="22">
        <f>IF(B4=0,0,B14/B4)</f>
        <v>0.125</v>
      </c>
    </row>
    <row r="18" spans="1:2" x14ac:dyDescent="0.35">
      <c r="A18" s="25" t="s">
        <v>20</v>
      </c>
      <c r="B18" s="46">
        <f>MAX(Marches!O4:O25)</f>
        <v>1209.5200000000004</v>
      </c>
    </row>
  </sheetData>
  <mergeCells count="1">
    <mergeCell ref="A1:D1"/>
  </mergeCells>
  <pageMargins left="0.75" right="0.75" top="1" bottom="1" header="0.5" footer="0.5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showGridLines="0" zoomScale="58" workbookViewId="0">
      <selection activeCell="B4" sqref="B4"/>
    </sheetView>
  </sheetViews>
  <sheetFormatPr baseColWidth="10" defaultColWidth="8.7265625" defaultRowHeight="14.5" x14ac:dyDescent="0.35"/>
  <cols>
    <col min="1" max="1" width="42" customWidth="1"/>
    <col min="2" max="2" width="18" customWidth="1"/>
  </cols>
  <sheetData>
    <row r="1" spans="1:2" ht="18.5" customHeight="1" x14ac:dyDescent="0.35">
      <c r="A1" s="45" t="s">
        <v>123</v>
      </c>
      <c r="B1" s="32"/>
    </row>
    <row r="2" spans="1:2" x14ac:dyDescent="0.35">
      <c r="A2" t="s">
        <v>124</v>
      </c>
    </row>
    <row r="3" spans="1:2" x14ac:dyDescent="0.35">
      <c r="A3" s="17" t="s">
        <v>125</v>
      </c>
      <c r="B3" s="17" t="s">
        <v>126</v>
      </c>
    </row>
    <row r="4" spans="1:2" x14ac:dyDescent="0.35">
      <c r="A4" t="s">
        <v>127</v>
      </c>
      <c r="B4" s="49">
        <v>40</v>
      </c>
    </row>
    <row r="5" spans="1:2" x14ac:dyDescent="0.35">
      <c r="A5" t="s">
        <v>128</v>
      </c>
      <c r="B5" s="49">
        <v>50</v>
      </c>
    </row>
    <row r="6" spans="1:2" x14ac:dyDescent="0.35">
      <c r="A6" t="s">
        <v>129</v>
      </c>
      <c r="B6" s="49">
        <v>12</v>
      </c>
    </row>
    <row r="7" spans="1:2" x14ac:dyDescent="0.35">
      <c r="A7" t="s">
        <v>130</v>
      </c>
      <c r="B7" s="49">
        <v>80</v>
      </c>
    </row>
    <row r="8" spans="1:2" x14ac:dyDescent="0.35">
      <c r="A8" t="s">
        <v>131</v>
      </c>
      <c r="B8" s="49">
        <v>120</v>
      </c>
    </row>
    <row r="9" spans="1:2" x14ac:dyDescent="0.35">
      <c r="A9" t="s">
        <v>132</v>
      </c>
      <c r="B9" s="49">
        <v>20</v>
      </c>
    </row>
    <row r="10" spans="1:2" x14ac:dyDescent="0.35">
      <c r="A10" t="s">
        <v>133</v>
      </c>
      <c r="B10" s="49">
        <v>40</v>
      </c>
    </row>
    <row r="11" spans="1:2" x14ac:dyDescent="0.35">
      <c r="A11" t="s">
        <v>134</v>
      </c>
      <c r="B11" s="49">
        <v>300</v>
      </c>
    </row>
    <row r="12" spans="1:2" x14ac:dyDescent="0.35">
      <c r="A12" t="s">
        <v>135</v>
      </c>
      <c r="B12" s="49">
        <v>150</v>
      </c>
    </row>
    <row r="13" spans="1:2" x14ac:dyDescent="0.35">
      <c r="A13" t="s">
        <v>136</v>
      </c>
      <c r="B13" s="49">
        <v>2500</v>
      </c>
    </row>
    <row r="14" spans="1:2" x14ac:dyDescent="0.35">
      <c r="A14" s="28" t="s">
        <v>137</v>
      </c>
      <c r="B14" s="29">
        <f>SUM(B4:B13)</f>
        <v>3312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showGridLines="0" zoomScale="62" workbookViewId="0">
      <selection activeCell="B10" sqref="B10"/>
    </sheetView>
  </sheetViews>
  <sheetFormatPr baseColWidth="10" defaultColWidth="8.7265625" defaultRowHeight="14.5" x14ac:dyDescent="0.35"/>
  <cols>
    <col min="1" max="1" width="52" customWidth="1"/>
    <col min="2" max="2" width="20" customWidth="1"/>
  </cols>
  <sheetData>
    <row r="1" spans="1:2" ht="18.5" customHeight="1" x14ac:dyDescent="0.35">
      <c r="A1" s="45" t="s">
        <v>138</v>
      </c>
      <c r="B1" s="32"/>
    </row>
    <row r="3" spans="1:2" x14ac:dyDescent="0.35">
      <c r="A3" t="s">
        <v>139</v>
      </c>
      <c r="B3" s="49">
        <v>18</v>
      </c>
    </row>
    <row r="4" spans="1:2" x14ac:dyDescent="0.35">
      <c r="A4" t="s">
        <v>140</v>
      </c>
      <c r="B4" s="49">
        <v>23</v>
      </c>
    </row>
    <row r="5" spans="1:2" x14ac:dyDescent="0.35">
      <c r="A5" t="s">
        <v>141</v>
      </c>
      <c r="B5" s="49">
        <v>4.33</v>
      </c>
    </row>
    <row r="6" spans="1:2" x14ac:dyDescent="0.35">
      <c r="A6" t="s">
        <v>142</v>
      </c>
      <c r="B6" s="49">
        <v>60</v>
      </c>
    </row>
    <row r="7" spans="1:2" x14ac:dyDescent="0.35">
      <c r="A7" t="s">
        <v>143</v>
      </c>
      <c r="B7" s="49">
        <v>0.2</v>
      </c>
    </row>
    <row r="8" spans="1:2" x14ac:dyDescent="0.35">
      <c r="A8" t="s">
        <v>144</v>
      </c>
      <c r="B8" s="49">
        <v>20</v>
      </c>
    </row>
    <row r="9" spans="1:2" x14ac:dyDescent="0.35">
      <c r="A9" t="s">
        <v>145</v>
      </c>
      <c r="B9" s="30">
        <f>1/(1-B7)</f>
        <v>1.25</v>
      </c>
    </row>
    <row r="10" spans="1:2" x14ac:dyDescent="0.35">
      <c r="A10" t="s">
        <v>146</v>
      </c>
      <c r="B10" s="11">
        <f>B7</f>
        <v>0.2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showGridLines="0" zoomScale="42" workbookViewId="0">
      <selection sqref="A1:F1"/>
    </sheetView>
  </sheetViews>
  <sheetFormatPr baseColWidth="10" defaultColWidth="8.7265625" defaultRowHeight="14.5" x14ac:dyDescent="0.35"/>
  <cols>
    <col min="1" max="1" width="24" customWidth="1"/>
    <col min="2" max="2" width="100" customWidth="1"/>
  </cols>
  <sheetData>
    <row r="1" spans="1:6" ht="21" x14ac:dyDescent="0.35">
      <c r="A1" s="37" t="s">
        <v>147</v>
      </c>
      <c r="B1" s="32"/>
      <c r="C1" s="32"/>
      <c r="D1" s="32"/>
      <c r="E1" s="32"/>
      <c r="F1" s="32"/>
    </row>
    <row r="3" spans="1:6" x14ac:dyDescent="0.35">
      <c r="A3" s="5" t="s">
        <v>148</v>
      </c>
      <c r="B3" s="5" t="s">
        <v>149</v>
      </c>
    </row>
    <row r="4" spans="1:6" ht="42" customHeight="1" x14ac:dyDescent="0.35">
      <c r="A4" s="25" t="s">
        <v>150</v>
      </c>
      <c r="B4" s="6" t="s">
        <v>151</v>
      </c>
    </row>
    <row r="5" spans="1:6" ht="42" customHeight="1" x14ac:dyDescent="0.35">
      <c r="A5" s="25" t="s">
        <v>152</v>
      </c>
      <c r="B5" s="6" t="s">
        <v>153</v>
      </c>
    </row>
    <row r="6" spans="1:6" ht="42" customHeight="1" x14ac:dyDescent="0.35">
      <c r="A6" s="25" t="s">
        <v>154</v>
      </c>
      <c r="B6" s="6" t="s">
        <v>155</v>
      </c>
    </row>
    <row r="7" spans="1:6" ht="42" customHeight="1" x14ac:dyDescent="0.35">
      <c r="A7" s="25" t="s">
        <v>156</v>
      </c>
      <c r="B7" s="6" t="s">
        <v>157</v>
      </c>
    </row>
    <row r="8" spans="1:6" ht="42" customHeight="1" x14ac:dyDescent="0.35">
      <c r="A8" s="25" t="s">
        <v>158</v>
      </c>
      <c r="B8" s="6" t="s">
        <v>159</v>
      </c>
    </row>
    <row r="9" spans="1:6" ht="42" customHeight="1" x14ac:dyDescent="0.35">
      <c r="A9" s="25" t="s">
        <v>160</v>
      </c>
      <c r="B9" s="6" t="s">
        <v>161</v>
      </c>
    </row>
    <row r="10" spans="1:6" ht="42" customHeight="1" x14ac:dyDescent="0.35">
      <c r="A10" s="25" t="s">
        <v>162</v>
      </c>
      <c r="B10" s="6" t="s">
        <v>163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Tableau_de_Bord</vt:lpstr>
      <vt:lpstr>Previsionnel_Global</vt:lpstr>
      <vt:lpstr>Marches</vt:lpstr>
      <vt:lpstr>Synthese_Rentabilite</vt:lpstr>
      <vt:lpstr>Charges_Fixes</vt:lpstr>
      <vt:lpstr>Hypotheses_Marche</vt:lpstr>
      <vt:lpstr>Guide_Utilisation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 Digbeu</cp:lastModifiedBy>
  <dcterms:created xsi:type="dcterms:W3CDTF">2026-07-03T06:09:26Z</dcterms:created>
  <dcterms:modified xsi:type="dcterms:W3CDTF">2026-07-06T09:11:03Z</dcterms:modified>
</cp:coreProperties>
</file>